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<sst xmlns="http://schemas.openxmlformats.org/spreadsheetml/2006/main" count="371" uniqueCount="371">
  <si>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</si>
  <si>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</si>
  <si>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</si>
  <si>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</si>
  <si>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</si>
  <si>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</si>
  <si>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</si>
  <si>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</si>
  <si>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</si>
  <si>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</si>
  <si>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</si>
  <si>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</si>
  <si>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</si>
  <si>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</si>
  <si>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</si>
  <si>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</si>
  <si>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</si>
  <si>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</si>
  <si>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</si>
  <si>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</si>
  <si>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</si>
  <si>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</si>
  <si>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</si>
  <si>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CAP-DEV - Straton</t>
  </si>
  <si>
    <t>Assurance/Mutuelle</t>
  </si>
  <si>
    <t>SACRA</t>
  </si>
  <si>
    <t>Steve BAUMANN</t>
  </si>
  <si>
    <t>Romain Andrieu</t>
  </si>
  <si>
    <t>&lt;p&gt;Nouvelle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supplémentaire.&lt;/p&gt;</t>
  </si>
  <si>
    <t>Souscription réalisée</t>
  </si>
  <si>
    <t>100</t>
  </si>
  <si>
    <t>Fondation</t>
  </si>
  <si>
    <t>Opportunité de MUTILES ET VICTIMES DE GUERRE - FONDATION ANDRE MAGINOT</t>
  </si>
  <si>
    <t>Patrick Remm</t>
  </si>
  <si>
    <t>&lt;p&gt;CA juin : décision 1M€ SIENNA IM, 1M€ STRATON, ok pour investir mais en 2026 (SIENNA prioritaire). Défense jugée trop tôt, non coté trop étroit. RDV demandé gal Peter + Patrick Remm, copie Christien Piquet. Lead créé équipe Ventes. Enrichissement email impossible. Prochaine étape : suivi RDV 2026.&lt;/p&gt;</t>
  </si>
  <si>
    <t>Interêt indicatif - A creuser</t>
  </si>
  <si>
    <t>80</t>
  </si>
  <si>
    <t>Caisse de retraite/Institution de prévoyance</t>
  </si>
  <si>
    <t>CAISSE D'EPARGNE PREVOYANCE COTE D'AZUR</t>
  </si>
  <si>
    <t>Romain Parinello</t>
  </si>
  <si>
    <t>&lt;p&gt;RDV STRATON, échanges sur fonds Quadrille (strat majo) pour 1M€, décision fin mars pour Straton en comité d'invest, capacité restante 1M€, proba 50%. Prospect regarde aussi TIKHEAU/WINEBERG, intérêt pour side business. Prochaine étape : RDV fin mars pour décision passage Straton.&lt;/p&gt;</t>
  </si>
  <si>
    <t>Rdv fin Mars pour connaitre la décision de passage pour STRATON</t>
  </si>
  <si>
    <t>50</t>
  </si>
  <si>
    <t>SOLIDARM-MUTUELLE SOCIALE DES FORCES ARMEES</t>
  </si>
  <si>
    <t>Jean-François Furet-Coste</t>
  </si>
  <si>
    <t>&lt;p&gt;Aucune activité menée sur le prospect. SOLIDARM-MUTUELLE SOCIALE DES FORCES ARMEES : mutuelle dédiée aux forces armées, acteur reconnu de la protection sociale militaire, peu d'infos publiques, important pour la couverture santé des militaires. Aucune action ou échange récent enregistré.&lt;/p&gt;</t>
  </si>
  <si>
    <t>En Due Diligence</t>
  </si>
  <si>
    <t>MUTUELLE DE POITIERS ASSURANCES</t>
  </si>
  <si>
    <t>Romain JAHAN</t>
  </si>
  <si>
    <t>&lt;p&gt;Aucune activité ni échange significatif relevé sur l'opportunité MUTUELLE DE POITIERS ASSURANCES. Seule information : piste créée pour l'équipe "Ventes" le 06/01/2026. Aucun suivi, action ou retour prospect enregistré à ce jour. Prochaines étapes non définies faute d'activité constatée.&lt;/p&gt;</t>
  </si>
  <si>
    <t>Banque privée</t>
  </si>
  <si>
    <t>ROTHSCHILD &amp; CO</t>
  </si>
  <si>
    <t>Vincent Danjoux</t>
  </si>
  <si>
    <t>Edouard Gaurier</t>
  </si>
  <si>
    <t>&lt;p&gt;Mail envoyé 16/02 pour marche à suivre, relance sans réponse, contact OdP 02/03, prospect intéressé par Straton, Quanto II, Calderion, demande doc Straton. Dernière action : mail de relance sans retour. Prochaine étape : prise de news prévue le 12/03. Pas de retour prospect sur fonds à ce stade.&lt;/p&gt;</t>
  </si>
  <si>
    <t>Prise de news</t>
  </si>
  <si>
    <t>MUTAC</t>
  </si>
  <si>
    <t>Guilhem Pialot</t>
  </si>
  <si>
    <t>&lt;p&gt;14/01/2026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prévue.&lt;/p&gt;</t>
  </si>
  <si>
    <t>Mort / Plus rien à faire</t>
  </si>
  <si>
    <t>Single Family Office</t>
  </si>
  <si>
    <t xml:space="preserve">OFILAE </t>
  </si>
  <si>
    <t>Baptiste Maes</t>
  </si>
  <si>
    <t>Pauline Cavalié</t>
  </si>
  <si>
    <t>&lt;p&gt;Café Opéra 16/10/25 : présentation FO Ofilae, Audacia, échanges sur besoins clients (small/mid cap France/US, peu de VC, intérêt PME Défense, fonds éligibles taxe holdings familiales). Relance 20/11/25 : envoi présentation opportunité ATDI/Straton. Prochaine étape : attente retour prospect sur fonds proposés.&lt;/p&gt;</t>
  </si>
  <si>
    <t>Pas encore prêt - A alimenter</t>
  </si>
  <si>
    <t>Multi Family Office</t>
  </si>
  <si>
    <t>INHESTIA</t>
  </si>
  <si>
    <t>Benoit COINTE</t>
  </si>
  <si>
    <t>&lt;p&gt;Relance mail envoyée, Benoît prend plus de temps pour audit clients, propose RDV courant mars à Toulouse. Prochaine étape : organiser RDV sur place. Création MFO 2025, 6 familles toulousaines, exécution investissements prévue 2026, 3 nouvelles familles pourraient rejoindre.&lt;/p&gt;</t>
  </si>
  <si>
    <t>RDV A TOULOUSE LE 24/03</t>
  </si>
  <si>
    <t>30</t>
  </si>
  <si>
    <t>Caisse Régionale du Crédit Agricole Brie-Picardie</t>
  </si>
  <si>
    <t>Benjamin GREBET</t>
  </si>
  <si>
    <t>Amaury Daignes</t>
  </si>
  <si>
    <t>&lt;p&gt;RDV physique 28/01/26 : présentation offre gestion de fortune PE, 3 fonds externes, 2bn d'assets, volonté de diversification, comité direction demande process référencement, potentiel levée 1-5M€. 10/02 : reprise de contact, envoi lien Dataroom Straton. Prochaine étape : relancer Benjamin (deadline 12/02).&lt;/p&gt;</t>
  </si>
  <si>
    <t>Relancer Benjamin, l'appeler</t>
  </si>
  <si>
    <t>CGP</t>
  </si>
  <si>
    <t>DAYLIGHT CONSEILS</t>
  </si>
  <si>
    <t>Dorian Lagarnaudi</t>
  </si>
  <si>
    <t>&lt;p&gt;Validation montant fonds reportée à 2026 (incertitudes fiscales). Déjeuner Bourrienne CB, OPNF, TS avec Daylight FO (Dorian Lagarnaudie) prévu, participants Charles, Olivier, Thomas. Nouvelles dates à positionner. Pas d'enrichissement possible (email non valide). Prochaine étape : fixer RDV.&lt;/p&gt;</t>
  </si>
  <si>
    <t>Déjeuner Bourrienne CB, OPNF, TS avec Daylight FO (M. Dorian Lagarnaudie)</t>
  </si>
  <si>
    <t>HNWI</t>
  </si>
  <si>
    <t>M. et Mme Picchioli</t>
  </si>
  <si>
    <t>&lt;p&gt;RDV 02/02/2026 avec CB, EG, CP pour investissement 400K€ en trésorerie. Visio réalisée, échanges sur modalités d'investissement. Enrichissement lead impossible (email invalide). Nouvelle piste créée pour équipe Ventes. Prochaines étapes non précisées, attente retour prospect.&lt;/p&gt;</t>
  </si>
  <si>
    <t>Banque (haut de bilan)</t>
  </si>
  <si>
    <t>AGRICA EPARGNE</t>
  </si>
  <si>
    <t>Aurélien Leguay</t>
  </si>
  <si>
    <t>&lt;p&gt;04/02 : Présentation défense, 100m equity/dette listée, commission placements ok, rdv Q1 2026. Ticket 5-10m€. Débat liquidité/désinvestissement. Passage CA avril 2026 pour autorisation, hors spectre actuel. Comité investissement prévu mai 2026. Suivi exit à prévoir.&lt;/p&gt;</t>
  </si>
  <si>
    <t>Uniprevoyance</t>
  </si>
  <si>
    <t>Catherine Lombard</t>
  </si>
  <si>
    <t>&lt;p&gt;Relance mail 12/02/2026 pour connaître stratégie d'investissement, focus PE non cotés souveraineté. Aucun retour ni activité récente. Piste créée pour équipe Ventes. Pas d'autres échanges, notes ou actions récentes. Prochaine étape : attente réponse prospect sur stratégie.&lt;/p&gt;</t>
  </si>
  <si>
    <t>FAMILY PARTNERS</t>
  </si>
  <si>
    <t>Stéphane Rogron</t>
  </si>
  <si>
    <t>&lt;p&gt;Café 6/11 Stéphane x Pauline, découverte FO, présentation Audacia, intérêt pour spatial/quantique/défense, envoi présentations, relances mails/voeux, appel Stéphane (message laissé), mail présentation ATDI, feedback : peu d'intérêt pour 150 ob ter, 100% honoraires, co-invest Andera, évitent plateformes. Prochaine étape : event 26/01.&lt;/p&gt;</t>
  </si>
  <si>
    <t>EMERAUDE CAPITAL</t>
  </si>
  <si>
    <t>Benjamin Continente</t>
  </si>
  <si>
    <t>&lt;p&gt;Aucune activité ou échange récent enregistré sur EMERAUDE CAPITAL. Groupe détenu partiellement par Abenex (LBO), stratégie de croissance par rachats, 6 acquisitions depuis septembre, 1,3 Md€ sous gestion, ticket moyen 350k, 10-15% PE dans portefeuilles, intérêt potentiel pour 150 OB ter.&lt;/p&gt;</t>
  </si>
  <si>
    <t>Appel Benjamin Continente pour RDV Paris ou Toulouse courant mars</t>
  </si>
  <si>
    <t>AG Patrimoine</t>
  </si>
  <si>
    <t>Anais Gouirand</t>
  </si>
  <si>
    <t>&lt;p&gt;Visio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Opale.&lt;/p&gt;</t>
  </si>
  <si>
    <t>&lt;p&gt;Investisseurs historiques Audacia (Constellation 1: 500k, 3: 122k). Call Teams passé 2/02. Visio 10/02 avec CB, EG, CP pour projet d'investir 400k en tréso. Pas de retour prospect sur fonds présentés. Prochaine étape non précisée, attente feedback ou nouvelle prise de contact.&lt;/p&gt;</t>
  </si>
  <si>
    <t>Opportunité de Picket Wealth</t>
  </si>
  <si>
    <t>Karine Wilkinson</t>
  </si>
  <si>
    <t>&lt;p&gt;05/02/2026&amp;nbsp;: Actus et ak en cours, client potentiellement intéressé, attente confirmation pour fixer rencontre avec Charles. Lead créé pour équipe Ventes, tentative d'enrichissement impossible (email non valide). Prochaine étape&amp;nbsp;: retour client pour RDV.&lt;/p&gt;</t>
  </si>
  <si>
    <t>20</t>
  </si>
  <si>
    <t>Rydge KPMG</t>
  </si>
  <si>
    <t>Edouard Sommade</t>
  </si>
  <si>
    <t>&lt;p&gt;05/02/2026: Intérêt fort confirmé pour nos stratégies diversification/remploi. Partenariat long envisagé, screening complet d'Audacia avant signature. Accord de principe pour fonds remploi, préparation conditions financières/rémunération en cours. Prochaine étape: finalisation partenariat.&lt;/p&gt;</t>
  </si>
  <si>
    <t>Arwen MFO</t>
  </si>
  <si>
    <t>Gwendal Garrigue</t>
  </si>
  <si>
    <t>&lt;p&gt;09/02: Point PTF C2 avec Thomas. Lead enrichissement impossible (email invalide). Nouvelle piste créée pour équipe Ventes. Pas d'autres activités ou prochaines étapes renseignées. Aucun retour prospect sur fonds ni conclusion mentionnée.&lt;/p&gt;</t>
  </si>
  <si>
    <t>Union des Mutuelles Retraites</t>
  </si>
  <si>
    <t>Lyes Larezki</t>
  </si>
  <si>
    <t>&lt;p&gt;05/02: UmR discute fonds défense, CA impliqué, administrateurs Éducation nationale, principe OK pour 2 petits tickets. 3 fonds en lice: EMERGENCE (growth majo), AUDACIA/NewAlpha (mino), fonds dettes (pas SIENNA IM), Weinberg fermé. RDV en cours avec Liez Arezky, interviews à lancer. Pas d'autres actions récentes.&lt;/p&gt;</t>
  </si>
  <si>
    <t>Abeille Assurances</t>
  </si>
  <si>
    <t>Nicolas Dechaux</t>
  </si>
  <si>
    <t>RDV d'actualité sur STRATON, le 25 mars / revue d'actu sur STRATON ET ABEILLE</t>
  </si>
  <si>
    <t>CAISSE D'EPARGNE ILE DE FRANCE - CEIDF</t>
  </si>
  <si>
    <t>Guillaume GUIN</t>
  </si>
  <si>
    <t>&lt;p&gt;Déj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attendue.&lt;/p&gt;</t>
  </si>
  <si>
    <t>Klésia</t>
  </si>
  <si>
    <t>Christian SCHMIDT DE LA BRÉLIE</t>
  </si>
  <si>
    <t>&lt;p&gt;RDV fait avec Emmanuelle Cales (AGPM) : nettoyage lancé, vente d’actions cotées, marge retrouvée en PE. Deck envoyé, suivi sur levées/investissements. Tickets envisagés 2026 : Straton 5-10M€, gros ticket &amp;gt;20M€ (ADIT ?). Concurrence présente. Prochaine étape : point d’actu Straton, besoin de temps, deadline 27/03/2026.&lt;/p&gt;</t>
  </si>
  <si>
    <t>Défense / tout le marché les interroge / Point d'actu sur STRATON / Besoin de temps</t>
  </si>
  <si>
    <t>&lt;p&gt;19/01/2026: coordination avec UNEI (Ronan Provost), dossier instruit indépendamment de UNEO, rdv 2 en cours. Pas d'autres infos sur retours prospects ou prochaines étapes. Création piste notifiée, enrichissement lead sans données trouvées. Pas d'activité récente supplémentaire.&lt;/p&gt;</t>
  </si>
  <si>
    <t>AGAMI Family Office</t>
  </si>
  <si>
    <t>François Simon</t>
  </si>
  <si>
    <t>&lt;p&gt;Intérêt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notables.&lt;/p&gt;</t>
  </si>
  <si>
    <t>BELFIUS INSURANCE</t>
  </si>
  <si>
    <t>Didier Lamote</t>
  </si>
  <si>
    <t>&lt;p&gt;Piste créée pour équipe Ventes, pas d'échanges ou retours prospect, aucune action significative menée à ce jour. Prochaine étape : relancer Didier sur Mobilisation (deadline 18/12/2025). Pas de conclusion prospect, pas de passage en comité mentionné.&lt;/p&gt;</t>
  </si>
  <si>
    <t>relancer Didier sur Mobilisation</t>
  </si>
  <si>
    <t>10</t>
  </si>
  <si>
    <t>Caisse Régionale du Crédit Agricole centre France</t>
  </si>
  <si>
    <t>Didier Ramond</t>
  </si>
  <si>
    <t>&lt;p&gt;07/01 RDV avec Didier Ramond (CRCA Centre France)&amp;nbsp;: stratégie PE, focus capdev, innovation, fonds propres, tickets 400k-2M€, intérêt BITD/défense, réflexion fonds d’ancrage, volonté co-investisseur. Relance faite. Prochaine étape&amp;nbsp;: RDV 2 avec Thomas Schmits pour approfondir dealflow/fonds de fonds.&lt;/p&gt;</t>
  </si>
  <si>
    <t>Rdv</t>
  </si>
  <si>
    <t>ARKEA</t>
  </si>
  <si>
    <t>Sophie COULON-RENOUVEL</t>
  </si>
  <si>
    <t>&lt;p&gt;Réunion stratégique ARKEA prévue (Février STRATON&amp;lt;&amp;gt;SLPE EXPANSION). Dernière activité&amp;nbsp;: organisation de RDV, échéance 14/01/2026. Pas de retour prospect ni conclusion sur fonds. Nouvelle piste créée pour équipe Ventes. Pas d'autres échanges ou actions notables recensés à ce jour.&lt;/p&gt;</t>
  </si>
  <si>
    <t>Février STRATON&lt;&gt;SLPE EXPANSION</t>
  </si>
  <si>
    <t>IPECA</t>
  </si>
  <si>
    <t>David Boyer</t>
  </si>
  <si>
    <t>&lt;p&gt;21/01/2026 : IPECA intéressé par financement BITD, allocation PE non coté saturée, rien avant 2 ans sauf distribution. Ticket habituel 5M€. Déception sur intervention État dans fonds Tickehau. Ouvert à fonds de dette défense si rendement &amp;gt;8%, décision après échange DG et déjeuner en cours.&lt;/p&gt;</t>
  </si>
  <si>
    <t>Conseil</t>
  </si>
  <si>
    <t>SPVM</t>
  </si>
  <si>
    <t>Aurélien Faure</t>
  </si>
  <si>
    <t>&lt;p&gt;Prospect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Straton.&lt;/p&gt;</t>
  </si>
  <si>
    <t>relancer sur Straton pour un passage comité en janvier 2026</t>
  </si>
  <si>
    <t>SAINT OLIVE et Cie (BANQUE)</t>
  </si>
  <si>
    <t>François Permezel</t>
  </si>
  <si>
    <t>&lt;div data-oe-version="2.0"&gt;Rendez-vous réalisé le 22 octobre 2025 avec Stéphane Grauer et Charles Saint Olive&lt;/div&gt;&lt;div&gt;&amp;nbsp;Intérêt fonds straton et spatial. Étudier potentiel club deal immo Lyon&lt;/div&gt;</t>
  </si>
  <si>
    <t>Carac</t>
  </si>
  <si>
    <t>Estelle KERENFLEC'H</t>
  </si>
  <si>
    <t>&lt;p&gt;Appel update 24/02/2026 avec Estelle : fonds de dette impact en cours, pas de réinvestissement Weinberg, mapping des fonds en France prévu, Partners group en stand-by pour due dil Tikehau, Fabrice réticent au non côté, échanges courtier, chasse Mgen pour Géraldine Brasseur, RDV Partners en mars.&lt;/p&gt;</t>
  </si>
  <si>
    <t>Intérêt à qualifier</t>
  </si>
  <si>
    <t>FRR - Fonds de Réserve pour les Retraites</t>
  </si>
  <si>
    <t>Victoire Costa de Beauregard</t>
  </si>
  <si>
    <t>&lt;p&gt;1er RDV Straton via fonds de fonds, instruction prévue avril 2026 (mandat ad hoc FRR). Bon lien Victoire, obstacles ratios, souhaitent TIBI 2 mais pas de parrainage possible car entité publique. Thèses compatibles mandats. Prochaine action&amp;nbsp;: prise de nouvelles avant 13/03/2026.&lt;/p&gt;</t>
  </si>
  <si>
    <t>Prise de Nouvelles</t>
  </si>
  <si>
    <t>CNP Assurances</t>
  </si>
  <si>
    <t>Raphaël BONTE</t>
  </si>
  <si>
    <t>&lt;p&gt;Présentation Expansion/Straton, bon contact, prospect a investi 15M€ dans CICLAD, cible 15M€ dans STRATON. Expansion jugé trop niche, Straton définitivement KO (taille/fonds PME). Suivi à alimenter. Prochaine action : prendre des nouvelles avant le 19/03. Enrichissement lead impossible (email invalide).&lt;/p&gt;</t>
  </si>
  <si>
    <t>prendre des nouvelles</t>
  </si>
  <si>
    <t>Thierry Sanson</t>
  </si>
  <si>
    <t>&lt;p&gt;Nouvelle piste créée pour équipe Ventes, lead identifié Thomas Schmitz (TS). Aucun échange, action ou retour prospect enregistré à ce jour. Pas d'activité planifiée ni de suivi constaté. Prochaines étapes non définies, attente de premières interactions ou retours.&lt;/p&gt;</t>
  </si>
  <si>
    <t>150 0 Ber &lt;&gt; straton et Procession</t>
  </si>
  <si>
    <t>Belles Rives CGP</t>
  </si>
  <si>
    <t>Franck Girard</t>
  </si>
  <si>
    <t>&lt;p&gt;Piste créée pour équipe Ventes. 26/02/2026 : call pour signature convention distribution fonds. En attente KYC distributeur. Enrichissement lead impossible (email non valide). Aucune activité planifiée ou réalisée depuis, prochaine étape : finaliser KYC pour avancer.&lt;/p&gt;</t>
  </si>
  <si>
    <t>CAISSE PREVOYANCE ET RETRAITE PERS FERROVIAIRE</t>
  </si>
  <si>
    <t>Pierre Robin</t>
  </si>
  <si>
    <t>&lt;p&gt;Aucune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ferroviaires.&lt;/p&gt;</t>
  </si>
  <si>
    <t>AG2R La Mondiale</t>
  </si>
  <si>
    <t>Cyrille ROUSTANG</t>
  </si>
  <si>
    <t>&lt;p&gt;29/04/2025 RDV AG2R : présentation Straton &amp;amp; Expansion, échanges sur fonds quantique, spatial, défense, nucléaire. AG2R analyse opportunités, questionne thématiques, contraintes internes, intérêt pour fonds Origa et TIBI. 30/04/2025 mail suivi, dossier partagé, ouverture à approfondir défense. 20/02/2026 relance, actualités fonds, proposition RDV. Prochaine étape : présentation Straton, focus défense.&lt;/p&gt;</t>
  </si>
  <si>
    <t>Malakoff Humanis</t>
  </si>
  <si>
    <t>Boris Jacquet</t>
  </si>
  <si>
    <t>&lt;p&gt;RDV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2026.&lt;/p&gt;</t>
  </si>
  <si>
    <t>Jérémie Lepissier</t>
  </si>
  <si>
    <t>&lt;p&gt;Intérêt initial pour diversification/remploi (ex-CEO SDG Matjys). Café le 24/02, ticket jugé trop important par prospect. Dernier échange : prospect se consacre à l'achat de son appartement, projet mis en pause. Prochaine action : prise de news prévue le 04/01/2027.&lt;/p&gt;</t>
  </si>
  <si>
    <t>Societe Generale Private Banking</t>
  </si>
  <si>
    <t>Julie Nadal</t>
  </si>
  <si>
    <t>&lt;p&gt;Projet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stade.&lt;/p&gt;</t>
  </si>
  <si>
    <t>RSC SAS Famille Derville</t>
  </si>
  <si>
    <t>Famille Derville</t>
  </si>
  <si>
    <t>&lt;p&gt;Déjeuner prévu le 26/03 avec Famille Derville, participants Charles et Olivier. Aucun retour prospect ni échange significatif enregistré à ce jour. Pas d'avis prospect sur fonds. Prochaine étape : RDV physique à venir. Aucun appel ni message détaillé dans l'historique récent.&lt;/p&gt;</t>
  </si>
  <si>
    <t>Déjeuner Bourrienne CB, OPNF, RSC SAS avec la Famille Derville</t>
  </si>
  <si>
    <t>Société de gestion</t>
  </si>
  <si>
    <t>NORMANDIE PARTICIPATIONS</t>
  </si>
  <si>
    <t>Franck MURRAY</t>
  </si>
  <si>
    <t>&lt;p&gt;RDV physique 27/01/2026 avec Normandie Participations : fonds régional 100M€, 60 participations, ticket capé, focus PME/ETI, lancement fonds défense, intérêt pour dealflow normand, rassurant pour dirigeants. Prochaine étape : présenter dealflow Normand, deadline 07/05/2026.&lt;/p&gt;</t>
  </si>
  <si>
    <t>Co-invest en Région Normandie</t>
  </si>
  <si>
    <t>ALPHIDES CONSEIL</t>
  </si>
  <si>
    <t>Fabien Guedes</t>
  </si>
  <si>
    <t>&lt;p&gt;Piste créée équipe Ventes. Tentative enrichissement lead échouée (email invalide). Échange sur fonds deeptech et remploi clients, pas de retour prospect ni prochaines étapes identifiées. Aucune activité complémentaire, pas de conclusion prospect sur fonds présentés.&lt;/p&gt;</t>
  </si>
  <si>
    <t>BPCE SA</t>
  </si>
  <si>
    <t>Olivia Laplane</t>
  </si>
  <si>
    <t>&lt;p&gt;RDV physique 30/01/2026 CRR/BPCE SA : Olivia Laplane anime CE/BP pour BITD, référent défense par Caisse/BP, prise de parole prévue mars 2026 BITD, attente commande, connexion webinar Straton, montée en gamme, cible témoignage Straton 9/04. Aucun suivi d'activité supplémentaire détecté.&lt;/p&gt;</t>
  </si>
  <si>
    <t>CAISSE D'EPARGNE LOIRE CENTRE</t>
  </si>
  <si>
    <t>Isabelle Jallet</t>
  </si>
  <si>
    <t>&lt;p&gt;05/01/25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défense.&lt;/p&gt;</t>
  </si>
  <si>
    <t>Bred Banque Privée</t>
  </si>
  <si>
    <t>Caroline Thiebaud</t>
  </si>
  <si>
    <t>&lt;p&gt;Nouvelle piste créée pour équipe Ventes. Discussion reprise sur fonds Audacia, pas de retour prospect sur fonds. Tentative d'enrichissement lead échouée (email non valide). Aucune activité future planifiée, pas d'autres actions ou retours significatifs identifiés.&lt;/p&gt;</t>
  </si>
  <si>
    <t>MUTUELLE INTERIALE</t>
  </si>
  <si>
    <t>Jean-François Tilquin</t>
  </si>
  <si>
    <t>&lt;p&gt;Déj. à caler début fév. avec Interiale, relance prévue semaine du 25/01 si pas de retour. Leur DG/élus attendent initiative publique défense. Pas de capacité 2025/Q1 2026. Conseil d’admin. sceptique sur P-E, préfère fonds de dettes, report décision 2026. Tenir Tilquin informé.&lt;/p&gt;</t>
  </si>
  <si>
    <t>Caler un déjeuner début février (relancer semaine du 25/01 si pas de nouvelle)</t>
  </si>
  <si>
    <t>MIF Mutuelle d'Ivry</t>
  </si>
  <si>
    <t>Walid Sanna</t>
  </si>
  <si>
    <t>&lt;p&gt;13/01/2026 : deck envoyé, à alimenter en 2026. Lead créé pour équipe Ventes. Tentative d'enrichissement échouée (email non valide). Aucune activité ni échange prospect identifié depuis, pas de retour ni prochaine étape précisée. Suivi à relancer ou compléter.&lt;/p&gt;</t>
  </si>
  <si>
    <t>WAGNER Gestion Privée</t>
  </si>
  <si>
    <t>Franck GIRARD</t>
  </si>
  <si>
    <t>&lt;p&gt;Nouvelle piste créée pour équipe Ventes. Proposition de call rapide 30 min avec client pour discuter remploi sur deux fonds. Tentative d'enrichissement lead échouée (email invalide). Pas d'autres actions ou retours du prospect. Prochaines étapes : organiser le call proposé, attente retour client.&lt;/p&gt;</t>
  </si>
  <si>
    <t>IVESTA (150 0 B ter)</t>
  </si>
  <si>
    <t>Etienne MALLENGIER</t>
  </si>
  <si>
    <t>&lt;p&gt;Déjeuner 5 mars avec T Barrey (fonds de fonds IVESTA). IVESTA gère 3bn, 100 fonds PE, 20% venture. Intérêt pour spécialistes, ticket 1M€ Straton évoqué, coalition familles possible. Processus de référencement en cours, 4 votants. Relance prévue fin mars sur décision Straton/1M€.&lt;/p&gt;</t>
  </si>
  <si>
    <t>relance fin mars sur leur choix de regarder STRATON / 1Me</t>
  </si>
  <si>
    <t>FONDATION FRANCOIS SOMMER</t>
  </si>
  <si>
    <t>Alban de Loisy</t>
  </si>
  <si>
    <t>&lt;p&gt;Aucune activité menée sur le prospect. Nouvelle piste créée pour l'équipe Ventes, aucune interaction, suivi ou action complémentaire enregistrée à ce jour. Pas de retour du prospect, pas de rendez-vous, pas d'échange, pas de prochaine étape planifiée. Suivi à initier.&lt;/p&gt;</t>
  </si>
  <si>
    <t>STRATON &lt;&gt; reprendre rdv avec Thierry Brevet</t>
  </si>
  <si>
    <t>Probablement mort</t>
  </si>
  <si>
    <t>Antoine Beclin</t>
  </si>
  <si>
    <t>&lt;p&gt;Nouveau lead créé équipe Ventes. Rencontre apéro Fort de France 23/02/2026. Objectif : référencement in-house BRED, chasse gardée Guyane/FdF, faible concurrence gestion privée. Cible : 300 grandes familles (3000 pers) orientées conquête Guyane/Cap/Réunion/NC. Prochaine étape : présenter fonds Straton et Géodesic.&lt;/p&gt;</t>
  </si>
  <si>
    <t>Prochaine étape : présenter formellement les fonds Straton et Géodesic.</t>
  </si>
  <si>
    <t>SOFIDY GESTION PRIVEE</t>
  </si>
  <si>
    <t>David Guillemet</t>
  </si>
  <si>
    <t>&lt;p&gt;Appel terminé, prospect a des demandes sur 150-0 B ter, rdv téléphonique prévu sur offre actuelle, attend retour si intérêt clients. Enrichissement lead impossible (email non valide). Nouvelle piste créée pour équipe Ventes. Pas d'autres actions ou retours prospect notés.&lt;/p&gt;</t>
  </si>
  <si>
    <t>NBIM - NORGES BANK INVESTMENT MANAGER</t>
  </si>
  <si>
    <t>Kenza IDMAHAMMA</t>
  </si>
  <si>
    <t>&lt;p&gt;RDV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maintenir.&lt;/p&gt;</t>
  </si>
  <si>
    <t>UNION DES BLESSES DE LA FACE ET DE LA TETE</t>
  </si>
  <si>
    <t>Godefry Pouch</t>
  </si>
  <si>
    <t>&lt;p&gt;30/01 : RDV physique d'intro réalisé avec Colonel Eric Philippe (Président). Demande formelle reçue, feedback positif, RDV 2 en cours de planification. Pas d'autres actions ou retours prospect détaillés à ce stade. Suivi à prévoir sur l'organisation du prochain RDV.&lt;/p&gt;</t>
  </si>
  <si>
    <t>MONCEAU GENERALE ASSURANCES</t>
  </si>
  <si>
    <t>Jérome Sennelier</t>
  </si>
  <si>
    <t>&lt;p&gt;Aucune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récentes.&lt;/p&gt;</t>
  </si>
  <si>
    <t>Association</t>
  </si>
  <si>
    <t>CAVP Caisse d'Assurance Vieillesse des Pharmaciens</t>
  </si>
  <si>
    <t>Alain PESTRE</t>
  </si>
  <si>
    <t>&lt;p&gt;Nouvelle piste créée pour équipe Ventes par Romain Andrieu le 06/01/2026. Aucun échange, activité ou action de suivi enregistrés depuis la création. Pas de retour prospect, pas de prochaine étape planifiée, aucune interaction significative à ce jour.&lt;/p&gt;</t>
  </si>
  <si>
    <t>Corporate</t>
  </si>
  <si>
    <t>Safra</t>
  </si>
  <si>
    <t>Hugo Belliard</t>
  </si>
  <si>
    <t>&lt;p&gt;03/02/2026: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notés.&lt;/p&gt;</t>
  </si>
  <si>
    <t>OUTMATCH INVEST</t>
  </si>
  <si>
    <t>Thomas Sanson</t>
  </si>
  <si>
    <t>&lt;p&gt;Intérêt souverain noté le 28/01, création piste pour équipe Ventes. Tentative d'enrichissement lead échouée (email invalide). Aucune activité ou action supplémentaire enregistrée, pas de prochaine étape identifiée à ce jour.&lt;/p&gt;</t>
  </si>
  <si>
    <t>MATMUT</t>
  </si>
  <si>
    <t>Nicolas GOMART</t>
  </si>
  <si>
    <t>&lt;p&gt;RDV physique réalisé avec Aurélie Dumont pour fonds XXXX, échanges synthétisés, prochaines étapes définies (détails non précisés). Nouvelle piste créée pour équipe Ventes. Pas d'autres activités ou retours prospect détaillés. Suivi à poursuivre selon plan établi.&lt;/p&gt;</t>
  </si>
  <si>
    <t>Marie de Vaugelas</t>
  </si>
  <si>
    <t>&lt;p&gt;Aucune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prospect.&lt;/p&gt;</t>
  </si>
  <si>
    <t>Ecureuil Protection Social</t>
  </si>
  <si>
    <t>Brice PIPINO</t>
  </si>
  <si>
    <t>&lt;p&gt;Aucune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disponibles.&lt;/p&gt;</t>
  </si>
  <si>
    <t>BANQUE POPULAIRE RIVE DE PARIS</t>
  </si>
  <si>
    <t>Mélanie salomez</t>
  </si>
  <si>
    <t>&lt;p&gt;RDV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2027.&lt;/p&gt;</t>
  </si>
  <si>
    <t>relancer en Juin 2026 pour instruction 2027</t>
  </si>
  <si>
    <t>Strat&amp;Fi Solutions</t>
  </si>
  <si>
    <t>Pauline de Sanderval</t>
  </si>
  <si>
    <t>relance le fin mars 2026</t>
  </si>
  <si>
    <t>SNCF</t>
  </si>
  <si>
    <t>Lucas RUDOLF</t>
  </si>
  <si>
    <t>&lt;p&gt;Mail présentation Straton envoyé 10/02, attribution initiale Romain Andrieu. Enrichissement lead impossible (email non valide). Nouvelle piste créée pour équipe Ventes. Pas d'activité ou retour prospect, prochaines étapes non définies. Suivi à relancer si besoin.&lt;/p&gt;</t>
  </si>
  <si>
    <t>KL Conseil Notaires</t>
  </si>
  <si>
    <t>Caroline Emerique</t>
  </si>
  <si>
    <t>&lt;p&gt;Présentation fonds Audacia au prospect pour étudier un partenariat et envoi de dossiers. Aucun retour du prospect sur l'intérêt ou les suites à donner. Tentative d'enrichissement lead échouée (email invalide). Pas d'autres actions ou activités planifiées à ce jour.&lt;/p&gt;</t>
  </si>
  <si>
    <t>MIFAssur</t>
  </si>
  <si>
    <t>Walid SANAA</t>
  </si>
  <si>
    <t>&lt;p&gt;RDV physique réalisé : prospect pas intéressé par le fonds coté à ce stade, taux jugés peu attractifs. Walid Sanna : allocation en réflexion, à alimenter. Déjeuner prévu février pour relance. Prochaine action : relancer pour déjeuner, suivi à maintenir.&lt;/p&gt;</t>
  </si>
  <si>
    <t>Relancer pour un déjeuner</t>
  </si>
  <si>
    <t>MIE Mutuelle Intergroupes d'Entraide</t>
  </si>
  <si>
    <t>Véronique Dubois</t>
  </si>
  <si>
    <t>&lt;p&gt;Appel intro 10/02 avec Véronique Dubois (DG). MIE : 15M€ AUM, inv. annuel 0,8M€, 100% cotés, 4 partenaires historiques (Crédit Coopératif, BRED, courtier). Gestion directe. Prochaine étape : Commission des placements le 25/03/2026. Pas d'autres actions ni retours prospect mentionnés.&lt;/p&gt;</t>
  </si>
  <si>
    <t>Cabinet d'avocats</t>
  </si>
  <si>
    <t>ARKWOOD</t>
  </si>
  <si>
    <t>Xavier GUERIN</t>
  </si>
  <si>
    <t>&lt;p&gt;Présentation fonds remploi Audacia, prospect intéressé mais très occupé (études expatriation). Relances : café Arkwood Avocats 25/02, appel 06/03, toujours en attente retour. Prochaine action : prise de news prévue le 18/03. Pas de conclusion prospect sur fonds à ce stade.&lt;/p&gt;</t>
  </si>
  <si>
    <t>prise de news</t>
  </si>
  <si>
    <t>NOBC</t>
  </si>
  <si>
    <t>Mayo KABA</t>
  </si>
  <si>
    <t>&lt;p&gt;Aucune activité menée sur le prospect. Dernière action prévue&amp;nbsp;: relancer sur Straton (échéance 29/11/2025). Type d’activité récente&amp;nbsp;: appel à passer. Aucun message nécessitant une action. Peu d’infos détaillées sur le prospect ou ses activités. Pas de données chiffrées ni conclusion prospect.&lt;/p&gt;</t>
  </si>
  <si>
    <t>CARCDSF CAISSE AUTONOME DE RETRAITE DES CHIRURGIENS DENTISTES ET DES SAGES-FEMMES</t>
  </si>
  <si>
    <t>Anne-Laure Baud</t>
  </si>
  <si>
    <t>&lt;p&gt;Aucune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notés.&lt;/p&gt;</t>
  </si>
  <si>
    <t>COVEA FINANCE</t>
  </si>
  <si>
    <t>Olivier Leborgne</t>
  </si>
  <si>
    <t>&lt;p&gt;29/01/2025: COVEA FINANCE a investi 15M€ dans Weinberg, satisfait du rythme du fonds mais préoccupé par l'exit, croit à la thèse européenne. Nombreux fonds vus pour la Défense. Deck envoyé après déjeuner, relance effectuée, retour prospect neutre. Pas d'action future planifiée.&lt;/p&gt;</t>
  </si>
  <si>
    <t>DESJARDINS (CC DESJARDINS)</t>
  </si>
  <si>
    <t>Mathieu Gouin</t>
  </si>
  <si>
    <t>&lt;p&gt;Multiples RDV avec Desjardins Capital (Pierre Tessier, Danielle Filistin) depuis sept 2023. Intérêt marqué pour quantique, IA, infras énergétiques, mais priorité à retombées québécoises et co-investissement, gérant local requis. Discussions en cours sur fonds transatlantique, mapping envoyé, suivi à faire sur HealthTech/Energy. Prochain RDV fixé.&lt;/p&gt;</t>
  </si>
  <si>
    <t>rdv avec Pierre Tessier</t>
  </si>
  <si>
    <t>BANQUE POPULAIRE GRAND OUEST</t>
  </si>
  <si>
    <t>Delphine KERAMBRUN</t>
  </si>
  <si>
    <t>&lt;p&gt;Appel terminé avec Delphine Kerabuam : elle couvre le LCR, le non coté géré par le DGD Bruno Pain. Demande de RDV effectuée avec le DGD. Prochaine étape : organiser RDV avec Bruno Pain. Pas d'autres retours ou actions notables à ce jour. Suivi assuré par Romain Andrieu.&lt;/p&gt;</t>
  </si>
  <si>
    <t>Prendre RDV avec le DGD Bruno Pain.</t>
  </si>
  <si>
    <t>PREVOIR VIE GROUPE PREVOIR</t>
  </si>
  <si>
    <t>Laurent Degioanni</t>
  </si>
  <si>
    <t>&lt;p&gt;Aucune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planifiées.&lt;/p&gt;</t>
  </si>
  <si>
    <t>MEESCHAERT GESTION PRIVEE</t>
  </si>
  <si>
    <t>Nicolas Andrieu</t>
  </si>
  <si>
    <t>&lt;p&gt;Nouvelle piste créée pour équipe Ventes. Tentative d'enrichissement lead échouée (email invalide). Action prévue : organiser petit déjeuner avec clients. Aucune activité supplémentaire ni retour prospect sur fonds présentés. Prochaine étape : planification du rendez-vous.&lt;/p&gt;</t>
  </si>
  <si>
    <t>IPECA RETRAITE</t>
  </si>
  <si>
    <t>&lt;p&gt;RDV physique 21/01/2025 : David Boyer ouvert à discuter défense, pas d'intérêt pour fonds Tourisme, PE non coté exclu, dette possible, investissements 2026 axés souveraineté/défense. Prochaine étape : caler déjeuner présentation STRATON avec David Boyer avant 02/03/2026. Aucun échange récent détecté.&lt;/p&gt;</t>
  </si>
  <si>
    <t>déjeuner de présentation de STRATON</t>
  </si>
  <si>
    <t>Boursorama Gestion Privée</t>
  </si>
  <si>
    <t>Jean Bay</t>
  </si>
  <si>
    <t>&lt;p&gt;05/02/2026: Intérêt prospect pour solutions diversification, peu de dossiers remploi, prise de contact pour fixer RDV avec Charles. Lead créé pour équipe Ventes. Enrichissement lead impossible (email invalide). Prochaine étape : trouver date RDV avec Charles. Pas d'autres actions récentes.&lt;/p&gt;</t>
  </si>
  <si>
    <t>CHEVAL BLANC PATRIMOINE</t>
  </si>
  <si>
    <t>Nam Delpierre</t>
  </si>
  <si>
    <t>&lt;p&gt;25/02/2026 : RDV café Paris 16 avec Directeur Cheval Blanc Patrimoine CGP, présentation offre globale. Intérêt mais pas de suite, préfère fonds de dette privés, réticent sur fonds fiscaux (mauvaise réputation). 28/01/2026 : call vœux, collecte FCPI Wind. Pas d'action future prévue à ce stade.&lt;/p&gt;</t>
  </si>
  <si>
    <t>Fiblac</t>
  </si>
  <si>
    <t>Hugo de Gérauvillier</t>
  </si>
  <si>
    <t>&lt;p&gt;Point sur fonds deeptech, docs à envoyer pour alimenter. Enrichissement lead impossible (email non valide). Nouvelle piste créée pour équipe Ventes. Pas d'autres activités ni retours prospects. Prochaine étape : envoi de documentation, attente retour sur fonds présentés.&lt;/p&gt;</t>
  </si>
  <si>
    <t>UNEDIC</t>
  </si>
  <si>
    <t>Jun DUMOLARD</t>
  </si>
  <si>
    <t>&lt;p&gt;RDV physique UNEDIC &amp;lt;&amp;gt; IPEM le 06/02 : UNEDIC gère 60mds€ de dettes, focus liquidité, politiques d'investissement très monétaires, très peu d'intérêt pour PE, ouverture marginale sur fonds obligataires ESG. Pas d'activité ou de suivi supplémentaire identifié à ce jour.&lt;/p&gt;</t>
  </si>
  <si>
    <t>0</t>
  </si>
  <si>
    <t>BPIFrance</t>
  </si>
  <si>
    <t>Edoardo SAMPAIO</t>
  </si>
  <si>
    <t>&lt;p&gt;Prospect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notables.&lt;/p&gt;</t>
  </si>
  <si>
    <t>Appeler Edoardo de manière light pour le sonder sur Straton</t>
  </si>
  <si>
    <t>CRPCEN (Caisse de Retraîte et de Prévoyance des Clercs et employés de Notaires)</t>
  </si>
  <si>
    <t>Bruno Vaillant</t>
  </si>
  <si>
    <t>&lt;p&gt;Aucune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France.&lt;/p&gt;</t>
  </si>
  <si>
    <t>Caisse de Retraite du Personnel Naviguant (CRPN)</t>
  </si>
  <si>
    <t>Arthur Harmel</t>
  </si>
  <si>
    <t>&lt;p&gt;Olivier Groleau parti début 2025, contact transmis à David Tomi. Relances mails effectuées par Romain Andrieu le 13/01/2026 suite au départ d'Olivier. Pas de retour mentionné de la CRPN. Prochaine étape : attendre réponse de David Tomi ou relancer si besoin. Aucun retour prospect sur fonds présentés.&lt;/p&gt;</t>
  </si>
  <si>
    <t>CAISSE D'EPARGNE ET DE PREVOYANCE HAUTS DE FRANCE</t>
  </si>
  <si>
    <t>Christophe Leguay</t>
  </si>
  <si>
    <t>&lt;p&gt;RDV physique 23/01/2026 avec CAISSE D'EPARGNE ET DE PREVOYANCE HAUTS DE FRANCE. Entreprise BCorp, aucun intérêt pour la défense. Seule piste possible : fonds de fonds capdev et Tourisme. Pas d'autres actions ou prochaines étapes mentionnées. Nouvelle piste créée équipe Ventes.&lt;/p&gt;</t>
  </si>
  <si>
    <t>rdv en 2027 sur la Défense</t>
  </si>
  <si>
    <t>ORPHEOPOLIS</t>
  </si>
  <si>
    <t>Jean-Francois Grimaud</t>
  </si>
  <si>
    <t>&lt;p&gt;Aucune activité menée sur le prospect. ORPHEOPOLIS : acteur majeur protection enfance, gère établissements, accompagne enfants/familles en difficulté, forte implantation nationale, longue histoire. Pas d'interactions, ni retours, ni prochaines étapes identifiées à ce jour.&lt;/p&gt;</t>
  </si>
  <si>
    <t>CAVEC Caisse Assurance Vieillesse Experts Comptables</t>
  </si>
  <si>
    <t>Vincent BRETIN</t>
  </si>
  <si>
    <t>&lt;p&gt;Offre STRATON transmise à la bonne adresse suite au départ de Bretin. Nouvelle piste créée pour équipe Ventes. Aucune activité ou action récente supplémentaire mentionnée. Pas de retour prospect sur l'offre, prochaines étapes non précisées.&lt;/p&gt;</t>
  </si>
  <si>
    <t>MUTUELLE MEDICIS</t>
  </si>
  <si>
    <t>Michel Clerc</t>
  </si>
  <si>
    <t>&lt;p&gt;Aucune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récentes.&lt;/p&gt;</t>
  </si>
  <si>
    <t>Maxime Pech</t>
  </si>
  <si>
    <t>&lt;p&gt;Aucune activité menée sur le prospect. Un nouvelle piste a été créée pour l'équipe "Ventes". Aucun échange, action ou retour prospect enregistré à ce jour. Pas d'informations complémentaires sur l'origine ou le contexte de création. Prochaines étapes non définies, aucun suivi ou relance programmés.&lt;/p&gt;</t>
  </si>
  <si>
    <t>Déjeuner 25 mars 2026, reprendre rdv pour planifier 2027</t>
  </si>
  <si>
    <t>Caisse de retraite du Sénat</t>
  </si>
  <si>
    <t>Gian Marco Revellat</t>
  </si>
  <si>
    <t>&lt;p&gt;Contact établi avec Caisse de retraite du Sénat, attente de proposition de dates pour RDV physique. Aucun retour prospect sur fonds à ce stade, pas de conclusion exprimée. Dernière action par Romain Andrieu le 06/02/2026. Prochaine étape : fixer un rendez-vous dès réception des disponibilités.&lt;/p&gt;</t>
  </si>
  <si>
    <t>Contact établi en attente de dates</t>
  </si>
  <si>
    <t>BPCE Life - Luxembourg</t>
  </si>
  <si>
    <t>Tristan TOUZELLIER</t>
  </si>
  <si>
    <t>&lt;p&gt;Aucune activité menée sur le prospect. Nouvelle piste créée pour l'équipe Ventes, pas d'échanges, d'actions ou de retours enregistrés à ce jour. Aucun suivi, aucune interaction ni prochaine étape identifiée dans le dossier.&lt;/p&gt;</t>
  </si>
  <si>
    <t>GICAT &lt;&gt; STRATON</t>
  </si>
  <si>
    <t>Hubert Raymond</t>
  </si>
  <si>
    <t>&lt;p&gt;Aucune activité menée sur le prospect. Nouvelle piste créée pour l'équipe Ventes, aucune interaction, action ou retour enregistré à ce jour. Pas de suivi, pas de compte-rendu, pas de prochaine étape identifiée. Aucun échange ou retour prospect sur les fonds présentés. Situation inchangée.&lt;/p&gt;</t>
  </si>
  <si>
    <t>STRATON &lt;&gt; Mecenat Doctorant + Conseil sur le dealflow et vie du Fonds</t>
  </si>
  <si>
    <t>UNOFI</t>
  </si>
  <si>
    <t>Patrick BOUCHINDOME</t>
  </si>
  <si>
    <t>&lt;p&gt;RDV physique 10/02/2026 avec Patrick Bouchindom : prospect indique ne pas avoir d’enveloppe pour investissements non-côtés en 2026, pas de veille active sur l’offre. Aucune prochaine action prévue. Nouvelle piste créée pour équipe Ventes le 28/11/2025. Pas d’autres activités récentes.&lt;/p&gt;</t>
  </si>
  <si>
    <t>MGPrev Adel CHANANE</t>
  </si>
  <si>
    <t>Adel CHANANE</t>
  </si>
  <si>
    <t>&lt;p&gt;Relance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récentes.&lt;/p&gt;</t>
  </si>
  <si>
    <t>Caisse d'Epargne et de Prévoyance de Rhone Alpes</t>
  </si>
  <si>
    <t>Didier Bruno</t>
  </si>
  <si>
    <t>&lt;p&gt;16/02/2026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piste.&lt;/p&gt;</t>
  </si>
  <si>
    <t>Rdv en janvier 2027 pour requalifier le lead</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</si>
</sst>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4">
    <font>
      <sz val="10"/>
      <color rgb="000000"/>
      <name val="Arial"/>
    </font>
    <font>
      <sz val="10"/>
      <color rgb="FFFFFF"/>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20">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3" fontId="1" borderId="0" applyAlignment="1">
      <alignment vertical="center" horizontal="center"/>
    </xf>
    <xf numFmtId="164" fillId="3" fontId="1" borderId="0" applyAlignment="1">
      <alignment vertical="center" horizontal="center"/>
    </xf>
    <xf numFmtId="0" fillId="3" fontId="1" borderId="0" applyAlignment="1">
      <alignment vertical="center" horizontal="center" wrapText="1"/>
    </xf>
    <xf numFmtId="0" fillId="0" fontId="1" borderId="0"/>
    <xf numFmtId="0" fillId="0" fontId="3" borderId="0"/>
    <xf numFmtId="0" fillId="0" fontId="3" borderId="0" applyAlignment="1">
      <alignment vertical="center" horizontal="center" wrapText="1"/>
    </xf>
    <xf numFmtId="0" fillId="3" fontId="3" borderId="0" applyAlignment="1">
      <alignment vertical="center" horizontal="center" wrapText="1"/>
    </xf>
    <xf numFmtId="0" fillId="4" fontId="1" borderId="0" applyAlignment="1">
      <alignment vertical="center" horizontal="center" wrapText="1"/>
    </xf>
    <xf numFmtId="49" fillId="0" fontId="3" borderId="0" applyAlignment="1">
      <alignment vertical="center" horizontal="center" wrapText="1"/>
    </xf>
    <xf numFmtId="0" fillId="0" fontId="3" borderId="0" applyAlignment="1">
      <alignment wrapText="1"/>
    </xf>
    <xf numFmtId="0" fillId="0" fontId="3" borderId="0" applyAlignment="1">
      <alignment vertical="center" horizontal="left" wrapText="1"/>
    </xf>
    <xf numFmtId="164" fillId="0" fontId="3" borderId="0" applyAlignment="1">
      <alignment vertical="center" horizontal="center" wrapText="1"/>
    </xf>
    <xf numFmtId="165" fillId="0" fontId="3" borderId="0" applyAlignment="1">
      <alignment vertical="center" horizontal="center" wrapText="1"/>
    </xf>
    <xf numFmtId="164" fillId="0" fontId="3" borderId="0"/>
    <xf numFmtId="165" fillId="0" fontId="3" borderId="0"/>
    <xf numFmtId="49" fillId="0" fontId="3" borderId="0"/>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202" headerRowCount="1" totalsRowCount="0">
  <autoFilter ref="A3:V2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18.88" customWidth="1" hidden="1"/>
    <col min="2" max="2" width="27.17" customWidth="1" hidden="0"/>
    <col min="3" max="3" width="33.89" customWidth="1" hidden="0"/>
    <col min="4" max="4" width="26.31" customWidth="1" hidden="0"/>
    <col min="5" max="5" width="17.59" customWidth="1" hidden="0"/>
    <col min="6" max="6" width="24.17" customWidth="1" hidden="1"/>
    <col min="7" max="7" width="23.31" customWidth="1" hidden="1"/>
    <col min="8" max="8" width="47.9" customWidth="1" hidden="1"/>
    <col min="9" max="9" width="57.63" customWidth="1" hidden="0"/>
    <col min="10" max="10" width="77.08" customWidth="1" hidden="1"/>
    <col min="11" max="11" width="25.31" customWidth="1" hidden="1"/>
    <col min="12" max="12" width="11.01" customWidth="1" hidden="0"/>
    <col min="13" max="13" width="23.31" customWidth="1" hidden="1"/>
    <col min="14" max="14" width="11.87" customWidth="1" hidden="0"/>
    <col min="15" max="15" width="24.88" customWidth="1" hidden="1"/>
    <col min="16" max="16" width="12.3" customWidth="1" hidden="0"/>
    <col min="17" max="17" width="15.16" customWidth="1" hidden="1"/>
    <col min="18" max="18" width="15.16" customWidth="1" hidden="0"/>
    <col min="19" max="19" width="15.16" customWidth="1" hidden="1"/>
    <col min="20" max="20" width="13.3" customWidth="1" hidden="0"/>
    <col min="21" max="21" width="17.16"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 min="37" max="37" width="13.73" customWidth="1" hidden="0"/>
  </cols>
  <sheetData>
    <row r="1" ht="41.2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5">
</c>
      <c r="Y1" s="6">
</c>
      <c r="Z1" s="4">
</c>
      <c r="AA1" s="4">
</c>
      <c r="AB1" s="6">
</c>
      <c r="AC1" s="6">
</c>
      <c r="AD1" s="6">
</c>
      <c r="AE1" s="7">
</c>
      <c r="AF1" s="7">
</c>
      <c r="AG1" s="7">
</c>
      <c r="AH1" s="7">
</c>
      <c r="AI1" s="7">
</c>
      <c r="AJ1" s="7">
</c>
      <c r="AK1" s="7">
</c>
    </row>
    <row r="2" ht="31.5" customHeight="1">
      <c r="A2" s="8">
</c>
      <c r="B2" s="9">
</c>
      <c r="C2" s="9" cm="1" t="n">
        <f t="array" ref="C2">SUBTOTAL(9,V4:V202)</f>
        <v>98</v>
      </c>
      <c r="D2" s="8">
</c>
      <c r="E2" s="8">
</c>
      <c r="F2" s="8">
</c>
      <c r="G2" s="8">
</c>
      <c r="H2" s="8">
</c>
      <c r="I2" s="8">
</c>
      <c r="J2" s="8">
</c>
      <c r="K2" s="8">
</c>
      <c r="L2" s="8">
</c>
      <c r="M2" s="8">
</c>
      <c r="N2" s="8">
</c>
      <c r="O2" s="8">
</c>
      <c r="P2" s="8">
</c>
      <c r="Q2" s="10" cm="1" t="n">
        <f t="array" ref="Q2">SUBTOTAL(9,Q4:Q302)</f>
        <v>71150000</v>
      </c>
      <c r="R2" s="10" cm="1" t="str">
        <f t="array" ref="R2">ROUND(Q2/1000000,3)&amp;" M€"</f>
        <v>71.15 M€</v>
      </c>
      <c r="S2" s="8">
</c>
      <c r="T2" s="8">
</c>
      <c r="U2" s="8">
</c>
      <c r="V2" s="8">
</c>
      <c r="W2" s="8">
</c>
      <c r="X2" s="8">
</c>
      <c r="Y2" s="8">
</c>
      <c r="Z2" s="8">
</c>
      <c r="AA2" s="8">
</c>
      <c r="AB2" s="8">
</c>
      <c r="AC2" s="8">
</c>
      <c r="AD2" s="8">
</c>
      <c r="AE2" s="8">
</c>
      <c r="AF2" s="8">
</c>
      <c r="AG2" s="8">
</c>
      <c r="AH2" s="8">
</c>
      <c r="AI2" s="8">
</c>
      <c r="AJ2" s="8">
</c>
      <c r="AK2" s="8">
</c>
    </row>
    <row r="3" ht="39.75" customHeight="1">
      <c r="A3" s="2" t="s">
        <v>1</v>
      </c>
      <c r="B3" s="2" t="s">
        <v>2</v>
      </c>
      <c r="C3" s="2" t="s">
        <v>3</v>
      </c>
      <c r="D3" s="2" t="s">
        <v>4</v>
      </c>
      <c r="E3" s="2" t="s">
        <v>5</v>
      </c>
      <c r="F3" s="11" t="s">
        <v>6</v>
      </c>
      <c r="G3" s="11" t="s">
        <v>7</v>
      </c>
      <c r="H3" s="11" t="s">
        <v>8</v>
      </c>
      <c r="I3" s="2" t="s">
        <v>9</v>
      </c>
      <c r="J3" s="11" t="s">
        <v>10</v>
      </c>
      <c r="K3" s="11" t="s">
        <v>11</v>
      </c>
      <c r="L3" s="2" t="s">
        <v>12</v>
      </c>
      <c r="M3" s="11" t="s">
        <v>13</v>
      </c>
      <c r="N3" s="2" t="s">
        <v>14</v>
      </c>
      <c r="O3" s="11" t="s">
        <v>15</v>
      </c>
      <c r="P3" s="2" t="s">
        <v>16</v>
      </c>
      <c r="Q3" s="11" t="s">
        <v>17</v>
      </c>
      <c r="R3" s="2" t="s">
        <v>18</v>
      </c>
      <c r="S3" s="11" t="s">
        <v>19</v>
      </c>
      <c r="T3" s="2" t="s">
        <v>20</v>
      </c>
      <c r="U3" s="2" t="s">
        <v>21</v>
      </c>
      <c r="V3" s="7" t="s">
        <v>22</v>
      </c>
      <c r="W3" s="7">
</c>
      <c r="X3" s="7">
</c>
      <c r="Y3" s="7">
</c>
      <c r="Z3" s="7">
</c>
      <c r="AA3" s="7">
</c>
      <c r="AB3" s="7">
</c>
      <c r="AC3" s="7">
</c>
      <c r="AD3" s="7">
</c>
      <c r="AE3" s="7">
</c>
      <c r="AF3" s="7">
</c>
      <c r="AG3" s="7">
</c>
      <c r="AH3" s="7">
</c>
      <c r="AI3" s="7">
</c>
      <c r="AJ3" s="7">
</c>
      <c r="AK3" s="7">
</c>
    </row>
    <row r="4" ht="76.5" customHeight="1">
      <c r="A4" s="9" t="s">
        <v>23</v>
      </c>
      <c r="B4" s="9" t="s">
        <v>24</v>
      </c>
      <c r="C4" s="12" t="s">
        <v>25</v>
      </c>
      <c r="D4" s="12" t="s">
        <v>26</v>
      </c>
      <c r="E4" s="9" t="s">
        <v>27</v>
      </c>
      <c r="F4" s="13" t="s">
        <v>28</v>
      </c>
      <c r="G4" s="13" cm="1" t="str">
        <f t="array" ref="G4">IF(F4="","",SUBSTITUTE(SUBSTITUTE(SUBSTITUTE(SUBSTITUTE(F4,"&lt;li&gt;",CHAR(10)),"&lt;/li&gt;",""),"&lt;br&gt;",CHAR(10)),"&lt;strong&gt;",""))</f>
        <v>&lt;p&gt;Nouvelle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supplémentaire.&lt;/p&gt;</v>
      </c>
      <c r="H4" s="13" cm="1" t="str">
        <f t="array" ref="H4">IF(G4="","",SUBSTITUTE(SUBSTITUTE(SUBSTITUTE(SUBSTITUTE(SUBSTITUTE(G4,"&lt;p&gt;",""),"&lt;/p&gt;",""),"&lt;ul&gt;",""),"&lt;/ul&gt;",""),"&lt;/strong&gt;",""))</f>
        <v>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v>
      </c>
      <c r="I4" s="14" cm="1" t="str">
        <f t="array" ref="I4">IF(C4="","",IF(OR(H4="",H4=0,H4=FALSE),"-",H4))</f>
        <v>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v>
      </c>
      <c r="J4" s="8">
</c>
      <c r="K4" s="8" t="s">
        <v>29</v>
      </c>
      <c r="L4" s="9" cm="1" t="str">
        <f t="array" ref="L4">IF(C4="","",IF(K4="Mort / Plus rien à faire","KO","OK"))</f>
        <v>OK</v>
      </c>
      <c r="M4" s="15">
        <v>46053.60560185185</v>
      </c>
      <c r="N4" s="15" cm="1" t="n">
        <f t="array" ref="N4">IF(OR(C4="",M4="",M4=0),"",M4)</f>
        <v>46053.60560185185</v>
      </c>
      <c r="O4" s="15">
</c>
      <c r="P4" s="15" cm="1" t="str">
        <f t="array" ref="P4">IF(C4="","",IF(OR(O4="",O4=0),"-",O4))</f>
        <v>-</v>
      </c>
      <c r="Q4" s="16">
        <v>5000000</v>
      </c>
      <c r="R4" s="16" cm="1" t="str">
        <f t="array" ref="R4">IF(C4="","",ROUND(Q4/1000000,3)&amp;" M€")</f>
        <v>5 M€</v>
      </c>
      <c r="S4" s="12" t="s">
        <v>30</v>
      </c>
      <c r="T4" s="9" cm="1" t="str">
        <f t="array" ref="T4">IF(C4="","",SUBSTITUTE(S4,"","")&amp;"%")</f>
        <v>100%</v>
      </c>
      <c r="U4" s="9" cm="1" t="str">
        <f t="array" ref="U4">IF(($N4="")*($P4=""),"",IF(($N4&lt;&gt;"")*($N4&gt;TODAY()-9)*($N4&lt;TODAY()+1)*($P4&lt;&gt;"")*($P4&gt;=TODAY())*($P4&lt;=TODAY()+13),"Semaine passée &amp; à venir",IF(($N4&lt;&gt;"")*($N4&gt;TODAY()-9)*($N4&lt;TODAY()+1),"Semaine passée",IF(($P4&lt;&gt;"")*($P4&gt;=TODAY())*($P4&lt;=TODAY()+13),"À venir","Autre"))))</f>
        <v>Autre</v>
      </c>
      <c r="V4" s="8" cm="1" t="n">
        <f t="array" ref="V4">IF(C4&lt;&gt;"",1,0)</f>
        <v>1</v>
      </c>
      <c r="W4" s="8">
</c>
      <c r="X4" s="8">
</c>
      <c r="Y4" s="8">
</c>
      <c r="Z4" s="8">
</c>
      <c r="AA4" s="8">
</c>
      <c r="AB4" s="8">
</c>
      <c r="AC4" s="8">
</c>
      <c r="AD4" s="8">
</c>
      <c r="AE4" s="8">
</c>
      <c r="AF4" s="8">
</c>
      <c r="AG4" s="8">
</c>
      <c r="AH4" s="8">
</c>
      <c r="AI4" s="8">
</c>
      <c r="AJ4" s="8">
</c>
      <c r="AK4" s="8">
</c>
    </row>
    <row r="5" ht="76.5" customHeight="1">
      <c r="A5" s="9" t="s">
        <v>23</v>
      </c>
      <c r="B5" s="9" t="s">
        <v>31</v>
      </c>
      <c r="C5" s="12" t="s">
        <v>32</v>
      </c>
      <c r="D5" s="12" t="s">
        <v>33</v>
      </c>
      <c r="E5" s="9" t="s">
        <v>27</v>
      </c>
      <c r="F5" s="8" t="s">
        <v>34</v>
      </c>
      <c r="G5" s="13" cm="1" t="str">
        <f t="array" ref="G5">IF(F5="","",SUBSTITUTE(SUBSTITUTE(SUBSTITUTE(SUBSTITUTE(F5,"&lt;li&gt;",CHAR(10)),"&lt;/li&gt;",""),"&lt;br&gt;",CHAR(10)),"&lt;strong&gt;",""))</f>
        <v>&lt;p&gt;CA juin : décision 1M€ SIENNA IM, 1M€ STRATON, ok pour investir mais en 2026 (SIENNA prioritaire). Défense jugée trop tôt, non coté trop étroit. RDV demandé gal Peter + Patrick Remm, copie Christien Piquet. Lead créé équipe Ventes. Enrichissement email impossible. Prochaine étape : suivi RDV 2026.&lt;/p&gt;</v>
      </c>
      <c r="H5" s="13" cm="1" t="str">
        <f t="array" ref="H5">IF(G5="","",SUBSTITUTE(SUBSTITUTE(SUBSTITUTE(SUBSTITUTE(SUBSTITUTE(G5,"&lt;p&gt;",""),"&lt;/p&gt;",""),"&lt;ul&gt;",""),"&lt;/ul&gt;",""),"&lt;/strong&gt;",""))</f>
        <v>CA juin : décision 1M€ SIENNA IM, 1M€ STRATON, ok pour investir mais en 2026 (SIENNA prioritaire). Défense jugée trop tôt, non coté trop étroit. RDV demandé gal Peter + Patrick Remm, copie Christien Piquet. Lead créé équipe Ventes. Enrichissement email impossible. Prochaine étape : suivi RDV 2026.</v>
      </c>
      <c r="I5" s="14" cm="1" t="str">
        <f t="array" ref="I5">IF(C5="","",IF(OR(H5="",H5=0,H5=FALSE),"-",H5))</f>
        <v>CA juin : décision 1M€ SIENNA IM, 1M€ STRATON, ok pour investir mais en 2026 (SIENNA prioritaire). Défense jugée trop tôt, non coté trop étroit. RDV demandé gal Peter + Patrick Remm, copie Christien Piquet. Lead créé équipe Ventes. Enrichissement email impossible. Prochaine étape : suivi RDV 2026.</v>
      </c>
      <c r="J5" s="8">
</c>
      <c r="K5" s="8" t="s">
        <v>35</v>
      </c>
      <c r="L5" s="9" cm="1" t="str">
        <f t="array" ref="L5">IF(C5="","",IF(K5="Mort / Plus rien à faire","KO","OK"))</f>
        <v>OK</v>
      </c>
      <c r="M5" s="15">
        <v>46063.73564814815</v>
      </c>
      <c r="N5" s="15" cm="1" t="n">
        <f t="array" ref="N5">IF(OR(C5="",M5="",M5=0),"",M5)</f>
        <v>46063.73564814815</v>
      </c>
      <c r="O5" s="15">
</c>
      <c r="P5" s="15" cm="1" t="str">
        <f t="array" ref="P5">IF(C5="","",IF(OR(O5="",O5=0),"-",O5))</f>
        <v>-</v>
      </c>
      <c r="Q5" s="16">
        <v>1000000</v>
      </c>
      <c r="R5" s="16" cm="1" t="str">
        <f t="array" ref="R5">IF(C5="","",ROUND(Q5/1000000,3)&amp;" M€")</f>
        <v>1 M€</v>
      </c>
      <c r="S5" s="12" t="s">
        <v>36</v>
      </c>
      <c r="T5" s="9" cm="1" t="str">
        <f t="array" ref="T5">IF(C5="","",SUBSTITUTE(S5,"","")&amp;"%")</f>
        <v>80%</v>
      </c>
      <c r="U5" s="9" cm="1" t="str">
        <f t="array" ref="U5">IF(($N5="")*($P5=""),"",IF(($N5&lt;&gt;"")*($N5&gt;TODAY()-9)*($N5&lt;TODAY()+1)*($P5&lt;&gt;"")*($P5&gt;=TODAY())*($P5&lt;=TODAY()+13),"Semaine passée &amp; à venir",IF(($N5&lt;&gt;"")*($N5&gt;TODAY()-9)*($N5&lt;TODAY()+1),"Semaine passée",IF(($P5&lt;&gt;"")*($P5&gt;=TODAY())*($P5&lt;=TODAY()+13),"À venir","Autre"))))</f>
        <v>Autre</v>
      </c>
      <c r="V5" s="8" cm="1" t="n">
        <f t="array" ref="V5">IF(C5&lt;&gt;"",1,0)</f>
        <v>1</v>
      </c>
      <c r="W5" s="8">
</c>
      <c r="X5" s="8">
</c>
      <c r="Y5" s="8">
</c>
      <c r="Z5" s="8">
</c>
      <c r="AA5" s="8">
</c>
      <c r="AB5" s="8">
</c>
      <c r="AC5" s="8">
</c>
      <c r="AD5" s="8">
</c>
      <c r="AE5" s="8">
</c>
      <c r="AF5" s="8">
</c>
      <c r="AG5" s="8">
</c>
      <c r="AH5" s="8">
</c>
      <c r="AI5" s="8">
</c>
      <c r="AJ5" s="8">
</c>
      <c r="AK5" s="8">
</c>
    </row>
    <row r="6" ht="76.5" customHeight="1">
      <c r="A6" s="9" t="s">
        <v>23</v>
      </c>
      <c r="B6" s="9" t="s">
        <v>37</v>
      </c>
      <c r="C6" s="12" t="s">
        <v>38</v>
      </c>
      <c r="D6" s="12" t="s">
        <v>39</v>
      </c>
      <c r="E6" s="9" t="s">
        <v>27</v>
      </c>
      <c r="F6" s="8" t="s">
        <v>40</v>
      </c>
      <c r="G6" s="13" cm="1" t="str">
        <f t="array" ref="G6">IF(F6="","",SUBSTITUTE(SUBSTITUTE(SUBSTITUTE(SUBSTITUTE(F6,"&lt;li&gt;",CHAR(10)),"&lt;/li&gt;",""),"&lt;br&gt;",CHAR(10)),"&lt;strong&gt;",""))</f>
        <v>&lt;p&gt;RDV STRATON, échanges sur fonds Quadrille (strat majo) pour 1M€, décision fin mars pour Straton en comité d'invest, capacité restante 1M€, proba 50%. Prospect regarde aussi TIKHEAU/WINEBERG, intérêt pour side business. Prochaine étape : RDV fin mars pour décision passage Straton.&lt;/p&gt;</v>
      </c>
      <c r="H6" s="13" cm="1" t="str">
        <f t="array" ref="H6">IF(G6="","",SUBSTITUTE(SUBSTITUTE(SUBSTITUTE(SUBSTITUTE(SUBSTITUTE(G6,"&lt;p&gt;",""),"&lt;/p&gt;",""),"&lt;ul&gt;",""),"&lt;/ul&gt;",""),"&lt;/strong&gt;",""))</f>
        <v>RDV STRATON, échanges sur fonds Quadrille (strat majo) pour 1M€, décision fin mars pour Straton en comité d'invest, capacité restante 1M€, proba 50%. Prospect regarde aussi TIKHEAU/WINEBERG, intérêt pour side business. Prochaine étape : RDV fin mars pour décision passage Straton.</v>
      </c>
      <c r="I6" s="14" cm="1" t="str">
        <f t="array" ref="I6">IF(C6="","",IF(OR(H6="",H6=0,H6=FALSE),"-",H6))</f>
        <v>RDV STRATON, échanges sur fonds Quadrille (strat majo) pour 1M€, décision fin mars pour Straton en comité d'invest, capacité restante 1M€, proba 50%. Prospect regarde aussi TIKHEAU/WINEBERG, intérêt pour side business. Prochaine étape : RDV fin mars pour décision passage Straton.</v>
      </c>
      <c r="J6" s="8" t="s">
        <v>41</v>
      </c>
      <c r="K6" s="8" t="s">
        <v>35</v>
      </c>
      <c r="L6" s="9" cm="1" t="str">
        <f t="array" ref="L6">IF(C6="","",IF(K6="Mort / Plus rien à faire","KO","OK"))</f>
        <v>OK</v>
      </c>
      <c r="M6" s="15">
        <v>46085.41483796296</v>
      </c>
      <c r="N6" s="15" cm="1" t="n">
        <f t="array" ref="N6">IF(OR(C6="",M6="",M6=0),"",M6)</f>
        <v>46085.41483796296</v>
      </c>
      <c r="O6" s="15">
        <v>46107.041666666664</v>
      </c>
      <c r="P6" s="15" cm="1" t="n">
        <f t="array" ref="P6">IF(C6="","",IF(OR(O6="",O6=0),"-",O6))</f>
        <v>46107.041666666664</v>
      </c>
      <c r="Q6" s="16">
        <v>1000000</v>
      </c>
      <c r="R6" s="16" cm="1" t="str">
        <f t="array" ref="R6">IF(C6="","",ROUND(Q6/1000000,3)&amp;" M€")</f>
        <v>1 M€</v>
      </c>
      <c r="S6" s="12" t="s">
        <v>42</v>
      </c>
      <c r="T6" s="9" cm="1" t="str">
        <f t="array" ref="T6">IF(C6="","",SUBSTITUTE(S6,"","")&amp;"%")</f>
        <v>50%</v>
      </c>
      <c r="U6" s="9" cm="1" t="str">
        <f t="array" ref="U6">IF(($N6="")*($P6=""),"",IF(($N6&lt;&gt;"")*($N6&gt;TODAY()-9)*($N6&lt;TODAY()+1)*($P6&lt;&gt;"")*($P6&gt;=TODAY())*($P6&lt;=TODAY()+13),"Semaine passée &amp; à venir",IF(($N6&lt;&gt;"")*($N6&gt;TODAY()-9)*($N6&lt;TODAY()+1),"Semaine passée",IF(($P6&lt;&gt;"")*($P6&gt;=TODAY())*($P6&lt;=TODAY()+13),"À venir","Autre"))))</f>
        <v>Semaine passée</v>
      </c>
      <c r="V6" s="8" cm="1" t="n">
        <f t="array" ref="V6">IF(C6&lt;&gt;"",1,0)</f>
        <v>1</v>
      </c>
      <c r="W6" s="8">
</c>
      <c r="X6" s="8">
</c>
      <c r="Y6" s="8">
</c>
      <c r="Z6" s="8">
</c>
      <c r="AA6" s="8">
</c>
      <c r="AB6" s="8">
</c>
      <c r="AC6" s="8">
</c>
      <c r="AD6" s="8">
</c>
      <c r="AE6" s="8">
</c>
      <c r="AF6" s="8">
</c>
      <c r="AG6" s="8">
</c>
      <c r="AH6" s="8">
</c>
      <c r="AI6" s="8">
</c>
      <c r="AJ6" s="8">
</c>
      <c r="AK6" s="8">
</c>
    </row>
    <row r="7" ht="76.5" customHeight="1">
      <c r="A7" s="9" t="s">
        <v>23</v>
      </c>
      <c r="B7" s="9" t="s">
        <v>24</v>
      </c>
      <c r="C7" s="12" t="s">
        <v>43</v>
      </c>
      <c r="D7" s="12" t="s">
        <v>44</v>
      </c>
      <c r="E7" s="9" t="s">
        <v>27</v>
      </c>
      <c r="F7" s="8" t="s">
        <v>45</v>
      </c>
      <c r="G7" s="13" cm="1" t="str">
        <f t="array" ref="G7">IF(F7="","",SUBSTITUTE(SUBSTITUTE(SUBSTITUTE(SUBSTITUTE(F7,"&lt;li&gt;",CHAR(10)),"&lt;/li&gt;",""),"&lt;br&gt;",CHAR(10)),"&lt;strong&gt;",""))</f>
        <v>&lt;p&gt;Aucune activité menée sur le prospect. SOLIDARM-MUTUELLE SOCIALE DES FORCES ARMEES : mutuelle dédiée aux forces armées, acteur reconnu de la protection sociale militaire, peu d'infos publiques, important pour la couverture santé des militaires. Aucune action ou échange récent enregistré.&lt;/p&gt;</v>
      </c>
      <c r="H7" s="13" cm="1" t="str">
        <f t="array" ref="H7">IF(G7="","",SUBSTITUTE(SUBSTITUTE(SUBSTITUTE(SUBSTITUTE(SUBSTITUTE(G7,"&lt;p&gt;",""),"&lt;/p&gt;",""),"&lt;ul&gt;",""),"&lt;/ul&gt;",""),"&lt;/strong&gt;",""))</f>
        <v>Aucune activité menée sur le prospect. SOLIDARM-MUTUELLE SOCIALE DES FORCES ARMEES : mutuelle dédiée aux forces armées, acteur reconnu de la protection sociale militaire, peu d'infos publiques, important pour la couverture santé des militaires. Aucune action ou échange récent enregistré.</v>
      </c>
      <c r="I7" s="14" cm="1" t="str">
        <f t="array" ref="I7">IF(C7="","",IF(OR(H7="",H7=0,H7=FALSE),"-",H7))</f>
        <v>Aucune activité menée sur le prospect. SOLIDARM-MUTUELLE SOCIALE DES FORCES ARMEES : mutuelle dédiée aux forces armées, acteur reconnu de la protection sociale militaire, peu d'infos publiques, important pour la couverture santé des militaires. Aucune action ou échange récent enregistré.</v>
      </c>
      <c r="J7" s="8">
</c>
      <c r="K7" s="8" t="s">
        <v>46</v>
      </c>
      <c r="L7" s="9" cm="1" t="str">
        <f t="array" ref="L7">IF(C7="","",IF(K7="Mort / Plus rien à faire","KO","OK"))</f>
        <v>OK</v>
      </c>
      <c r="M7" s="15">
        <v>46028.791863425926</v>
      </c>
      <c r="N7" s="15" cm="1" t="n">
        <f t="array" ref="N7">IF(OR(C7="",M7="",M7=0),"",M7)</f>
        <v>46028.791863425926</v>
      </c>
      <c r="O7" s="15">
</c>
      <c r="P7" s="15" cm="1" t="str">
        <f t="array" ref="P7">IF(C7="","",IF(OR(O7="",O7=0),"-",O7))</f>
        <v>-</v>
      </c>
      <c r="Q7" s="16">
        <v>1000000</v>
      </c>
      <c r="R7" s="16" cm="1" t="str">
        <f t="array" ref="R7">IF(C7="","",ROUND(Q7/1000000,3)&amp;" M€")</f>
        <v>1 M€</v>
      </c>
      <c r="S7" s="12" t="s">
        <v>42</v>
      </c>
      <c r="T7" s="9" cm="1" t="str">
        <f t="array" ref="T7">IF(C7="","",SUBSTITUTE(S7,"","")&amp;"%")</f>
        <v>50%</v>
      </c>
      <c r="U7" s="9" cm="1" t="str">
        <f t="array" ref="U7">IF(($N7="")*($P7=""),"",IF(($N7&lt;&gt;"")*($N7&gt;TODAY()-9)*($N7&lt;TODAY()+1)*($P7&lt;&gt;"")*($P7&gt;=TODAY())*($P7&lt;=TODAY()+13),"Semaine passée &amp; à venir",IF(($N7&lt;&gt;"")*($N7&gt;TODAY()-9)*($N7&lt;TODAY()+1),"Semaine passée",IF(($P7&lt;&gt;"")*($P7&gt;=TODAY())*($P7&lt;=TODAY()+13),"À venir","Autre"))))</f>
        <v>Autre</v>
      </c>
      <c r="V7" s="8" cm="1" t="n">
        <f t="array" ref="V7">IF(C7&lt;&gt;"",1,0)</f>
        <v>1</v>
      </c>
      <c r="W7" s="8">
</c>
      <c r="X7" s="8">
</c>
      <c r="Y7" s="8">
</c>
      <c r="Z7" s="8">
</c>
      <c r="AA7" s="8">
</c>
      <c r="AB7" s="8">
</c>
      <c r="AC7" s="8">
</c>
      <c r="AD7" s="8">
</c>
      <c r="AE7" s="8">
</c>
      <c r="AF7" s="8">
</c>
      <c r="AG7" s="8">
</c>
      <c r="AH7" s="8">
</c>
      <c r="AI7" s="8">
</c>
      <c r="AJ7" s="8">
</c>
      <c r="AK7" s="8">
</c>
    </row>
    <row r="8" ht="76.5" customHeight="1">
      <c r="A8" s="9" t="s">
        <v>23</v>
      </c>
      <c r="B8" s="9" t="s">
        <v>24</v>
      </c>
      <c r="C8" s="12" t="s">
        <v>47</v>
      </c>
      <c r="D8" s="12" t="s">
        <v>48</v>
      </c>
      <c r="E8" s="9" t="s">
        <v>27</v>
      </c>
      <c r="F8" s="8" t="s">
        <v>49</v>
      </c>
      <c r="G8" s="13" cm="1" t="str">
        <f t="array" ref="G8">IF(F8="","",SUBSTITUTE(SUBSTITUTE(SUBSTITUTE(SUBSTITUTE(F8,"&lt;li&gt;",CHAR(10)),"&lt;/li&gt;",""),"&lt;br&gt;",CHAR(10)),"&lt;strong&gt;",""))</f>
        <v>&lt;p&gt;Aucune activité ni échange significatif relevé sur l'opportunité MUTUELLE DE POITIERS ASSURANCES. Seule information : piste créée pour l'équipe "Ventes" le 06/01/2026. Aucun suivi, action ou retour prospect enregistré à ce jour. Prochaines étapes non définies faute d'activité constatée.&lt;/p&gt;</v>
      </c>
      <c r="H8" s="13" cm="1" t="str">
        <f t="array" ref="H8">IF(G8="","",SUBSTITUTE(SUBSTITUTE(SUBSTITUTE(SUBSTITUTE(SUBSTITUTE(G8,"&lt;p&gt;",""),"&lt;/p&gt;",""),"&lt;ul&gt;",""),"&lt;/ul&gt;",""),"&lt;/strong&gt;",""))</f>
        <v>Aucune activité ni échange significatif relevé sur l'opportunité MUTUELLE DE POITIERS ASSURANCES. Seule information : piste créée pour l'équipe "Ventes" le 06/01/2026. Aucun suivi, action ou retour prospect enregistré à ce jour. Prochaines étapes non définies faute d'activité constatée.</v>
      </c>
      <c r="I8" s="14" cm="1" t="str">
        <f t="array" ref="I8">IF(C8="","",IF(OR(H8="",H8=0,H8=FALSE),"-",H8))</f>
        <v>Aucune activité ni échange significatif relevé sur l'opportunité MUTUELLE DE POITIERS ASSURANCES. Seule information : piste créée pour l'équipe "Ventes" le 06/01/2026. Aucun suivi, action ou retour prospect enregistré à ce jour. Prochaines étapes non définies faute d'activité constatée.</v>
      </c>
      <c r="J8" s="8">
</c>
      <c r="K8" s="8" t="s">
        <v>46</v>
      </c>
      <c r="L8" s="9" cm="1" t="str">
        <f t="array" ref="L8">IF(C8="","",IF(K8="Mort / Plus rien à faire","KO","OK"))</f>
        <v>OK</v>
      </c>
      <c r="M8" s="15">
        <v>46028.790289351855</v>
      </c>
      <c r="N8" s="15" cm="1" t="n">
        <f t="array" ref="N8">IF(OR(C8="",M8="",M8=0),"",M8)</f>
        <v>46028.790289351855</v>
      </c>
      <c r="O8" s="15">
</c>
      <c r="P8" s="15" cm="1" t="str">
        <f t="array" ref="P8">IF(C8="","",IF(OR(O8="",O8=0),"-",O8))</f>
        <v>-</v>
      </c>
      <c r="Q8" s="16">
        <v>1000000</v>
      </c>
      <c r="R8" s="16" cm="1" t="str">
        <f t="array" ref="R8">IF(C8="","",ROUND(Q8/1000000,3)&amp;" M€")</f>
        <v>1 M€</v>
      </c>
      <c r="S8" s="12" t="s">
        <v>42</v>
      </c>
      <c r="T8" s="9" cm="1" t="str">
        <f t="array" ref="T8">IF(C8="","",SUBSTITUTE(S8,"","")&amp;"%")</f>
        <v>50%</v>
      </c>
      <c r="U8" s="9" cm="1" t="str">
        <f t="array" ref="U8">IF(($N8="")*($P8=""),"",IF(($N8&lt;&gt;"")*($N8&gt;TODAY()-9)*($N8&lt;TODAY()+1)*($P8&lt;&gt;"")*($P8&gt;=TODAY())*($P8&lt;=TODAY()+13),"Semaine passée &amp; à venir",IF(($N8&lt;&gt;"")*($N8&gt;TODAY()-9)*($N8&lt;TODAY()+1),"Semaine passée",IF(($P8&lt;&gt;"")*($P8&gt;=TODAY())*($P8&lt;=TODAY()+13),"À venir","Autre"))))</f>
        <v>Autre</v>
      </c>
      <c r="V8" s="8" cm="1" t="n">
        <f t="array" ref="V8">IF(C8&lt;&gt;"",1,0)</f>
        <v>1</v>
      </c>
      <c r="W8" s="8">
</c>
      <c r="X8" s="8">
</c>
      <c r="Y8" s="8">
</c>
      <c r="Z8" s="8">
</c>
      <c r="AA8" s="8">
</c>
      <c r="AB8" s="8">
</c>
      <c r="AC8" s="8">
</c>
      <c r="AD8" s="8">
</c>
      <c r="AE8" s="8">
</c>
      <c r="AF8" s="8">
</c>
      <c r="AG8" s="8">
</c>
      <c r="AH8" s="8">
</c>
      <c r="AI8" s="8">
</c>
      <c r="AJ8" s="8">
</c>
      <c r="AK8" s="8">
</c>
    </row>
    <row r="9" ht="76.5" customHeight="1">
      <c r="A9" s="9" t="s">
        <v>23</v>
      </c>
      <c r="B9" s="9" t="s">
        <v>50</v>
      </c>
      <c r="C9" s="12" t="s">
        <v>51</v>
      </c>
      <c r="D9" s="12" t="s">
        <v>52</v>
      </c>
      <c r="E9" s="9" t="s">
        <v>53</v>
      </c>
      <c r="F9" s="8" t="s">
        <v>54</v>
      </c>
      <c r="G9" s="13" cm="1" t="str">
        <f t="array" ref="G9">IF(F9="","",SUBSTITUTE(SUBSTITUTE(SUBSTITUTE(SUBSTITUTE(F9,"&lt;li&gt;",CHAR(10)),"&lt;/li&gt;",""),"&lt;br&gt;",CHAR(10)),"&lt;strong&gt;",""))</f>
        <v>&lt;p&gt;Mail envoyé 16/02 pour marche à suivre, relance sans réponse, contact OdP 02/03, prospect intéressé par Straton, Quanto II, Calderion, demande doc Straton. Dernière action : mail de relance sans retour. Prochaine étape : prise de news prévue le 12/03. Pas de retour prospect sur fonds à ce stade.&lt;/p&gt;</v>
      </c>
      <c r="H9" s="13" cm="1" t="str">
        <f t="array" ref="H9">IF(G9="","",SUBSTITUTE(SUBSTITUTE(SUBSTITUTE(SUBSTITUTE(SUBSTITUTE(G9,"&lt;p&gt;",""),"&lt;/p&gt;",""),"&lt;ul&gt;",""),"&lt;/ul&gt;",""),"&lt;/strong&gt;",""))</f>
        <v>Mail envoyé 16/02 pour marche à suivre, relance sans réponse, contact OdP 02/03, prospect intéressé par Straton, Quanto II, Calderion, demande doc Straton. Dernière action : mail de relance sans retour. Prochaine étape : prise de news prévue le 12/03. Pas de retour prospect sur fonds à ce stade.</v>
      </c>
      <c r="I9" s="14" cm="1" t="str">
        <f t="array" ref="I9">IF(C9="","",IF(OR(H9="",H9=0,H9=FALSE),"-",H9))</f>
        <v>Mail envoyé 16/02 pour marche à suivre, relance sans réponse, contact OdP 02/03, prospect intéressé par Straton, Quanto II, Calderion, demande doc Straton. Dernière action : mail de relance sans retour. Prochaine étape : prise de news prévue le 12/03. Pas de retour prospect sur fonds à ce stade.</v>
      </c>
      <c r="J9" s="8" t="s">
        <v>55</v>
      </c>
      <c r="K9" s="8" t="s">
        <v>35</v>
      </c>
      <c r="L9" s="9" cm="1" t="str">
        <f t="array" ref="L9">IF(C9="","",IF(K9="Mort / Plus rien à faire","KO","OK"))</f>
        <v>OK</v>
      </c>
      <c r="M9" s="15">
        <v>46087.69940972222</v>
      </c>
      <c r="N9" s="15" cm="1" t="n">
        <f t="array" ref="N9">IF(OR(C9="",M9="",M9=0),"",M9)</f>
        <v>46087.69940972222</v>
      </c>
      <c r="O9" s="15">
        <v>46093.041666666664</v>
      </c>
      <c r="P9" s="15" cm="1" t="n">
        <f t="array" ref="P9">IF(C9="","",IF(OR(O9="",O9=0),"-",O9))</f>
        <v>46093.041666666664</v>
      </c>
      <c r="Q9" s="16">
        <v>500000</v>
      </c>
      <c r="R9" s="16" cm="1" t="str">
        <f t="array" ref="R9">IF(C9="","",ROUND(Q9/1000000,3)&amp;" M€")</f>
        <v>0.5 M€</v>
      </c>
      <c r="S9" s="12" t="s">
        <v>42</v>
      </c>
      <c r="T9" s="9" cm="1" t="str">
        <f t="array" ref="T9">IF(C9="","",SUBSTITUTE(S9,"","")&amp;"%")</f>
        <v>50%</v>
      </c>
      <c r="U9" s="9" cm="1" t="str">
        <f t="array" ref="U9">IF(($N9="")*($P9=""),"",IF(($N9&lt;&gt;"")*($N9&gt;TODAY()-9)*($N9&lt;TODAY()+1)*($P9&lt;&gt;"")*($P9&gt;=TODAY())*($P9&lt;=TODAY()+13),"Semaine passée &amp; à venir",IF(($N9&lt;&gt;"")*($N9&gt;TODAY()-9)*($N9&lt;TODAY()+1),"Semaine passée",IF(($P9&lt;&gt;"")*($P9&gt;=TODAY())*($P9&lt;=TODAY()+13),"À venir","Autre"))))</f>
        <v>Semaine passée &amp; à venir</v>
      </c>
      <c r="V9" s="8" cm="1" t="n">
        <f t="array" ref="V9">IF(C9&lt;&gt;"",1,0)</f>
        <v>1</v>
      </c>
      <c r="W9" s="8">
</c>
      <c r="X9" s="8">
</c>
      <c r="Y9" s="8">
</c>
      <c r="Z9" s="8">
</c>
      <c r="AA9" s="8">
</c>
      <c r="AB9" s="8">
</c>
      <c r="AC9" s="8">
</c>
      <c r="AD9" s="8">
</c>
      <c r="AE9" s="8">
</c>
      <c r="AF9" s="8">
</c>
      <c r="AG9" s="8">
</c>
      <c r="AH9" s="8">
</c>
      <c r="AI9" s="8">
</c>
      <c r="AJ9" s="8">
</c>
      <c r="AK9" s="8">
</c>
    </row>
    <row r="10" ht="76.5" customHeight="1">
      <c r="A10" s="9" t="s">
        <v>23</v>
      </c>
      <c r="B10" s="9" t="s">
        <v>24</v>
      </c>
      <c r="C10" s="12" t="s">
        <v>56</v>
      </c>
      <c r="D10" s="12" t="s">
        <v>57</v>
      </c>
      <c r="E10" s="9" t="s">
        <v>27</v>
      </c>
      <c r="F10" s="8" t="s">
        <v>58</v>
      </c>
      <c r="G10" s="13" cm="1" t="str">
        <f t="array" ref="G10">IF(F10="","",SUBSTITUTE(SUBSTITUTE(SUBSTITUTE(SUBSTITUTE(F10,"&lt;li&gt;",CHAR(10)),"&lt;/li&gt;",""),"&lt;br&gt;",CHAR(10)),"&lt;strong&gt;",""))</f>
        <v>&lt;p&gt;14/01/2026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prévue.&lt;/p&gt;</v>
      </c>
      <c r="H10" s="13" cm="1" t="str">
        <f t="array" ref="H10">IF(G10="","",SUBSTITUTE(SUBSTITUTE(SUBSTITUTE(SUBSTITUTE(SUBSTITUTE(G10,"&lt;p&gt;",""),"&lt;/p&gt;",""),"&lt;ul&gt;",""),"&lt;/ul&gt;",""),"&lt;/strong&gt;",""))</f>
        <v>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v>
      </c>
      <c r="I10" s="14" cm="1" t="str">
        <f t="array" ref="I10">IF(C10="","",IF(OR(H10="",H10=0,H10=FALSE),"-",H10))</f>
        <v>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v>
      </c>
      <c r="J10" s="8">
</c>
      <c r="K10" s="8" t="s">
        <v>59</v>
      </c>
      <c r="L10" s="9" cm="1" t="str">
        <f t="array" ref="L10">IF(C10="","",IF(K10="Mort / Plus rien à faire","KO","OK"))</f>
        <v>KO</v>
      </c>
      <c r="M10" s="15">
        <v>46036.7655787037</v>
      </c>
      <c r="N10" s="15" cm="1" t="n">
        <f t="array" ref="N10">IF(OR(C10="",M10="",M10=0),"",M10)</f>
        <v>46036.7655787037</v>
      </c>
      <c r="O10" s="15">
</c>
      <c r="P10" s="15" cm="1" t="str">
        <f t="array" ref="P10">IF(C10="","",IF(OR(O10="",O10=0),"-",O10))</f>
        <v>-</v>
      </c>
      <c r="Q10" s="16">
        <v>0</v>
      </c>
      <c r="R10" s="16" cm="1" t="str">
        <f t="array" ref="R10">IF(C10="","",ROUND(Q10/1000000,3)&amp;" M€")</f>
        <v>0 M€</v>
      </c>
      <c r="S10" s="12" t="s">
        <v>42</v>
      </c>
      <c r="T10" s="9" cm="1" t="str">
        <f t="array" ref="T10">IF(C10="","",SUBSTITUTE(S10,"","")&amp;"%")</f>
        <v>50%</v>
      </c>
      <c r="U10" s="9" cm="1" t="str">
        <f t="array" ref="U10">IF(($N10="")*($P10=""),"",IF(($N10&lt;&gt;"")*($N10&gt;TODAY()-9)*($N10&lt;TODAY()+1)*($P10&lt;&gt;"")*($P10&gt;=TODAY())*($P10&lt;=TODAY()+13),"Semaine passée &amp; à venir",IF(($N10&lt;&gt;"")*($N10&gt;TODAY()-9)*($N10&lt;TODAY()+1),"Semaine passée",IF(($P10&lt;&gt;"")*($P10&gt;=TODAY())*($P10&lt;=TODAY()+13),"À venir","Autre"))))</f>
        <v>Autre</v>
      </c>
      <c r="V10" s="8" cm="1" t="n">
        <f t="array" ref="V10">IF(C10&lt;&gt;"",1,0)</f>
        <v>1</v>
      </c>
      <c r="W10" s="8">
</c>
      <c r="X10" s="8">
</c>
      <c r="Y10" s="8">
</c>
      <c r="Z10" s="8">
</c>
      <c r="AA10" s="8">
</c>
      <c r="AB10" s="8">
</c>
      <c r="AC10" s="8">
</c>
      <c r="AD10" s="8">
</c>
      <c r="AE10" s="8">
</c>
      <c r="AF10" s="8">
</c>
      <c r="AG10" s="8">
</c>
      <c r="AH10" s="8">
</c>
      <c r="AI10" s="8">
</c>
      <c r="AJ10" s="8">
</c>
      <c r="AK10" s="8">
</c>
    </row>
    <row r="11" ht="76.5" customHeight="1">
      <c r="A11" s="9" t="s">
        <v>23</v>
      </c>
      <c r="B11" s="9" t="s">
        <v>60</v>
      </c>
      <c r="C11" s="12" t="s">
        <v>61</v>
      </c>
      <c r="D11" s="12" t="s">
        <v>62</v>
      </c>
      <c r="E11" s="9" t="s">
        <v>63</v>
      </c>
      <c r="F11" s="8" t="s">
        <v>64</v>
      </c>
      <c r="G11" s="13" cm="1" t="str">
        <f t="array" ref="G11">IF(F11="","",SUBSTITUTE(SUBSTITUTE(SUBSTITUTE(SUBSTITUTE(F11,"&lt;li&gt;",CHAR(10)),"&lt;/li&gt;",""),"&lt;br&gt;",CHAR(10)),"&lt;strong&gt;",""))</f>
        <v>&lt;p&gt;Café Opéra 16/10/25 : présentation FO Ofilae, Audacia, échanges sur besoins clients (small/mid cap France/US, peu de VC, intérêt PME Défense, fonds éligibles taxe holdings familiales). Relance 20/11/25 : envoi présentation opportunité ATDI/Straton. Prochaine étape : attente retour prospect sur fonds proposés.&lt;/p&gt;</v>
      </c>
      <c r="H11" s="13" cm="1" t="str">
        <f t="array" ref="H11">IF(G11="","",SUBSTITUTE(SUBSTITUTE(SUBSTITUTE(SUBSTITUTE(SUBSTITUTE(G11,"&lt;p&gt;",""),"&lt;/p&gt;",""),"&lt;ul&gt;",""),"&lt;/ul&gt;",""),"&lt;/strong&gt;",""))</f>
        <v>Café Opéra 16/10/25 : présentation FO Ofilae, Audacia, échanges sur besoins clients (small/mid cap France/US, peu de VC, intérêt PME Défense, fonds éligibles taxe holdings familiales). Relance 20/11/25 : envoi présentation opportunité ATDI/Straton. Prochaine étape : attente retour prospect sur fonds proposés.</v>
      </c>
      <c r="I11" s="14" cm="1" t="str">
        <f t="array" ref="I11">IF(C11="","",IF(OR(H11="",H11=0,H11=FALSE),"-",H11))</f>
        <v>Café Opéra 16/10/25 : présentation FO Ofilae, Audacia, échanges sur besoins clients (small/mid cap France/US, peu de VC, intérêt PME Défense, fonds éligibles taxe holdings familiales). Relance 20/11/25 : envoi présentation opportunité ATDI/Straton. Prochaine étape : attente retour prospect sur fonds proposés.</v>
      </c>
      <c r="J11" s="8">
</c>
      <c r="K11" s="8" t="s">
        <v>65</v>
      </c>
      <c r="L11" s="9" cm="1" t="str">
        <f t="array" ref="L11">IF(C11="","",IF(K11="Mort / Plus rien à faire","KO","OK"))</f>
        <v>OK</v>
      </c>
      <c r="M11" s="15">
        <v>46069.44954861111</v>
      </c>
      <c r="N11" s="15" cm="1" t="n">
        <f t="array" ref="N11">IF(OR(C11="",M11="",M11=0),"",M11)</f>
        <v>46069.44954861111</v>
      </c>
      <c r="O11" s="15">
</c>
      <c r="P11" s="15" cm="1" t="str">
        <f t="array" ref="P11">IF(C11="","",IF(OR(O11="",O11=0),"-",O11))</f>
        <v>-</v>
      </c>
      <c r="Q11" s="16">
        <v>0</v>
      </c>
      <c r="R11" s="16" cm="1" t="str">
        <f t="array" ref="R11">IF(C11="","",ROUND(Q11/1000000,3)&amp;" M€")</f>
        <v>0 M€</v>
      </c>
      <c r="S11" s="12" t="s">
        <v>42</v>
      </c>
      <c r="T11" s="9" cm="1" t="str">
        <f t="array" ref="T11">IF(C11="","",SUBSTITUTE(S11,"","")&amp;"%")</f>
        <v>50%</v>
      </c>
      <c r="U11" s="9" cm="1" t="str">
        <f t="array" ref="U11">IF(($N11="")*($P11=""),"",IF(($N11&lt;&gt;"")*($N11&gt;TODAY()-9)*($N11&lt;TODAY()+1)*($P11&lt;&gt;"")*($P11&gt;=TODAY())*($P11&lt;=TODAY()+13),"Semaine passée &amp; à venir",IF(($N11&lt;&gt;"")*($N11&gt;TODAY()-9)*($N11&lt;TODAY()+1),"Semaine passée",IF(($P11&lt;&gt;"")*($P11&gt;=TODAY())*($P11&lt;=TODAY()+13),"À venir","Autre"))))</f>
        <v>Autre</v>
      </c>
      <c r="V11" s="8" cm="1" t="n">
        <f t="array" ref="V11">IF(C11&lt;&gt;"",1,0)</f>
        <v>1</v>
      </c>
      <c r="W11" s="8">
</c>
      <c r="X11" s="8">
</c>
      <c r="Y11" s="8">
</c>
      <c r="Z11" s="8">
</c>
      <c r="AA11" s="8">
</c>
      <c r="AB11" s="8">
</c>
      <c r="AC11" s="8">
</c>
      <c r="AD11" s="8">
</c>
      <c r="AE11" s="8">
</c>
      <c r="AF11" s="8">
</c>
      <c r="AG11" s="8">
</c>
      <c r="AH11" s="8">
</c>
      <c r="AI11" s="8">
</c>
      <c r="AJ11" s="8">
</c>
      <c r="AK11" s="8">
</c>
    </row>
    <row r="12" ht="76.5" customHeight="1">
      <c r="A12" s="9" t="s">
        <v>23</v>
      </c>
      <c r="B12" s="9" t="s">
        <v>66</v>
      </c>
      <c r="C12" s="12" t="s">
        <v>67</v>
      </c>
      <c r="D12" s="12" t="s">
        <v>68</v>
      </c>
      <c r="E12" s="9" t="s">
        <v>63</v>
      </c>
      <c r="F12" s="8" t="s">
        <v>69</v>
      </c>
      <c r="G12" s="13" cm="1" t="str">
        <f t="array" ref="G12">IF(F12="","",SUBSTITUTE(SUBSTITUTE(SUBSTITUTE(SUBSTITUTE(F12,"&lt;li&gt;",CHAR(10)),"&lt;/li&gt;",""),"&lt;br&gt;",CHAR(10)),"&lt;strong&gt;",""))</f>
        <v>&lt;p&gt;Relance mail envoyée, Benoît prend plus de temps pour audit clients, propose RDV courant mars à Toulouse. Prochaine étape : organiser RDV sur place. Création MFO 2025, 6 familles toulousaines, exécution investissements prévue 2026, 3 nouvelles familles pourraient rejoindre.&lt;/p&gt;</v>
      </c>
      <c r="H12" s="13" cm="1" t="str">
        <f t="array" ref="H12">IF(G12="","",SUBSTITUTE(SUBSTITUTE(SUBSTITUTE(SUBSTITUTE(SUBSTITUTE(G12,"&lt;p&gt;",""),"&lt;/p&gt;",""),"&lt;ul&gt;",""),"&lt;/ul&gt;",""),"&lt;/strong&gt;",""))</f>
        <v>Relance mail envoyée, Benoît prend plus de temps pour audit clients, propose RDV courant mars à Toulouse. Prochaine étape : organiser RDV sur place. Création MFO 2025, 6 familles toulousaines, exécution investissements prévue 2026, 3 nouvelles familles pourraient rejoindre.</v>
      </c>
      <c r="I12" s="14" cm="1" t="str">
        <f t="array" ref="I12">IF(C12="","",IF(OR(H12="",H12=0,H12=FALSE),"-",H12))</f>
        <v>Relance mail envoyée, Benoît prend plus de temps pour audit clients, propose RDV courant mars à Toulouse. Prochaine étape : organiser RDV sur place. Création MFO 2025, 6 familles toulousaines, exécution investissements prévue 2026, 3 nouvelles familles pourraient rejoindre.</v>
      </c>
      <c r="J12" s="8" t="s">
        <v>70</v>
      </c>
      <c r="K12" s="8" t="s">
        <v>35</v>
      </c>
      <c r="L12" s="9" cm="1" t="str">
        <f t="array" ref="L12">IF(C12="","",IF(K12="Mort / Plus rien à faire","KO","OK"))</f>
        <v>OK</v>
      </c>
      <c r="M12" s="15">
        <v>46077.696284722224</v>
      </c>
      <c r="N12" s="15" cm="1" t="n">
        <f t="array" ref="N12">IF(OR(C12="",M12="",M12=0),"",M12)</f>
        <v>46077.696284722224</v>
      </c>
      <c r="O12" s="15">
        <v>46105.041666666664</v>
      </c>
      <c r="P12" s="15" cm="1" t="n">
        <f t="array" ref="P12">IF(C12="","",IF(OR(O12="",O12=0),"-",O12))</f>
        <v>46105.041666666664</v>
      </c>
      <c r="Q12" s="16">
        <v>0</v>
      </c>
      <c r="R12" s="16" cm="1" t="str">
        <f t="array" ref="R12">IF(C12="","",ROUND(Q12/1000000,3)&amp;" M€")</f>
        <v>0 M€</v>
      </c>
      <c r="S12" s="12" t="s">
        <v>71</v>
      </c>
      <c r="T12" s="9" cm="1" t="str">
        <f t="array" ref="T12">IF(C12="","",SUBSTITUTE(S12,"","")&amp;"%")</f>
        <v>30%</v>
      </c>
      <c r="U12" s="9" cm="1" t="str">
        <f t="array" ref="U12">IF(($N12="")*($P12=""),"",IF(($N12&lt;&gt;"")*($N12&gt;TODAY()-9)*($N12&lt;TODAY()+1)*($P12&lt;&gt;"")*($P12&gt;=TODAY())*($P12&lt;=TODAY()+13),"Semaine passée &amp; à venir",IF(($N12&lt;&gt;"")*($N12&gt;TODAY()-9)*($N12&lt;TODAY()+1),"Semaine passée",IF(($P12&lt;&gt;"")*($P12&gt;=TODAY())*($P12&lt;=TODAY()+13),"À venir","Autre"))))</f>
        <v>Autre</v>
      </c>
      <c r="V12" s="8" cm="1" t="n">
        <f t="array" ref="V12">IF(C12&lt;&gt;"",1,0)</f>
        <v>1</v>
      </c>
      <c r="W12" s="8">
</c>
      <c r="X12" s="8">
</c>
      <c r="Y12" s="8">
</c>
      <c r="Z12" s="8">
</c>
      <c r="AA12" s="8">
</c>
      <c r="AB12" s="8">
</c>
      <c r="AC12" s="8">
</c>
      <c r="AD12" s="8">
</c>
      <c r="AE12" s="8">
</c>
      <c r="AF12" s="8">
</c>
      <c r="AG12" s="8">
</c>
      <c r="AH12" s="8">
</c>
      <c r="AI12" s="8">
</c>
      <c r="AJ12" s="8">
</c>
      <c r="AK12" s="8">
</c>
    </row>
    <row r="13" ht="76.5" customHeight="1">
      <c r="A13" s="9" t="s">
        <v>23</v>
      </c>
      <c r="B13" s="9" t="s">
        <v>50</v>
      </c>
      <c r="C13" s="12" t="s">
        <v>72</v>
      </c>
      <c r="D13" s="12" t="s">
        <v>73</v>
      </c>
      <c r="E13" s="9" t="s">
        <v>74</v>
      </c>
      <c r="F13" s="8" t="s">
        <v>75</v>
      </c>
      <c r="G13" s="13" cm="1" t="str">
        <f t="array" ref="G13">IF(F13="","",SUBSTITUTE(SUBSTITUTE(SUBSTITUTE(SUBSTITUTE(F13,"&lt;li&gt;",CHAR(10)),"&lt;/li&gt;",""),"&lt;br&gt;",CHAR(10)),"&lt;strong&gt;",""))</f>
        <v>&lt;p&gt;RDV physique 28/01/26 : présentation offre gestion de fortune PE, 3 fonds externes, 2bn d'assets, volonté de diversification, comité direction demande process référencement, potentiel levée 1-5M€. 10/02 : reprise de contact, envoi lien Dataroom Straton. Prochaine étape : relancer Benjamin (deadline 12/02).&lt;/p&gt;</v>
      </c>
      <c r="H13" s="13" cm="1" t="str">
        <f t="array" ref="H13">IF(G13="","",SUBSTITUTE(SUBSTITUTE(SUBSTITUTE(SUBSTITUTE(SUBSTITUTE(G13,"&lt;p&gt;",""),"&lt;/p&gt;",""),"&lt;ul&gt;",""),"&lt;/ul&gt;",""),"&lt;/strong&gt;",""))</f>
        <v>RDV physique 28/01/26 : présentation offre gestion de fortune PE, 3 fonds externes, 2bn d'assets, volonté de diversification, comité direction demande process référencement, potentiel levée 1-5M€. 10/02 : reprise de contact, envoi lien Dataroom Straton. Prochaine étape : relancer Benjamin (deadline 12/02).</v>
      </c>
      <c r="I13" s="14" cm="1" t="str">
        <f t="array" ref="I13">IF(C13="","",IF(OR(H13="",H13=0,H13=FALSE),"-",H13))</f>
        <v>RDV physique 28/01/26 : présentation offre gestion de fortune PE, 3 fonds externes, 2bn d'assets, volonté de diversification, comité direction demande process référencement, potentiel levée 1-5M€. 10/02 : reprise de contact, envoi lien Dataroom Straton. Prochaine étape : relancer Benjamin (deadline 12/02).</v>
      </c>
      <c r="J13" s="8" t="s">
        <v>76</v>
      </c>
      <c r="K13" s="8" t="s">
        <v>35</v>
      </c>
      <c r="L13" s="9" cm="1" t="str">
        <f t="array" ref="L13">IF(C13="","",IF(K13="Mort / Plus rien à faire","KO","OK"))</f>
        <v>OK</v>
      </c>
      <c r="M13" s="15">
        <v>46084.40789351852</v>
      </c>
      <c r="N13" s="15" cm="1" t="n">
        <f t="array" ref="N13">IF(OR(C13="",M13="",M13=0),"",M13)</f>
        <v>46084.40789351852</v>
      </c>
      <c r="O13" s="15">
        <v>46087.041666666664</v>
      </c>
      <c r="P13" s="15" cm="1" t="n">
        <f t="array" ref="P13">IF(C13="","",IF(OR(O13="",O13=0),"-",O13))</f>
        <v>46087.041666666664</v>
      </c>
      <c r="Q13" s="16">
        <v>1000000</v>
      </c>
      <c r="R13" s="16" cm="1" t="str">
        <f t="array" ref="R13">IF(C13="","",ROUND(Q13/1000000,3)&amp;" M€")</f>
        <v>1 M€</v>
      </c>
      <c r="S13" s="12" t="s">
        <v>71</v>
      </c>
      <c r="T13" s="9" cm="1" t="str">
        <f t="array" ref="T13">IF(C13="","",SUBSTITUTE(S13,"","")&amp;"%")</f>
        <v>30%</v>
      </c>
      <c r="U13" s="9" cm="1" t="str">
        <f t="array" ref="U13">IF(($N13="")*($P13=""),"",IF(($N13&lt;&gt;"")*($N13&gt;TODAY()-9)*($N13&lt;TODAY()+1)*($P13&lt;&gt;"")*($P13&gt;=TODAY())*($P13&lt;=TODAY()+13),"Semaine passée &amp; à venir",IF(($N13&lt;&gt;"")*($N13&gt;TODAY()-9)*($N13&lt;TODAY()+1),"Semaine passée",IF(($P13&lt;&gt;"")*($P13&gt;=TODAY())*($P13&lt;=TODAY()+13),"À venir","Autre"))))</f>
        <v>Semaine passée &amp; à venir</v>
      </c>
      <c r="V13" s="8" cm="1" t="n">
        <f t="array" ref="V13">IF(C13&lt;&gt;"",1,0)</f>
        <v>1</v>
      </c>
      <c r="W13" s="8">
</c>
      <c r="X13" s="8">
</c>
      <c r="Y13" s="8">
</c>
      <c r="Z13" s="8">
</c>
      <c r="AA13" s="8">
</c>
      <c r="AB13" s="8">
</c>
      <c r="AC13" s="8">
</c>
      <c r="AD13" s="8">
</c>
      <c r="AE13" s="8">
</c>
      <c r="AF13" s="8">
</c>
      <c r="AG13" s="8">
</c>
      <c r="AH13" s="8">
</c>
      <c r="AI13" s="8">
</c>
      <c r="AJ13" s="8">
</c>
      <c r="AK13" s="8">
</c>
    </row>
    <row r="14" ht="76.5" customHeight="1">
      <c r="A14" s="9" t="s">
        <v>23</v>
      </c>
      <c r="B14" s="9" t="s">
        <v>77</v>
      </c>
      <c r="C14" s="12" t="s">
        <v>78</v>
      </c>
      <c r="D14" s="12" t="s">
        <v>79</v>
      </c>
      <c r="E14" s="9" t="s">
        <v>53</v>
      </c>
      <c r="F14" s="8" t="s">
        <v>80</v>
      </c>
      <c r="G14" s="13" cm="1" t="str">
        <f t="array" ref="G14">IF(F14="","",SUBSTITUTE(SUBSTITUTE(SUBSTITUTE(SUBSTITUTE(F14,"&lt;li&gt;",CHAR(10)),"&lt;/li&gt;",""),"&lt;br&gt;",CHAR(10)),"&lt;strong&gt;",""))</f>
        <v>&lt;p&gt;Validation montant fonds reportée à 2026 (incertitudes fiscales). Déjeuner Bourrienne CB, OPNF, TS avec Daylight FO (Dorian Lagarnaudie) prévu, participants Charles, Olivier, Thomas. Nouvelles dates à positionner. Pas d'enrichissement possible (email non valide). Prochaine étape : fixer RDV.&lt;/p&gt;</v>
      </c>
      <c r="H14" s="13" cm="1" t="str">
        <f t="array" ref="H14">IF(G14="","",SUBSTITUTE(SUBSTITUTE(SUBSTITUTE(SUBSTITUTE(SUBSTITUTE(G14,"&lt;p&gt;",""),"&lt;/p&gt;",""),"&lt;ul&gt;",""),"&lt;/ul&gt;",""),"&lt;/strong&gt;",""))</f>
        <v>Validation montant fonds reportée à 2026 (incertitudes fiscales). Déjeuner Bourrienne CB, OPNF, TS avec Daylight FO (Dorian Lagarnaudie) prévu, participants Charles, Olivier, Thomas. Nouvelles dates à positionner. Pas d'enrichissement possible (email non valide). Prochaine étape : fixer RDV.</v>
      </c>
      <c r="I14" s="14" cm="1" t="str">
        <f t="array" ref="I14">IF(C14="","",IF(OR(H14="",H14=0,H14=FALSE),"-",H14))</f>
        <v>Validation montant fonds reportée à 2026 (incertitudes fiscales). Déjeuner Bourrienne CB, OPNF, TS avec Daylight FO (Dorian Lagarnaudie) prévu, participants Charles, Olivier, Thomas. Nouvelles dates à positionner. Pas d'enrichissement possible (email non valide). Prochaine étape : fixer RDV.</v>
      </c>
      <c r="J14" s="8" t="s">
        <v>81</v>
      </c>
      <c r="K14" s="8" t="s">
        <v>35</v>
      </c>
      <c r="L14" s="9" cm="1" t="str">
        <f t="array" ref="L14">IF(C14="","",IF(K14="Mort / Plus rien à faire","KO","OK"))</f>
        <v>OK</v>
      </c>
      <c r="M14" s="15">
        <v>46063.59287037037</v>
      </c>
      <c r="N14" s="15" cm="1" t="n">
        <f t="array" ref="N14">IF(OR(C14="",M14="",M14=0),"",M14)</f>
        <v>46063.59287037037</v>
      </c>
      <c r="O14" s="15">
</c>
      <c r="P14" s="15" cm="1" t="str">
        <f t="array" ref="P14">IF(C14="","",IF(OR(O14="",O14=0),"-",O14))</f>
        <v>-</v>
      </c>
      <c r="Q14" s="16">
        <v>500000</v>
      </c>
      <c r="R14" s="16" cm="1" t="str">
        <f t="array" ref="R14">IF(C14="","",ROUND(Q14/1000000,3)&amp;" M€")</f>
        <v>0.5 M€</v>
      </c>
      <c r="S14" s="12" t="s">
        <v>71</v>
      </c>
      <c r="T14" s="9" cm="1" t="str">
        <f t="array" ref="T14">IF(C14="","",SUBSTITUTE(S14,"","")&amp;"%")</f>
        <v>30%</v>
      </c>
      <c r="U14" s="9" cm="1" t="str">
        <f t="array" ref="U14">IF(($N14="")*($P14=""),"",IF(($N14&lt;&gt;"")*($N14&gt;TODAY()-9)*($N14&lt;TODAY()+1)*($P14&lt;&gt;"")*($P14&gt;=TODAY())*($P14&lt;=TODAY()+13),"Semaine passée &amp; à venir",IF(($N14&lt;&gt;"")*($N14&gt;TODAY()-9)*($N14&lt;TODAY()+1),"Semaine passée",IF(($P14&lt;&gt;"")*($P14&gt;=TODAY())*($P14&lt;=TODAY()+13),"À venir","Autre"))))</f>
        <v>Autre</v>
      </c>
      <c r="V14" s="8" cm="1" t="n">
        <f t="array" ref="V14">IF(C14&lt;&gt;"",1,0)</f>
        <v>1</v>
      </c>
      <c r="W14" s="8">
</c>
      <c r="X14" s="8">
</c>
      <c r="Y14" s="8">
</c>
      <c r="Z14" s="8">
</c>
      <c r="AA14" s="8">
</c>
      <c r="AB14" s="8">
</c>
      <c r="AC14" s="8">
</c>
      <c r="AD14" s="8">
</c>
      <c r="AE14" s="8">
</c>
      <c r="AF14" s="8">
</c>
      <c r="AG14" s="8">
</c>
      <c r="AH14" s="8">
</c>
      <c r="AI14" s="8">
</c>
      <c r="AJ14" s="8">
</c>
      <c r="AK14" s="8">
</c>
    </row>
    <row r="15" ht="76.5" customHeight="1">
      <c r="A15" s="9" t="s">
        <v>23</v>
      </c>
      <c r="B15" s="9" t="s">
        <v>82</v>
      </c>
      <c r="C15" s="12" t="s">
        <v>83</v>
      </c>
      <c r="D15" s="12" t="s">
        <v>83</v>
      </c>
      <c r="E15" s="9" t="s">
        <v>53</v>
      </c>
      <c r="F15" s="8" t="s">
        <v>84</v>
      </c>
      <c r="G15" s="13" cm="1" t="str">
        <f t="array" ref="G15">IF(F15="","",SUBSTITUTE(SUBSTITUTE(SUBSTITUTE(SUBSTITUTE(F15,"&lt;li&gt;",CHAR(10)),"&lt;/li&gt;",""),"&lt;br&gt;",CHAR(10)),"&lt;strong&gt;",""))</f>
        <v>&lt;p&gt;RDV 02/02/2026 avec CB, EG, CP pour investissement 400K€ en trésorerie. Visio réalisée, échanges sur modalités d'investissement. Enrichissement lead impossible (email invalide). Nouvelle piste créée pour équipe Ventes. Prochaines étapes non précisées, attente retour prospect.&lt;/p&gt;</v>
      </c>
      <c r="H15" s="13" cm="1" t="str">
        <f t="array" ref="H15">IF(G15="","",SUBSTITUTE(SUBSTITUTE(SUBSTITUTE(SUBSTITUTE(SUBSTITUTE(G15,"&lt;p&gt;",""),"&lt;/p&gt;",""),"&lt;ul&gt;",""),"&lt;/ul&gt;",""),"&lt;/strong&gt;",""))</f>
        <v>RDV 02/02/2026 avec CB, EG, CP pour investissement 400K€ en trésorerie. Visio réalisée, échanges sur modalités d'investissement. Enrichissement lead impossible (email invalide). Nouvelle piste créée pour équipe Ventes. Prochaines étapes non précisées, attente retour prospect.</v>
      </c>
      <c r="I15" s="14" cm="1" t="str">
        <f t="array" ref="I15">IF(C15="","",IF(OR(H15="",H15=0,H15=FALSE),"-",H15))</f>
        <v>RDV 02/02/2026 avec CB, EG, CP pour investissement 400K€ en trésorerie. Visio réalisée, échanges sur modalités d'investissement. Enrichissement lead impossible (email invalide). Nouvelle piste créée pour équipe Ventes. Prochaines étapes non précisées, attente retour prospect.</v>
      </c>
      <c r="J15" s="8">
</c>
      <c r="K15" s="8" t="s">
        <v>35</v>
      </c>
      <c r="L15" s="9" cm="1" t="str">
        <f t="array" ref="L15">IF(C15="","",IF(K15="Mort / Plus rien à faire","KO","OK"))</f>
        <v>OK</v>
      </c>
      <c r="M15" s="15">
        <v>46063.50255787037</v>
      </c>
      <c r="N15" s="15" cm="1" t="n">
        <f t="array" ref="N15">IF(OR(C15="",M15="",M15=0),"",M15)</f>
        <v>46063.50255787037</v>
      </c>
      <c r="O15" s="15">
</c>
      <c r="P15" s="15" cm="1" t="str">
        <f t="array" ref="P15">IF(C15="","",IF(OR(O15="",O15=0),"-",O15))</f>
        <v>-</v>
      </c>
      <c r="Q15" s="16">
        <v>150000</v>
      </c>
      <c r="R15" s="16" cm="1" t="str">
        <f t="array" ref="R15">IF(C15="","",ROUND(Q15/1000000,3)&amp;" M€")</f>
        <v>0.15 M€</v>
      </c>
      <c r="S15" s="12" t="s">
        <v>71</v>
      </c>
      <c r="T15" s="9" cm="1" t="str">
        <f t="array" ref="T15">IF(C15="","",SUBSTITUTE(S15,"","")&amp;"%")</f>
        <v>30%</v>
      </c>
      <c r="U15" s="9" cm="1" t="str">
        <f t="array" ref="U15">IF(($N15="")*($P15=""),"",IF(($N15&lt;&gt;"")*($N15&gt;TODAY()-9)*($N15&lt;TODAY()+1)*($P15&lt;&gt;"")*($P15&gt;=TODAY())*($P15&lt;=TODAY()+13),"Semaine passée &amp; à venir",IF(($N15&lt;&gt;"")*($N15&gt;TODAY()-9)*($N15&lt;TODAY()+1),"Semaine passée",IF(($P15&lt;&gt;"")*($P15&gt;=TODAY())*($P15&lt;=TODAY()+13),"À venir","Autre"))))</f>
        <v>Autre</v>
      </c>
      <c r="V15" s="8" cm="1" t="n">
        <f t="array" ref="V15">IF(C15&lt;&gt;"",1,0)</f>
        <v>1</v>
      </c>
      <c r="W15" s="8">
</c>
      <c r="X15" s="8">
</c>
      <c r="Y15" s="8">
</c>
      <c r="Z15" s="8">
</c>
      <c r="AA15" s="8">
</c>
      <c r="AB15" s="8">
</c>
      <c r="AC15" s="8">
</c>
      <c r="AD15" s="8">
</c>
      <c r="AE15" s="8">
</c>
      <c r="AF15" s="8">
</c>
      <c r="AG15" s="8">
</c>
      <c r="AH15" s="8">
</c>
      <c r="AI15" s="8">
</c>
      <c r="AJ15" s="8">
</c>
      <c r="AK15" s="8">
</c>
    </row>
    <row r="16" ht="76.5" customHeight="1">
      <c r="A16" s="9" t="s">
        <v>23</v>
      </c>
      <c r="B16" s="9" t="s">
        <v>85</v>
      </c>
      <c r="C16" s="12" t="s">
        <v>86</v>
      </c>
      <c r="D16" s="12" t="s">
        <v>87</v>
      </c>
      <c r="E16" s="9" t="s">
        <v>27</v>
      </c>
      <c r="F16" s="8" t="s">
        <v>88</v>
      </c>
      <c r="G16" s="13" cm="1" t="str">
        <f t="array" ref="G16">IF(F16="","",SUBSTITUTE(SUBSTITUTE(SUBSTITUTE(SUBSTITUTE(F16,"&lt;li&gt;",CHAR(10)),"&lt;/li&gt;",""),"&lt;br&gt;",CHAR(10)),"&lt;strong&gt;",""))</f>
        <v>&lt;p&gt;04/02 : Présentation défense, 100m equity/dette listée, commission placements ok, rdv Q1 2026. Ticket 5-10m€. Débat liquidité/désinvestissement. Passage CA avril 2026 pour autorisation, hors spectre actuel. Comité investissement prévu mai 2026. Suivi exit à prévoir.&lt;/p&gt;</v>
      </c>
      <c r="H16" s="13" cm="1" t="str">
        <f t="array" ref="H16">IF(G16="","",SUBSTITUTE(SUBSTITUTE(SUBSTITUTE(SUBSTITUTE(SUBSTITUTE(G16,"&lt;p&gt;",""),"&lt;/p&gt;",""),"&lt;ul&gt;",""),"&lt;/ul&gt;",""),"&lt;/strong&gt;",""))</f>
        <v>04/02 : Présentation défense, 100m equity/dette listée, commission placements ok, rdv Q1 2026. Ticket 5-10m€. Débat liquidité/désinvestissement. Passage CA avril 2026 pour autorisation, hors spectre actuel. Comité investissement prévu mai 2026. Suivi exit à prévoir.</v>
      </c>
      <c r="I16" s="14" cm="1" t="str">
        <f t="array" ref="I16">IF(C16="","",IF(OR(H16="",H16=0,H16=FALSE),"-",H16))</f>
        <v>04/02 : Présentation défense, 100m equity/dette listée, commission placements ok, rdv Q1 2026. Ticket 5-10m€. Débat liquidité/désinvestissement. Passage CA avril 2026 pour autorisation, hors spectre actuel. Comité investissement prévu mai 2026. Suivi exit à prévoir.</v>
      </c>
      <c r="J16" s="8">
</c>
      <c r="K16" s="8" t="s">
        <v>35</v>
      </c>
      <c r="L16" s="9" cm="1" t="str">
        <f t="array" ref="L16">IF(C16="","",IF(K16="Mort / Plus rien à faire","KO","OK"))</f>
        <v>OK</v>
      </c>
      <c r="M16" s="15">
        <v>46069.409525462965</v>
      </c>
      <c r="N16" s="15" cm="1" t="n">
        <f t="array" ref="N16">IF(OR(C16="",M16="",M16=0),"",M16)</f>
        <v>46069.409525462965</v>
      </c>
      <c r="O16" s="15">
</c>
      <c r="P16" s="15" cm="1" t="str">
        <f t="array" ref="P16">IF(C16="","",IF(OR(O16="",O16=0),"-",O16))</f>
        <v>-</v>
      </c>
      <c r="Q16" s="16">
        <v>10000000</v>
      </c>
      <c r="R16" s="16" cm="1" t="str">
        <f t="array" ref="R16">IF(C16="","",ROUND(Q16/1000000,3)&amp;" M€")</f>
        <v>10 M€</v>
      </c>
      <c r="S16" s="12" t="s">
        <v>71</v>
      </c>
      <c r="T16" s="9" cm="1" t="str">
        <f t="array" ref="T16">IF(C16="","",SUBSTITUTE(S16,"","")&amp;"%")</f>
        <v>30%</v>
      </c>
      <c r="U16" s="9" cm="1" t="str">
        <f t="array" ref="U16">IF(($N16="")*($P16=""),"",IF(($N16&lt;&gt;"")*($N16&gt;TODAY()-9)*($N16&lt;TODAY()+1)*($P16&lt;&gt;"")*($P16&gt;=TODAY())*($P16&lt;=TODAY()+13),"Semaine passée &amp; à venir",IF(($N16&lt;&gt;"")*($N16&gt;TODAY()-9)*($N16&lt;TODAY()+1),"Semaine passée",IF(($P16&lt;&gt;"")*($P16&gt;=TODAY())*($P16&lt;=TODAY()+13),"À venir","Autre"))))</f>
        <v>Autre</v>
      </c>
      <c r="V16" s="8" cm="1" t="n">
        <f t="array" ref="V16">IF(C16&lt;&gt;"",1,0)</f>
        <v>1</v>
      </c>
      <c r="W16" s="8">
</c>
      <c r="X16" s="8">
</c>
      <c r="Y16" s="8">
</c>
      <c r="Z16" s="8">
</c>
      <c r="AA16" s="8">
</c>
      <c r="AB16" s="8">
</c>
      <c r="AC16" s="8">
</c>
      <c r="AD16" s="8">
</c>
      <c r="AE16" s="8">
</c>
      <c r="AF16" s="8">
</c>
      <c r="AG16" s="8">
</c>
      <c r="AH16" s="8">
</c>
      <c r="AI16" s="8">
</c>
      <c r="AJ16" s="8">
</c>
      <c r="AK16" s="8">
</c>
    </row>
    <row r="17" ht="76.5" customHeight="1">
      <c r="A17" s="9" t="s">
        <v>23</v>
      </c>
      <c r="B17" s="9" t="s">
        <v>24</v>
      </c>
      <c r="C17" s="12" t="s">
        <v>89</v>
      </c>
      <c r="D17" s="12" t="s">
        <v>90</v>
      </c>
      <c r="E17" s="9" t="s">
        <v>27</v>
      </c>
      <c r="F17" s="8" t="s">
        <v>91</v>
      </c>
      <c r="G17" s="13" cm="1" t="str">
        <f t="array" ref="G17">IF(F17="","",SUBSTITUTE(SUBSTITUTE(SUBSTITUTE(SUBSTITUTE(F17,"&lt;li&gt;",CHAR(10)),"&lt;/li&gt;",""),"&lt;br&gt;",CHAR(10)),"&lt;strong&gt;",""))</f>
        <v>&lt;p&gt;Relance mail 12/02/2026 pour connaître stratégie d'investissement, focus PE non cotés souveraineté. Aucun retour ni activité récente. Piste créée pour équipe Ventes. Pas d'autres échanges, notes ou actions récentes. Prochaine étape : attente réponse prospect sur stratégie.&lt;/p&gt;</v>
      </c>
      <c r="H17" s="13" cm="1" t="str">
        <f t="array" ref="H17">IF(G17="","",SUBSTITUTE(SUBSTITUTE(SUBSTITUTE(SUBSTITUTE(SUBSTITUTE(G17,"&lt;p&gt;",""),"&lt;/p&gt;",""),"&lt;ul&gt;",""),"&lt;/ul&gt;",""),"&lt;/strong&gt;",""))</f>
        <v>Relance mail 12/02/2026 pour connaître stratégie d'investissement, focus PE non cotés souveraineté. Aucun retour ni activité récente. Piste créée pour équipe Ventes. Pas d'autres échanges, notes ou actions récentes. Prochaine étape : attente réponse prospect sur stratégie.</v>
      </c>
      <c r="I17" s="14" cm="1" t="str">
        <f t="array" ref="I17">IF(C17="","",IF(OR(H17="",H17=0,H17=FALSE),"-",H17))</f>
        <v>Relance mail 12/02/2026 pour connaître stratégie d'investissement, focus PE non cotés souveraineté. Aucun retour ni activité récente. Piste créée pour équipe Ventes. Pas d'autres échanges, notes ou actions récentes. Prochaine étape : attente réponse prospect sur stratégie.</v>
      </c>
      <c r="J17" s="8">
</c>
      <c r="K17" s="8" t="s">
        <v>35</v>
      </c>
      <c r="L17" s="9" cm="1" t="str">
        <f t="array" ref="L17">IF(C17="","",IF(K17="Mort / Plus rien à faire","KO","OK"))</f>
        <v>OK</v>
      </c>
      <c r="M17" s="15">
        <v>46069.41122685185</v>
      </c>
      <c r="N17" s="15" cm="1" t="n">
        <f t="array" ref="N17">IF(OR(C17="",M17="",M17=0),"",M17)</f>
        <v>46069.41122685185</v>
      </c>
      <c r="O17" s="15">
</c>
      <c r="P17" s="15" cm="1" t="str">
        <f t="array" ref="P17">IF(C17="","",IF(OR(O17="",O17=0),"-",O17))</f>
        <v>-</v>
      </c>
      <c r="Q17" s="16">
        <v>0</v>
      </c>
      <c r="R17" s="16" cm="1" t="str">
        <f t="array" ref="R17">IF(C17="","",ROUND(Q17/1000000,3)&amp;" M€")</f>
        <v>0 M€</v>
      </c>
      <c r="S17" s="12" t="s">
        <v>71</v>
      </c>
      <c r="T17" s="9" cm="1" t="str">
        <f t="array" ref="T17">IF(C17="","",SUBSTITUTE(S17,"","")&amp;"%")</f>
        <v>30%</v>
      </c>
      <c r="U17" s="9" cm="1" t="str">
        <f t="array" ref="U17">IF(($N17="")*($P17=""),"",IF(($N17&lt;&gt;"")*($N17&gt;TODAY()-9)*($N17&lt;TODAY()+1)*($P17&lt;&gt;"")*($P17&gt;=TODAY())*($P17&lt;=TODAY()+13),"Semaine passée &amp; à venir",IF(($N17&lt;&gt;"")*($N17&gt;TODAY()-9)*($N17&lt;TODAY()+1),"Semaine passée",IF(($P17&lt;&gt;"")*($P17&gt;=TODAY())*($P17&lt;=TODAY()+13),"À venir","Autre"))))</f>
        <v>Autre</v>
      </c>
      <c r="V17" s="8" cm="1" t="n">
        <f t="array" ref="V17">IF(C17&lt;&gt;"",1,0)</f>
        <v>1</v>
      </c>
      <c r="W17" s="8">
</c>
      <c r="X17" s="8">
</c>
      <c r="Y17" s="8">
</c>
      <c r="Z17" s="8">
</c>
      <c r="AA17" s="8">
</c>
      <c r="AB17" s="8">
</c>
      <c r="AC17" s="8">
</c>
      <c r="AD17" s="8">
</c>
      <c r="AE17" s="8">
</c>
      <c r="AF17" s="8">
</c>
      <c r="AG17" s="8">
</c>
      <c r="AH17" s="8">
</c>
      <c r="AI17" s="8">
</c>
      <c r="AJ17" s="8">
</c>
      <c r="AK17" s="8">
</c>
    </row>
    <row r="18" ht="76.5" customHeight="1">
      <c r="A18" s="9" t="s">
        <v>23</v>
      </c>
      <c r="B18" s="9" t="s">
        <v>60</v>
      </c>
      <c r="C18" s="12" t="s">
        <v>92</v>
      </c>
      <c r="D18" s="12" t="s">
        <v>93</v>
      </c>
      <c r="E18" s="9" t="s">
        <v>63</v>
      </c>
      <c r="F18" s="8" t="s">
        <v>94</v>
      </c>
      <c r="G18" s="13" cm="1" t="str">
        <f t="array" ref="G18">IF(F18="","",SUBSTITUTE(SUBSTITUTE(SUBSTITUTE(SUBSTITUTE(F18,"&lt;li&gt;",CHAR(10)),"&lt;/li&gt;",""),"&lt;br&gt;",CHAR(10)),"&lt;strong&gt;",""))</f>
        <v>&lt;p&gt;Café 6/11 Stéphane x Pauline, découverte FO, présentation Audacia, intérêt pour spatial/quantique/défense, envoi présentations, relances mails/voeux, appel Stéphane (message laissé), mail présentation ATDI, feedback : peu d'intérêt pour 150 ob ter, 100% honoraires, co-invest Andera, évitent plateformes. Prochaine étape : event 26/01.&lt;/p&gt;</v>
      </c>
      <c r="H18" s="13" cm="1" t="str">
        <f t="array" ref="H18">IF(G18="","",SUBSTITUTE(SUBSTITUTE(SUBSTITUTE(SUBSTITUTE(SUBSTITUTE(G18,"&lt;p&gt;",""),"&lt;/p&gt;",""),"&lt;ul&gt;",""),"&lt;/ul&gt;",""),"&lt;/strong&gt;",""))</f>
        <v>Café 6/11 Stéphane x Pauline, découverte FO, présentation Audacia, intérêt pour spatial/quantique/défense, envoi présentations, relances mails/voeux, appel Stéphane (message laissé), mail présentation ATDI, feedback : peu d'intérêt pour 150 ob ter, 100% honoraires, co-invest Andera, évitent plateformes. Prochaine étape : event 26/01.</v>
      </c>
      <c r="I18" s="14" cm="1" t="str">
        <f t="array" ref="I18">IF(C18="","",IF(OR(H18="",H18=0,H18=FALSE),"-",H18))</f>
        <v>Café 6/11 Stéphane x Pauline, découverte FO, présentation Audacia, intérêt pour spatial/quantique/défense, envoi présentations, relances mails/voeux, appel Stéphane (message laissé), mail présentation ATDI, feedback : peu d'intérêt pour 150 ob ter, 100% honoraires, co-invest Andera, évitent plateformes. Prochaine étape : event 26/01.</v>
      </c>
      <c r="J18" s="8">
</c>
      <c r="K18" s="8" t="s">
        <v>65</v>
      </c>
      <c r="L18" s="9" cm="1" t="str">
        <f t="array" ref="L18">IF(C18="","",IF(K18="Mort / Plus rien à faire","KO","OK"))</f>
        <v>OK</v>
      </c>
      <c r="M18" s="15">
        <v>46034.42774305555</v>
      </c>
      <c r="N18" s="15" cm="1" t="n">
        <f t="array" ref="N18">IF(OR(C18="",M18="",M18=0),"",M18)</f>
        <v>46034.42774305555</v>
      </c>
      <c r="O18" s="15">
</c>
      <c r="P18" s="15" cm="1" t="str">
        <f t="array" ref="P18">IF(C18="","",IF(OR(O18="",O18=0),"-",O18))</f>
        <v>-</v>
      </c>
      <c r="Q18" s="16">
        <v>0</v>
      </c>
      <c r="R18" s="16" cm="1" t="str">
        <f t="array" ref="R18">IF(C18="","",ROUND(Q18/1000000,3)&amp;" M€")</f>
        <v>0 M€</v>
      </c>
      <c r="S18" s="12" t="s">
        <v>71</v>
      </c>
      <c r="T18" s="9" cm="1" t="str">
        <f t="array" ref="T18">IF(C18="","",SUBSTITUTE(S18,"","")&amp;"%")</f>
        <v>30%</v>
      </c>
      <c r="U18" s="9" cm="1" t="str">
        <f t="array" ref="U18">IF(($N18="")*($P18=""),"",IF(($N18&lt;&gt;"")*($N18&gt;TODAY()-9)*($N18&lt;TODAY()+1)*($P18&lt;&gt;"")*($P18&gt;=TODAY())*($P18&lt;=TODAY()+13),"Semaine passée &amp; à venir",IF(($N18&lt;&gt;"")*($N18&gt;TODAY()-9)*($N18&lt;TODAY()+1),"Semaine passée",IF(($P18&lt;&gt;"")*($P18&gt;=TODAY())*($P18&lt;=TODAY()+13),"À venir","Autre"))))</f>
        <v>Autre</v>
      </c>
      <c r="V18" s="8" cm="1" t="n">
        <f t="array" ref="V18">IF(C18&lt;&gt;"",1,0)</f>
        <v>1</v>
      </c>
      <c r="W18" s="8">
</c>
      <c r="X18" s="8">
</c>
      <c r="Y18" s="8">
</c>
      <c r="Z18" s="8">
</c>
      <c r="AA18" s="8">
</c>
      <c r="AB18" s="8">
</c>
      <c r="AC18" s="8">
</c>
      <c r="AD18" s="8">
</c>
      <c r="AE18" s="8">
</c>
      <c r="AF18" s="8">
</c>
      <c r="AG18" s="8">
</c>
      <c r="AH18" s="8">
</c>
      <c r="AI18" s="8">
</c>
      <c r="AJ18" s="8">
</c>
      <c r="AK18" s="8">
</c>
    </row>
    <row r="19" ht="76.5" customHeight="1">
      <c r="A19" s="9" t="s">
        <v>23</v>
      </c>
      <c r="B19" s="9" t="s">
        <v>77</v>
      </c>
      <c r="C19" s="12" t="s">
        <v>95</v>
      </c>
      <c r="D19" s="12" t="s">
        <v>96</v>
      </c>
      <c r="E19" s="9" t="s">
        <v>63</v>
      </c>
      <c r="F19" s="8" t="s">
        <v>97</v>
      </c>
      <c r="G19" s="13" cm="1" t="str">
        <f t="array" ref="G19">IF(F19="","",SUBSTITUTE(SUBSTITUTE(SUBSTITUTE(SUBSTITUTE(F19,"&lt;li&gt;",CHAR(10)),"&lt;/li&gt;",""),"&lt;br&gt;",CHAR(10)),"&lt;strong&gt;",""))</f>
        <v>&lt;p&gt;Aucune activité ou échange récent enregistré sur EMERAUDE CAPITAL. Groupe détenu partiellement par Abenex (LBO), stratégie de croissance par rachats, 6 acquisitions depuis septembre, 1,3 Md€ sous gestion, ticket moyen 350k, 10-15% PE dans portefeuilles, intérêt potentiel pour 150 OB ter.&lt;/p&gt;</v>
      </c>
      <c r="H19" s="13" cm="1" t="str">
        <f t="array" ref="H19">IF(G19="","",SUBSTITUTE(SUBSTITUTE(SUBSTITUTE(SUBSTITUTE(SUBSTITUTE(G19,"&lt;p&gt;",""),"&lt;/p&gt;",""),"&lt;ul&gt;",""),"&lt;/ul&gt;",""),"&lt;/strong&gt;",""))</f>
        <v>Aucune activité ou échange récent enregistré sur EMERAUDE CAPITAL. Groupe détenu partiellement par Abenex (LBO), stratégie de croissance par rachats, 6 acquisitions depuis septembre, 1,3 Md€ sous gestion, ticket moyen 350k, 10-15% PE dans portefeuilles, intérêt potentiel pour 150 OB ter.</v>
      </c>
      <c r="I19" s="14" cm="1" t="str">
        <f t="array" ref="I19">IF(C19="","",IF(OR(H19="",H19=0,H19=FALSE),"-",H19))</f>
        <v>Aucune activité ou échange récent enregistré sur EMERAUDE CAPITAL. Groupe détenu partiellement par Abenex (LBO), stratégie de croissance par rachats, 6 acquisitions depuis septembre, 1,3 Md€ sous gestion, ticket moyen 350k, 10-15% PE dans portefeuilles, intérêt potentiel pour 150 OB ter.</v>
      </c>
      <c r="J19" s="8" t="s">
        <v>98</v>
      </c>
      <c r="K19" s="8" t="s">
        <v>65</v>
      </c>
      <c r="L19" s="9" cm="1" t="str">
        <f t="array" ref="L19">IF(C19="","",IF(K19="Mort / Plus rien à faire","KO","OK"))</f>
        <v>OK</v>
      </c>
      <c r="M19" s="15">
        <v>46085.678877314815</v>
      </c>
      <c r="N19" s="15" cm="1" t="n">
        <f t="array" ref="N19">IF(OR(C19="",M19="",M19=0),"",M19)</f>
        <v>46085.678877314815</v>
      </c>
      <c r="O19" s="15">
        <v>46091.041666666664</v>
      </c>
      <c r="P19" s="15" cm="1" t="n">
        <f t="array" ref="P19">IF(C19="","",IF(OR(O19="",O19=0),"-",O19))</f>
        <v>46091.041666666664</v>
      </c>
      <c r="Q19" s="16">
        <v>0</v>
      </c>
      <c r="R19" s="16" cm="1" t="str">
        <f t="array" ref="R19">IF(C19="","",ROUND(Q19/1000000,3)&amp;" M€")</f>
        <v>0 M€</v>
      </c>
      <c r="S19" s="12" t="s">
        <v>71</v>
      </c>
      <c r="T19" s="9" cm="1" t="str">
        <f t="array" ref="T19">IF(C19="","",SUBSTITUTE(S19,"","")&amp;"%")</f>
        <v>30%</v>
      </c>
      <c r="U19" s="9" cm="1" t="str">
        <f t="array" ref="U19">IF(($N19="")*($P19=""),"",IF(($N19&lt;&gt;"")*($N19&gt;TODAY()-9)*($N19&lt;TODAY()+1)*($P19&lt;&gt;"")*($P19&gt;=TODAY())*($P19&lt;=TODAY()+13),"Semaine passée &amp; à venir",IF(($N19&lt;&gt;"")*($N19&gt;TODAY()-9)*($N19&lt;TODAY()+1),"Semaine passée",IF(($P19&lt;&gt;"")*($P19&gt;=TODAY())*($P19&lt;=TODAY()+13),"À venir","Autre"))))</f>
        <v>Semaine passée &amp; à venir</v>
      </c>
      <c r="V19" s="8" cm="1" t="n">
        <f t="array" ref="V19">IF(C19&lt;&gt;"",1,0)</f>
        <v>1</v>
      </c>
      <c r="W19" s="8">
</c>
      <c r="X19" s="8">
</c>
      <c r="Y19" s="8">
</c>
      <c r="Z19" s="8">
</c>
      <c r="AA19" s="8">
</c>
      <c r="AB19" s="8">
</c>
      <c r="AC19" s="8">
</c>
      <c r="AD19" s="8">
</c>
      <c r="AE19" s="8">
</c>
      <c r="AF19" s="8">
</c>
      <c r="AG19" s="8">
</c>
      <c r="AH19" s="8">
</c>
      <c r="AI19" s="8">
</c>
      <c r="AJ19" s="8">
</c>
      <c r="AK19" s="8">
</c>
    </row>
    <row r="20" ht="76.5" customHeight="1">
      <c r="A20" s="9" t="s">
        <v>23</v>
      </c>
      <c r="B20" s="9" t="s">
        <v>77</v>
      </c>
      <c r="C20" s="12" t="s">
        <v>99</v>
      </c>
      <c r="D20" s="12" t="s">
        <v>100</v>
      </c>
      <c r="E20" s="9" t="s">
        <v>63</v>
      </c>
      <c r="F20" s="8" t="s">
        <v>101</v>
      </c>
      <c r="G20" s="13" cm="1" t="str">
        <f t="array" ref="G20">IF(F20="","",SUBSTITUTE(SUBSTITUTE(SUBSTITUTE(SUBSTITUTE(F20,"&lt;li&gt;",CHAR(10)),"&lt;/li&gt;",""),"&lt;br&gt;",CHAR(10)),"&lt;strong&gt;",""))</f>
        <v>&lt;p&gt;Visio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Opale.&lt;/p&gt;</v>
      </c>
      <c r="H20" s="13" cm="1" t="str">
        <f t="array" ref="H20">IF(G20="","",SUBSTITUTE(SUBSTITUTE(SUBSTITUTE(SUBSTITUTE(SUBSTITUTE(G20,"&lt;p&gt;",""),"&lt;/p&gt;",""),"&lt;ul&gt;",""),"&lt;/ul&gt;",""),"&lt;/strong&gt;",""))</f>
        <v>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v>
      </c>
      <c r="I20" s="14" cm="1" t="str">
        <f t="array" ref="I20">IF(C20="","",IF(OR(H20="",H20=0,H20=FALSE),"-",H20))</f>
        <v>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v>
      </c>
      <c r="J20" s="8">
</c>
      <c r="K20" s="8" t="s">
        <v>35</v>
      </c>
      <c r="L20" s="9" cm="1" t="str">
        <f t="array" ref="L20">IF(C20="","",IF(K20="Mort / Plus rien à faire","KO","OK"))</f>
        <v>OK</v>
      </c>
      <c r="M20" s="15">
        <v>46044.65715277778</v>
      </c>
      <c r="N20" s="15" cm="1" t="n">
        <f t="array" ref="N20">IF(OR(C20="",M20="",M20=0),"",M20)</f>
        <v>46044.65715277778</v>
      </c>
      <c r="O20" s="15">
</c>
      <c r="P20" s="15" cm="1" t="str">
        <f t="array" ref="P20">IF(C20="","",IF(OR(O20="",O20=0),"-",O20))</f>
        <v>-</v>
      </c>
      <c r="Q20" s="16">
        <v>0</v>
      </c>
      <c r="R20" s="16" cm="1" t="str">
        <f t="array" ref="R20">IF(C20="","",ROUND(Q20/1000000,3)&amp;" M€")</f>
        <v>0 M€</v>
      </c>
      <c r="S20" s="12" t="s">
        <v>71</v>
      </c>
      <c r="T20" s="9" cm="1" t="str">
        <f t="array" ref="T20">IF(C20="","",SUBSTITUTE(S20,"","")&amp;"%")</f>
        <v>30%</v>
      </c>
      <c r="U20" s="9" cm="1" t="str">
        <f t="array" ref="U20">IF(($N20="")*($P20=""),"",IF(($N20&lt;&gt;"")*($N20&gt;TODAY()-9)*($N20&lt;TODAY()+1)*($P20&lt;&gt;"")*($P20&gt;=TODAY())*($P20&lt;=TODAY()+13),"Semaine passée &amp; à venir",IF(($N20&lt;&gt;"")*($N20&gt;TODAY()-9)*($N20&lt;TODAY()+1),"Semaine passée",IF(($P20&lt;&gt;"")*($P20&gt;=TODAY())*($P20&lt;=TODAY()+13),"À venir","Autre"))))</f>
        <v>Autre</v>
      </c>
      <c r="V20" s="8" cm="1" t="n">
        <f t="array" ref="V20">IF(C20&lt;&gt;"",1,0)</f>
        <v>1</v>
      </c>
      <c r="W20" s="8">
</c>
      <c r="X20" s="8">
</c>
      <c r="Y20" s="8">
</c>
      <c r="Z20" s="8">
</c>
      <c r="AA20" s="8">
</c>
      <c r="AB20" s="8">
</c>
      <c r="AC20" s="8">
</c>
      <c r="AD20" s="8">
</c>
      <c r="AE20" s="8">
</c>
      <c r="AF20" s="8">
</c>
      <c r="AG20" s="8">
</c>
      <c r="AH20" s="8">
</c>
      <c r="AI20" s="8">
</c>
      <c r="AJ20" s="8">
</c>
      <c r="AK20" s="8">
</c>
    </row>
    <row r="21" ht="76.5" customHeight="1">
      <c r="A21" s="9" t="s">
        <v>23</v>
      </c>
      <c r="B21" s="9" t="s">
        <v>82</v>
      </c>
      <c r="C21" s="12" t="s">
        <v>83</v>
      </c>
      <c r="D21" s="12" t="s">
        <v>83</v>
      </c>
      <c r="E21" s="9" t="s">
        <v>53</v>
      </c>
      <c r="F21" s="8" t="s">
        <v>102</v>
      </c>
      <c r="G21" s="13" cm="1" t="str">
        <f t="array" ref="G21">IF(F21="","",SUBSTITUTE(SUBSTITUTE(SUBSTITUTE(SUBSTITUTE(F21,"&lt;li&gt;",CHAR(10)),"&lt;/li&gt;",""),"&lt;br&gt;",CHAR(10)),"&lt;strong&gt;",""))</f>
        <v>&lt;p&gt;Investisseurs historiques Audacia (Constellation 1: 500k, 3: 122k). Call Teams passé 2/02. Visio 10/02 avec CB, EG, CP pour projet d'investir 400k en tréso. Pas de retour prospect sur fonds présentés. Prochaine étape non précisée, attente feedback ou nouvelle prise de contact.&lt;/p&gt;</v>
      </c>
      <c r="H21" s="13" cm="1" t="str">
        <f t="array" ref="H21">IF(G21="","",SUBSTITUTE(SUBSTITUTE(SUBSTITUTE(SUBSTITUTE(SUBSTITUTE(G21,"&lt;p&gt;",""),"&lt;/p&gt;",""),"&lt;ul&gt;",""),"&lt;/ul&gt;",""),"&lt;/strong&gt;",""))</f>
        <v>Investisseurs historiques Audacia (Constellation 1: 500k, 3: 122k). Call Teams passé 2/02. Visio 10/02 avec CB, EG, CP pour projet d'investir 400k en tréso. Pas de retour prospect sur fonds présentés. Prochaine étape non précisée, attente feedback ou nouvelle prise de contact.</v>
      </c>
      <c r="I21" s="14" cm="1" t="str">
        <f t="array" ref="I21">IF(C21="","",IF(OR(H21="",H21=0,H21=FALSE),"-",H21))</f>
        <v>Investisseurs historiques Audacia (Constellation 1: 500k, 3: 122k). Call Teams passé 2/02. Visio 10/02 avec CB, EG, CP pour projet d'investir 400k en tréso. Pas de retour prospect sur fonds présentés. Prochaine étape non précisée, attente feedback ou nouvelle prise de contact.</v>
      </c>
      <c r="J21" s="8">
</c>
      <c r="K21" s="8" t="s">
        <v>35</v>
      </c>
      <c r="L21" s="9" cm="1" t="str">
        <f t="array" ref="L21">IF(C21="","",IF(K21="Mort / Plus rien à faire","KO","OK"))</f>
        <v>OK</v>
      </c>
      <c r="M21" s="15">
        <v>46083.71824074074</v>
      </c>
      <c r="N21" s="15" cm="1" t="n">
        <f t="array" ref="N21">IF(OR(C21="",M21="",M21=0),"",M21)</f>
        <v>46083.71824074074</v>
      </c>
      <c r="O21" s="15">
</c>
      <c r="P21" s="15" cm="1" t="str">
        <f t="array" ref="P21">IF(C21="","",IF(OR(O21="",O21=0),"-",O21))</f>
        <v>-</v>
      </c>
      <c r="Q21" s="16">
        <v>400000</v>
      </c>
      <c r="R21" s="16" cm="1" t="str">
        <f t="array" ref="R21">IF(C21="","",ROUND(Q21/1000000,3)&amp;" M€")</f>
        <v>0.4 M€</v>
      </c>
      <c r="S21" s="12" t="s">
        <v>71</v>
      </c>
      <c r="T21" s="9" cm="1" t="str">
        <f t="array" ref="T21">IF(C21="","",SUBSTITUTE(S21,"","")&amp;"%")</f>
        <v>30%</v>
      </c>
      <c r="U21" s="9" cm="1" t="str">
        <f t="array" ref="U21">IF(($N21="")*($P21=""),"",IF(($N21&lt;&gt;"")*($N21&gt;TODAY()-9)*($N21&lt;TODAY()+1)*($P21&lt;&gt;"")*($P21&gt;=TODAY())*($P21&lt;=TODAY()+13),"Semaine passée &amp; à venir",IF(($N21&lt;&gt;"")*($N21&gt;TODAY()-9)*($N21&lt;TODAY()+1),"Semaine passée",IF(($P21&lt;&gt;"")*($P21&gt;=TODAY())*($P21&lt;=TODAY()+13),"À venir","Autre"))))</f>
        <v>Semaine passée</v>
      </c>
      <c r="V21" s="8" cm="1" t="n">
        <f t="array" ref="V21">IF(C21&lt;&gt;"",1,0)</f>
        <v>1</v>
      </c>
      <c r="W21" s="8">
</c>
      <c r="X21" s="8">
</c>
      <c r="Y21" s="8">
</c>
      <c r="Z21" s="8">
</c>
      <c r="AA21" s="8">
</c>
      <c r="AB21" s="8">
</c>
      <c r="AC21" s="8">
</c>
      <c r="AD21" s="8">
</c>
      <c r="AE21" s="8">
</c>
      <c r="AF21" s="8">
</c>
      <c r="AG21" s="8">
</c>
      <c r="AH21" s="8">
</c>
      <c r="AI21" s="8">
</c>
      <c r="AJ21" s="8">
</c>
      <c r="AK21" s="8">
</c>
    </row>
    <row r="22" ht="76.5" customHeight="1">
      <c r="A22" s="9" t="s">
        <v>23</v>
      </c>
      <c r="B22" s="9" t="s">
        <v>50</v>
      </c>
      <c r="C22" s="12" t="s">
        <v>103</v>
      </c>
      <c r="D22" s="12" t="s">
        <v>104</v>
      </c>
      <c r="E22" s="9" t="s">
        <v>53</v>
      </c>
      <c r="F22" s="8" t="s">
        <v>105</v>
      </c>
      <c r="G22" s="13" cm="1" t="str">
        <f t="array" ref="G22">IF(F22="","",SUBSTITUTE(SUBSTITUTE(SUBSTITUTE(SUBSTITUTE(F22,"&lt;li&gt;",CHAR(10)),"&lt;/li&gt;",""),"&lt;br&gt;",CHAR(10)),"&lt;strong&gt;",""))</f>
        <v>&lt;p&gt;05/02/2026&amp;nbsp;: Actus et ak en cours, client potentiellement intéressé, attente confirmation pour fixer rencontre avec Charles. Lead créé pour équipe Ventes, tentative d'enrichissement impossible (email non valide). Prochaine étape&amp;nbsp;: retour client pour RDV.&lt;/p&gt;</v>
      </c>
      <c r="H22" s="13" cm="1" t="str">
        <f t="array" ref="H22">IF(G22="","",SUBSTITUTE(SUBSTITUTE(SUBSTITUTE(SUBSTITUTE(SUBSTITUTE(G22,"&lt;p&gt;",""),"&lt;/p&gt;",""),"&lt;ul&gt;",""),"&lt;/ul&gt;",""),"&lt;/strong&gt;",""))</f>
        <v>05/02/2026&amp;nbsp;: Actus et ak en cours, client potentiellement intéressé, attente confirmation pour fixer rencontre avec Charles. Lead créé pour équipe Ventes, tentative d'enrichissement impossible (email non valide). Prochaine étape&amp;nbsp;: retour client pour RDV.</v>
      </c>
      <c r="I22" s="14" cm="1" t="str">
        <f t="array" ref="I22">IF(C22="","",IF(OR(H22="",H22=0,H22=FALSE),"-",H22))</f>
        <v>05/02/2026&amp;nbsp;: Actus et ak en cours, client potentiellement intéressé, attente confirmation pour fixer rencontre avec Charles. Lead créé pour équipe Ventes, tentative d'enrichissement impossible (email non valide). Prochaine étape&amp;nbsp;: retour client pour RDV.</v>
      </c>
      <c r="J22" s="8">
</c>
      <c r="K22" s="8" t="s">
        <v>35</v>
      </c>
      <c r="L22" s="9" cm="1" t="str">
        <f t="array" ref="L22">IF(C22="","",IF(K22="Mort / Plus rien à faire","KO","OK"))</f>
        <v>OK</v>
      </c>
      <c r="M22" s="15">
        <v>46063.515497685185</v>
      </c>
      <c r="N22" s="15" cm="1" t="n">
        <f t="array" ref="N22">IF(OR(C22="",M22="",M22=0),"",M22)</f>
        <v>46063.515497685185</v>
      </c>
      <c r="O22" s="15">
</c>
      <c r="P22" s="15" cm="1" t="str">
        <f t="array" ref="P22">IF(C22="","",IF(OR(O22="",O22=0),"-",O22))</f>
        <v>-</v>
      </c>
      <c r="Q22" s="16">
        <v>0</v>
      </c>
      <c r="R22" s="16" cm="1" t="str">
        <f t="array" ref="R22">IF(C22="","",ROUND(Q22/1000000,3)&amp;" M€")</f>
        <v>0 M€</v>
      </c>
      <c r="S22" s="12" t="s">
        <v>106</v>
      </c>
      <c r="T22" s="9" cm="1" t="str">
        <f t="array" ref="T22">IF(C22="","",SUBSTITUTE(S22,"","")&amp;"%")</f>
        <v>20%</v>
      </c>
      <c r="U22" s="9" cm="1" t="str">
        <f t="array" ref="U22">IF(($N22="")*($P22=""),"",IF(($N22&lt;&gt;"")*($N22&gt;TODAY()-9)*($N22&lt;TODAY()+1)*($P22&lt;&gt;"")*($P22&gt;=TODAY())*($P22&lt;=TODAY()+13),"Semaine passée &amp; à venir",IF(($N22&lt;&gt;"")*($N22&gt;TODAY()-9)*($N22&lt;TODAY()+1),"Semaine passée",IF(($P22&lt;&gt;"")*($P22&gt;=TODAY())*($P22&lt;=TODAY()+13),"À venir","Autre"))))</f>
        <v>Autre</v>
      </c>
      <c r="V22" s="8" cm="1" t="n">
        <f t="array" ref="V22">IF(C22&lt;&gt;"",1,0)</f>
        <v>1</v>
      </c>
      <c r="W22" s="8">
</c>
      <c r="X22" s="8">
</c>
      <c r="Y22" s="8">
</c>
      <c r="Z22" s="8">
</c>
      <c r="AA22" s="8">
</c>
      <c r="AB22" s="8">
</c>
      <c r="AC22" s="8">
</c>
      <c r="AD22" s="8">
</c>
      <c r="AE22" s="8">
</c>
      <c r="AF22" s="8">
</c>
      <c r="AG22" s="8">
</c>
      <c r="AH22" s="8">
</c>
      <c r="AI22" s="8">
</c>
      <c r="AJ22" s="8">
</c>
      <c r="AK22" s="8">
</c>
    </row>
    <row r="23" ht="76.5" customHeight="1">
      <c r="A23" s="9" t="s">
        <v>23</v>
      </c>
      <c r="B23" s="9" t="s">
        <v>77</v>
      </c>
      <c r="C23" s="12" t="s">
        <v>107</v>
      </c>
      <c r="D23" s="12" t="s">
        <v>108</v>
      </c>
      <c r="E23" s="9" t="s">
        <v>53</v>
      </c>
      <c r="F23" s="8" t="s">
        <v>109</v>
      </c>
      <c r="G23" s="13" cm="1" t="str">
        <f t="array" ref="G23">IF(F23="","",SUBSTITUTE(SUBSTITUTE(SUBSTITUTE(SUBSTITUTE(F23,"&lt;li&gt;",CHAR(10)),"&lt;/li&gt;",""),"&lt;br&gt;",CHAR(10)),"&lt;strong&gt;",""))</f>
        <v>&lt;p&gt;05/02/2026: Intérêt fort confirmé pour nos stratégies diversification/remploi. Partenariat long envisagé, screening complet d'Audacia avant signature. Accord de principe pour fonds remploi, préparation conditions financières/rémunération en cours. Prochaine étape: finalisation partenariat.&lt;/p&gt;</v>
      </c>
      <c r="H23" s="13" cm="1" t="str">
        <f t="array" ref="H23">IF(G23="","",SUBSTITUTE(SUBSTITUTE(SUBSTITUTE(SUBSTITUTE(SUBSTITUTE(G23,"&lt;p&gt;",""),"&lt;/p&gt;",""),"&lt;ul&gt;",""),"&lt;/ul&gt;",""),"&lt;/strong&gt;",""))</f>
        <v>05/02/2026: Intérêt fort confirmé pour nos stratégies diversification/remploi. Partenariat long envisagé, screening complet d'Audacia avant signature. Accord de principe pour fonds remploi, préparation conditions financières/rémunération en cours. Prochaine étape: finalisation partenariat.</v>
      </c>
      <c r="I23" s="14" cm="1" t="str">
        <f t="array" ref="I23">IF(C23="","",IF(OR(H23="",H23=0,H23=FALSE),"-",H23))</f>
        <v>05/02/2026: Intérêt fort confirmé pour nos stratégies diversification/remploi. Partenariat long envisagé, screening complet d'Audacia avant signature. Accord de principe pour fonds remploi, préparation conditions financières/rémunération en cours. Prochaine étape: finalisation partenariat.</v>
      </c>
      <c r="J23" s="8">
</c>
      <c r="K23" s="8" t="s">
        <v>35</v>
      </c>
      <c r="L23" s="9" cm="1" t="str">
        <f t="array" ref="L23">IF(C23="","",IF(K23="Mort / Plus rien à faire","KO","OK"))</f>
        <v>OK</v>
      </c>
      <c r="M23" s="15">
        <v>46063.51974537037</v>
      </c>
      <c r="N23" s="15" cm="1" t="n">
        <f t="array" ref="N23">IF(OR(C23="",M23="",M23=0),"",M23)</f>
        <v>46063.51974537037</v>
      </c>
      <c r="O23" s="15">
</c>
      <c r="P23" s="15" cm="1" t="str">
        <f t="array" ref="P23">IF(C23="","",IF(OR(O23="",O23=0),"-",O23))</f>
        <v>-</v>
      </c>
      <c r="Q23" s="16">
        <v>0</v>
      </c>
      <c r="R23" s="16" cm="1" t="str">
        <f t="array" ref="R23">IF(C23="","",ROUND(Q23/1000000,3)&amp;" M€")</f>
        <v>0 M€</v>
      </c>
      <c r="S23" s="12" t="s">
        <v>106</v>
      </c>
      <c r="T23" s="9" cm="1" t="str">
        <f t="array" ref="T23">IF(C23="","",SUBSTITUTE(S23,"","")&amp;"%")</f>
        <v>20%</v>
      </c>
      <c r="U23" s="9" cm="1" t="str">
        <f t="array" ref="U23">IF(($N23="")*($P23=""),"",IF(($N23&lt;&gt;"")*($N23&gt;TODAY()-9)*($N23&lt;TODAY()+1)*($P23&lt;&gt;"")*($P23&gt;=TODAY())*($P23&lt;=TODAY()+13),"Semaine passée &amp; à venir",IF(($N23&lt;&gt;"")*($N23&gt;TODAY()-9)*($N23&lt;TODAY()+1),"Semaine passée",IF(($P23&lt;&gt;"")*($P23&gt;=TODAY())*($P23&lt;=TODAY()+13),"À venir","Autre"))))</f>
        <v>Autre</v>
      </c>
      <c r="V23" s="8" cm="1" t="n">
        <f t="array" ref="V23">IF(C23&lt;&gt;"",1,0)</f>
        <v>1</v>
      </c>
      <c r="W23" s="8">
</c>
      <c r="X23" s="8">
</c>
      <c r="Y23" s="8">
</c>
      <c r="Z23" s="8">
</c>
      <c r="AA23" s="8">
</c>
      <c r="AB23" s="8">
</c>
      <c r="AC23" s="8">
</c>
      <c r="AD23" s="8">
</c>
      <c r="AE23" s="8">
</c>
      <c r="AF23" s="8">
</c>
      <c r="AG23" s="8">
</c>
      <c r="AH23" s="8">
</c>
      <c r="AI23" s="8">
</c>
      <c r="AJ23" s="8">
</c>
      <c r="AK23" s="8">
</c>
    </row>
    <row r="24" ht="76.5" customHeight="1">
      <c r="A24" s="9" t="s">
        <v>23</v>
      </c>
      <c r="B24" s="9" t="s">
        <v>66</v>
      </c>
      <c r="C24" s="12" t="s">
        <v>110</v>
      </c>
      <c r="D24" s="12" t="s">
        <v>111</v>
      </c>
      <c r="E24" s="9" t="s">
        <v>53</v>
      </c>
      <c r="F24" s="8" t="s">
        <v>112</v>
      </c>
      <c r="G24" s="13" cm="1" t="str">
        <f t="array" ref="G24">IF(F24="","",SUBSTITUTE(SUBSTITUTE(SUBSTITUTE(SUBSTITUTE(F24,"&lt;li&gt;",CHAR(10)),"&lt;/li&gt;",""),"&lt;br&gt;",CHAR(10)),"&lt;strong&gt;",""))</f>
        <v>&lt;p&gt;09/02: Point PTF C2 avec Thomas. Lead enrichissement impossible (email invalide). Nouvelle piste créée pour équipe Ventes. Pas d'autres activités ou prochaines étapes renseignées. Aucun retour prospect sur fonds ni conclusion mentionnée.&lt;/p&gt;</v>
      </c>
      <c r="H24" s="13" cm="1" t="str">
        <f t="array" ref="H24">IF(G24="","",SUBSTITUTE(SUBSTITUTE(SUBSTITUTE(SUBSTITUTE(SUBSTITUTE(G24,"&lt;p&gt;",""),"&lt;/p&gt;",""),"&lt;ul&gt;",""),"&lt;/ul&gt;",""),"&lt;/strong&gt;",""))</f>
        <v>09/02: Point PTF C2 avec Thomas. Lead enrichissement impossible (email invalide). Nouvelle piste créée pour équipe Ventes. Pas d'autres activités ou prochaines étapes renseignées. Aucun retour prospect sur fonds ni conclusion mentionnée.</v>
      </c>
      <c r="I24" s="14" cm="1" t="str">
        <f t="array" ref="I24">IF(C24="","",IF(OR(H24="",H24=0,H24=FALSE),"-",H24))</f>
        <v>09/02: Point PTF C2 avec Thomas. Lead enrichissement impossible (email invalide). Nouvelle piste créée pour équipe Ventes. Pas d'autres activités ou prochaines étapes renseignées. Aucun retour prospect sur fonds ni conclusion mentionnée.</v>
      </c>
      <c r="J24" s="8">
</c>
      <c r="K24" s="8" t="s">
        <v>35</v>
      </c>
      <c r="L24" s="9" cm="1" t="str">
        <f t="array" ref="L24">IF(C24="","",IF(K24="Mort / Plus rien à faire","KO","OK"))</f>
        <v>OK</v>
      </c>
      <c r="M24" s="15">
        <v>46063.59113425926</v>
      </c>
      <c r="N24" s="15" cm="1" t="n">
        <f t="array" ref="N24">IF(OR(C24="",M24="",M24=0),"",M24)</f>
        <v>46063.59113425926</v>
      </c>
      <c r="O24" s="15">
</c>
      <c r="P24" s="15" cm="1" t="str">
        <f t="array" ref="P24">IF(C24="","",IF(OR(O24="",O24=0),"-",O24))</f>
        <v>-</v>
      </c>
      <c r="Q24" s="16">
        <v>0</v>
      </c>
      <c r="R24" s="16" cm="1" t="str">
        <f t="array" ref="R24">IF(C24="","",ROUND(Q24/1000000,3)&amp;" M€")</f>
        <v>0 M€</v>
      </c>
      <c r="S24" s="12" t="s">
        <v>106</v>
      </c>
      <c r="T24" s="9" cm="1" t="str">
        <f t="array" ref="T24">IF(C24="","",SUBSTITUTE(S24,"","")&amp;"%")</f>
        <v>20%</v>
      </c>
      <c r="U24" s="9" cm="1" t="str">
        <f t="array" ref="U24">IF(($N24="")*($P24=""),"",IF(($N24&lt;&gt;"")*($N24&gt;TODAY()-9)*($N24&lt;TODAY()+1)*($P24&lt;&gt;"")*($P24&gt;=TODAY())*($P24&lt;=TODAY()+13),"Semaine passée &amp; à venir",IF(($N24&lt;&gt;"")*($N24&gt;TODAY()-9)*($N24&lt;TODAY()+1),"Semaine passée",IF(($P24&lt;&gt;"")*($P24&gt;=TODAY())*($P24&lt;=TODAY()+13),"À venir","Autre"))))</f>
        <v>Autre</v>
      </c>
      <c r="V24" s="8" cm="1" t="n">
        <f t="array" ref="V24">IF(C24&lt;&gt;"",1,0)</f>
        <v>1</v>
      </c>
      <c r="W24" s="8">
</c>
      <c r="X24" s="8">
</c>
      <c r="Y24" s="8">
</c>
      <c r="Z24" s="8">
</c>
      <c r="AA24" s="8">
</c>
      <c r="AB24" s="8">
</c>
      <c r="AC24" s="8">
</c>
      <c r="AD24" s="8">
</c>
      <c r="AE24" s="8">
</c>
      <c r="AF24" s="8">
</c>
      <c r="AG24" s="8">
</c>
      <c r="AH24" s="8">
</c>
      <c r="AI24" s="8">
</c>
      <c r="AJ24" s="8">
</c>
      <c r="AK24" s="8">
</c>
    </row>
    <row r="25" ht="76.5" customHeight="1">
      <c r="A25" s="9" t="s">
        <v>23</v>
      </c>
      <c r="B25" s="9" t="s">
        <v>24</v>
      </c>
      <c r="C25" s="12" t="s">
        <v>113</v>
      </c>
      <c r="D25" s="12" t="s">
        <v>114</v>
      </c>
      <c r="E25" s="9" t="s">
        <v>27</v>
      </c>
      <c r="F25" s="8" t="s">
        <v>115</v>
      </c>
      <c r="G25" s="13" cm="1" t="str">
        <f t="array" ref="G25">IF(F25="","",SUBSTITUTE(SUBSTITUTE(SUBSTITUTE(SUBSTITUTE(F25,"&lt;li&gt;",CHAR(10)),"&lt;/li&gt;",""),"&lt;br&gt;",CHAR(10)),"&lt;strong&gt;",""))</f>
        <v>&lt;p&gt;05/02: UmR discute fonds défense, CA impliqué, administrateurs Éducation nationale, principe OK pour 2 petits tickets. 3 fonds en lice: EMERGENCE (growth majo), AUDACIA/NewAlpha (mino), fonds dettes (pas SIENNA IM), Weinberg fermé. RDV en cours avec Liez Arezky, interviews à lancer. Pas d'autres actions récentes.&lt;/p&gt;</v>
      </c>
      <c r="H25" s="13" cm="1" t="str">
        <f t="array" ref="H25">IF(G25="","",SUBSTITUTE(SUBSTITUTE(SUBSTITUTE(SUBSTITUTE(SUBSTITUTE(G25,"&lt;p&gt;",""),"&lt;/p&gt;",""),"&lt;ul&gt;",""),"&lt;/ul&gt;",""),"&lt;/strong&gt;",""))</f>
        <v>05/02: UmR discute fonds défense, CA impliqué, administrateurs Éducation nationale, principe OK pour 2 petits tickets. 3 fonds en lice: EMERGENCE (growth majo), AUDACIA/NewAlpha (mino), fonds dettes (pas SIENNA IM), Weinberg fermé. RDV en cours avec Liez Arezky, interviews à lancer. Pas d'autres actions récentes.</v>
      </c>
      <c r="I25" s="14" cm="1" t="str">
        <f t="array" ref="I25">IF(C25="","",IF(OR(H25="",H25=0,H25=FALSE),"-",H25))</f>
        <v>05/02: UmR discute fonds défense, CA impliqué, administrateurs Éducation nationale, principe OK pour 2 petits tickets. 3 fonds en lice: EMERGENCE (growth majo), AUDACIA/NewAlpha (mino), fonds dettes (pas SIENNA IM), Weinberg fermé. RDV en cours avec Liez Arezky, interviews à lancer. Pas d'autres actions récentes.</v>
      </c>
      <c r="J25" s="8">
</c>
      <c r="K25" s="8" t="s">
        <v>35</v>
      </c>
      <c r="L25" s="9" cm="1" t="str">
        <f t="array" ref="L25">IF(C25="","",IF(K25="Mort / Plus rien à faire","KO","OK"))</f>
        <v>OK</v>
      </c>
      <c r="M25" s="15">
        <v>46064.430497685185</v>
      </c>
      <c r="N25" s="15" cm="1" t="n">
        <f t="array" ref="N25">IF(OR(C25="",M25="",M25=0),"",M25)</f>
        <v>46064.430497685185</v>
      </c>
      <c r="O25" s="15">
</c>
      <c r="P25" s="15" cm="1" t="str">
        <f t="array" ref="P25">IF(C25="","",IF(OR(O25="",O25=0),"-",O25))</f>
        <v>-</v>
      </c>
      <c r="Q25" s="16">
        <v>3000000</v>
      </c>
      <c r="R25" s="16" cm="1" t="str">
        <f t="array" ref="R25">IF(C25="","",ROUND(Q25/1000000,3)&amp;" M€")</f>
        <v>3 M€</v>
      </c>
      <c r="S25" s="12" t="s">
        <v>106</v>
      </c>
      <c r="T25" s="9" cm="1" t="str">
        <f t="array" ref="T25">IF(C25="","",SUBSTITUTE(S25,"","")&amp;"%")</f>
        <v>20%</v>
      </c>
      <c r="U25" s="9" cm="1" t="str">
        <f t="array" ref="U25">IF(($N25="")*($P25=""),"",IF(($N25&lt;&gt;"")*($N25&gt;TODAY()-9)*($N25&lt;TODAY()+1)*($P25&lt;&gt;"")*($P25&gt;=TODAY())*($P25&lt;=TODAY()+13),"Semaine passée &amp; à venir",IF(($N25&lt;&gt;"")*($N25&gt;TODAY()-9)*($N25&lt;TODAY()+1),"Semaine passée",IF(($P25&lt;&gt;"")*($P25&gt;=TODAY())*($P25&lt;=TODAY()+13),"À venir","Autre"))))</f>
        <v>Autre</v>
      </c>
      <c r="V25" s="8" cm="1" t="n">
        <f t="array" ref="V25">IF(C25&lt;&gt;"",1,0)</f>
        <v>1</v>
      </c>
      <c r="W25" s="8">
</c>
      <c r="X25" s="8">
</c>
      <c r="Y25" s="8">
</c>
      <c r="Z25" s="8">
</c>
      <c r="AA25" s="8">
</c>
      <c r="AB25" s="8">
</c>
      <c r="AC25" s="8">
</c>
      <c r="AD25" s="8">
</c>
      <c r="AE25" s="8">
</c>
      <c r="AF25" s="8">
</c>
      <c r="AG25" s="8">
</c>
      <c r="AH25" s="8">
</c>
      <c r="AI25" s="8">
</c>
      <c r="AJ25" s="8">
</c>
      <c r="AK25" s="8">
</c>
    </row>
    <row r="26" ht="76.5" customHeight="1">
      <c r="A26" s="9" t="s">
        <v>23</v>
      </c>
      <c r="B26" s="9" t="s">
        <v>24</v>
      </c>
      <c r="C26" s="12" t="s">
        <v>116</v>
      </c>
      <c r="D26" s="12" t="s">
        <v>117</v>
      </c>
      <c r="E26" s="9" t="s">
        <v>27</v>
      </c>
      <c r="F26" s="8">
</c>
      <c r="G26" s="13" cm="1" t="str">
        <f t="array" ref="G26">IF(F26="","",SUBSTITUTE(SUBSTITUTE(SUBSTITUTE(SUBSTITUTE(F26,"&lt;li&gt;",CHAR(10)),"&lt;/li&gt;",""),"&lt;br&gt;",CHAR(10)),"&lt;strong&gt;",""))</f>
        <v/>
      </c>
      <c r="H26" s="13" cm="1" t="str">
        <f t="array" ref="H26">IF(G26="","",SUBSTITUTE(SUBSTITUTE(SUBSTITUTE(SUBSTITUTE(SUBSTITUTE(G26,"&lt;p&gt;",""),"&lt;/p&gt;",""),"&lt;ul&gt;",""),"&lt;/ul&gt;",""),"&lt;/strong&gt;",""))</f>
        <v/>
      </c>
      <c r="I26" s="14" cm="1" t="str">
        <f t="array" ref="I26">IF(C26="","",IF(OR(H26="",H26=0,H26=FALSE),"-",H26))</f>
        <v>-</v>
      </c>
      <c r="J26" s="8" t="s">
        <v>118</v>
      </c>
      <c r="K26" s="8" t="s">
        <v>35</v>
      </c>
      <c r="L26" s="9" cm="1" t="str">
        <f t="array" ref="L26">IF(C26="","",IF(K26="Mort / Plus rien à faire","KO","OK"))</f>
        <v>OK</v>
      </c>
      <c r="M26" s="15">
        <v>46087.709444444445</v>
      </c>
      <c r="N26" s="15" cm="1" t="n">
        <f t="array" ref="N26">IF(OR(C26="",M26="",M26=0),"",M26)</f>
        <v>46087.709444444445</v>
      </c>
      <c r="O26" s="15">
        <v>46101.041666666664</v>
      </c>
      <c r="P26" s="15" cm="1" t="n">
        <f t="array" ref="P26">IF(C26="","",IF(OR(O26="",O26=0),"-",O26))</f>
        <v>46101.041666666664</v>
      </c>
      <c r="Q26" s="16">
        <v>5000000</v>
      </c>
      <c r="R26" s="16" cm="1" t="str">
        <f t="array" ref="R26">IF(C26="","",ROUND(Q26/1000000,3)&amp;" M€")</f>
        <v>5 M€</v>
      </c>
      <c r="S26" s="12" t="s">
        <v>106</v>
      </c>
      <c r="T26" s="9" cm="1" t="str">
        <f t="array" ref="T26">IF(C26="","",SUBSTITUTE(S26,"","")&amp;"%")</f>
        <v>20%</v>
      </c>
      <c r="U26" s="9" cm="1" t="str">
        <f t="array" ref="U26">IF(($N26="")*($P26=""),"",IF(($N26&lt;&gt;"")*($N26&gt;TODAY()-9)*($N26&lt;TODAY()+1)*($P26&lt;&gt;"")*($P26&gt;=TODAY())*($P26&lt;=TODAY()+13),"Semaine passée &amp; à venir",IF(($N26&lt;&gt;"")*($N26&gt;TODAY()-9)*($N26&lt;TODAY()+1),"Semaine passée",IF(($P26&lt;&gt;"")*($P26&gt;=TODAY())*($P26&lt;=TODAY()+13),"À venir","Autre"))))</f>
        <v>Semaine passée</v>
      </c>
      <c r="V26" s="8" cm="1" t="n">
        <f t="array" ref="V26">IF(C26&lt;&gt;"",1,0)</f>
        <v>1</v>
      </c>
      <c r="W26" s="8">
</c>
      <c r="X26" s="8">
</c>
      <c r="Y26" s="8">
</c>
      <c r="Z26" s="8">
</c>
      <c r="AA26" s="8">
</c>
      <c r="AB26" s="8">
</c>
      <c r="AC26" s="8">
</c>
      <c r="AD26" s="8">
</c>
      <c r="AE26" s="8">
</c>
      <c r="AF26" s="8">
</c>
      <c r="AG26" s="8">
</c>
      <c r="AH26" s="8">
</c>
      <c r="AI26" s="8">
</c>
      <c r="AJ26" s="8">
</c>
      <c r="AK26" s="8">
</c>
    </row>
    <row r="27" ht="76.5" customHeight="1">
      <c r="A27" s="9" t="s">
        <v>23</v>
      </c>
      <c r="B27" s="9" t="s">
        <v>85</v>
      </c>
      <c r="C27" s="12" t="s">
        <v>119</v>
      </c>
      <c r="D27" s="12" t="s">
        <v>120</v>
      </c>
      <c r="E27" s="9" t="s">
        <v>27</v>
      </c>
      <c r="F27" s="8" t="s">
        <v>121</v>
      </c>
      <c r="G27" s="13" cm="1" t="str">
        <f t="array" ref="G27">IF(F27="","",SUBSTITUTE(SUBSTITUTE(SUBSTITUTE(SUBSTITUTE(F27,"&lt;li&gt;",CHAR(10)),"&lt;/li&gt;",""),"&lt;br&gt;",CHAR(10)),"&lt;strong&gt;",""))</f>
        <v>&lt;p&gt;Déj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attendue.&lt;/p&gt;</v>
      </c>
      <c r="H27" s="13" cm="1" t="str">
        <f t="array" ref="H27">IF(G27="","",SUBSTITUTE(SUBSTITUTE(SUBSTITUTE(SUBSTITUTE(SUBSTITUTE(G27,"&lt;p&gt;",""),"&lt;/p&gt;",""),"&lt;ul&gt;",""),"&lt;/ul&gt;",""),"&lt;/strong&gt;",""))</f>
        <v>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v>
      </c>
      <c r="I27" s="14" cm="1" t="str">
        <f t="array" ref="I27">IF(C27="","",IF(OR(H27="",H27=0,H27=FALSE),"-",H27))</f>
        <v>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v>
      </c>
      <c r="J27" s="8">
</c>
      <c r="K27" s="8" t="s">
        <v>35</v>
      </c>
      <c r="L27" s="9" cm="1" t="str">
        <f t="array" ref="L27">IF(C27="","",IF(K27="Mort / Plus rien à faire","KO","OK"))</f>
        <v>OK</v>
      </c>
      <c r="M27" s="15">
        <v>46063.76230324074</v>
      </c>
      <c r="N27" s="15" cm="1" t="n">
        <f t="array" ref="N27">IF(OR(C27="",M27="",M27=0),"",M27)</f>
        <v>46063.76230324074</v>
      </c>
      <c r="O27" s="15">
</c>
      <c r="P27" s="15" cm="1" t="str">
        <f t="array" ref="P27">IF(C27="","",IF(OR(O27="",O27=0),"-",O27))</f>
        <v>-</v>
      </c>
      <c r="Q27" s="16">
        <v>1000000</v>
      </c>
      <c r="R27" s="16" cm="1" t="str">
        <f t="array" ref="R27">IF(C27="","",ROUND(Q27/1000000,3)&amp;" M€")</f>
        <v>1 M€</v>
      </c>
      <c r="S27" s="12" t="s">
        <v>106</v>
      </c>
      <c r="T27" s="9" cm="1" t="str">
        <f t="array" ref="T27">IF(C27="","",SUBSTITUTE(S27,"","")&amp;"%")</f>
        <v>20%</v>
      </c>
      <c r="U27" s="9" cm="1" t="str">
        <f t="array" ref="U27">IF(($N27="")*($P27=""),"",IF(($N27&lt;&gt;"")*($N27&gt;TODAY()-9)*($N27&lt;TODAY()+1)*($P27&lt;&gt;"")*($P27&gt;=TODAY())*($P27&lt;=TODAY()+13),"Semaine passée &amp; à venir",IF(($N27&lt;&gt;"")*($N27&gt;TODAY()-9)*($N27&lt;TODAY()+1),"Semaine passée",IF(($P27&lt;&gt;"")*($P27&gt;=TODAY())*($P27&lt;=TODAY()+13),"À venir","Autre"))))</f>
        <v>Autre</v>
      </c>
      <c r="V27" s="8" cm="1" t="n">
        <f t="array" ref="V27">IF(C27&lt;&gt;"",1,0)</f>
        <v>1</v>
      </c>
      <c r="W27" s="8">
</c>
      <c r="X27" s="8">
</c>
      <c r="Y27" s="8">
</c>
      <c r="Z27" s="8">
</c>
      <c r="AA27" s="8">
</c>
      <c r="AB27" s="8">
</c>
      <c r="AC27" s="8">
</c>
      <c r="AD27" s="8">
</c>
      <c r="AE27" s="8">
</c>
      <c r="AF27" s="8">
</c>
      <c r="AG27" s="8">
</c>
      <c r="AH27" s="8">
</c>
      <c r="AI27" s="8">
</c>
      <c r="AJ27" s="8">
</c>
      <c r="AK27" s="8">
</c>
    </row>
    <row r="28" ht="76.5" customHeight="1">
      <c r="A28" s="9" t="s">
        <v>23</v>
      </c>
      <c r="B28" s="9" t="s">
        <v>24</v>
      </c>
      <c r="C28" s="12" t="s">
        <v>122</v>
      </c>
      <c r="D28" s="12" t="s">
        <v>123</v>
      </c>
      <c r="E28" s="9" t="s">
        <v>27</v>
      </c>
      <c r="F28" s="8" t="s">
        <v>124</v>
      </c>
      <c r="G28" s="13" cm="1" t="str">
        <f t="array" ref="G28">IF(F28="","",SUBSTITUTE(SUBSTITUTE(SUBSTITUTE(SUBSTITUTE(F28,"&lt;li&gt;",CHAR(10)),"&lt;/li&gt;",""),"&lt;br&gt;",CHAR(10)),"&lt;strong&gt;",""))</f>
        <v>&lt;p&gt;RDV fait avec Emmanuelle Cales (AGPM) : nettoyage lancé, vente d’actions cotées, marge retrouvée en PE. Deck envoyé, suivi sur levées/investissements. Tickets envisagés 2026 : Straton 5-10M€, gros ticket &amp;gt;20M€ (ADIT ?). Concurrence présente. Prochaine étape : point d’actu Straton, besoin de temps, deadline 27/03/2026.&lt;/p&gt;</v>
      </c>
      <c r="H28" s="13" cm="1" t="str">
        <f t="array" ref="H28">IF(G28="","",SUBSTITUTE(SUBSTITUTE(SUBSTITUTE(SUBSTITUTE(SUBSTITUTE(G28,"&lt;p&gt;",""),"&lt;/p&gt;",""),"&lt;ul&gt;",""),"&lt;/ul&gt;",""),"&lt;/strong&gt;",""))</f>
        <v>RDV fait avec Emmanuelle Cales (AGPM) : nettoyage lancé, vente d’actions cotées, marge retrouvée en PE. Deck envoyé, suivi sur levées/investissements. Tickets envisagés 2026 : Straton 5-10M€, gros ticket &amp;gt;20M€ (ADIT ?). Concurrence présente. Prochaine étape : point d’actu Straton, besoin de temps, deadline 27/03/2026.</v>
      </c>
      <c r="I28" s="14" cm="1" t="str">
        <f t="array" ref="I28">IF(C28="","",IF(OR(H28="",H28=0,H28=FALSE),"-",H28))</f>
        <v>RDV fait avec Emmanuelle Cales (AGPM) : nettoyage lancé, vente d’actions cotées, marge retrouvée en PE. Deck envoyé, suivi sur levées/investissements. Tickets envisagés 2026 : Straton 5-10M€, gros ticket &amp;gt;20M€ (ADIT ?). Concurrence présente. Prochaine étape : point d’actu Straton, besoin de temps, deadline 27/03/2026.</v>
      </c>
      <c r="J28" s="8" t="s">
        <v>125</v>
      </c>
      <c r="K28" s="8" t="s">
        <v>35</v>
      </c>
      <c r="L28" s="9" cm="1" t="str">
        <f t="array" ref="L28">IF(C28="","",IF(K28="Mort / Plus rien à faire","KO","OK"))</f>
        <v>OK</v>
      </c>
      <c r="M28" s="15">
        <v>46085.706979166665</v>
      </c>
      <c r="N28" s="15" cm="1" t="n">
        <f t="array" ref="N28">IF(OR(C28="",M28="",M28=0),"",M28)</f>
        <v>46085.706979166665</v>
      </c>
      <c r="O28" s="15">
        <v>46108.041666666664</v>
      </c>
      <c r="P28" s="15" cm="1" t="n">
        <f t="array" ref="P28">IF(C28="","",IF(OR(O28="",O28=0),"-",O28))</f>
        <v>46108.041666666664</v>
      </c>
      <c r="Q28" s="16">
        <v>5000000</v>
      </c>
      <c r="R28" s="16" cm="1" t="str">
        <f t="array" ref="R28">IF(C28="","",ROUND(Q28/1000000,3)&amp;" M€")</f>
        <v>5 M€</v>
      </c>
      <c r="S28" s="12" t="s">
        <v>106</v>
      </c>
      <c r="T28" s="9" cm="1" t="str">
        <f t="array" ref="T28">IF(C28="","",SUBSTITUTE(S28,"","")&amp;"%")</f>
        <v>20%</v>
      </c>
      <c r="U28" s="9" cm="1" t="str">
        <f t="array" ref="U28">IF(($N28="")*($P28=""),"",IF(($N28&lt;&gt;"")*($N28&gt;TODAY()-9)*($N28&lt;TODAY()+1)*($P28&lt;&gt;"")*($P28&gt;=TODAY())*($P28&lt;=TODAY()+13),"Semaine passée &amp; à venir",IF(($N28&lt;&gt;"")*($N28&gt;TODAY()-9)*($N28&lt;TODAY()+1),"Semaine passée",IF(($P28&lt;&gt;"")*($P28&gt;=TODAY())*($P28&lt;=TODAY()+13),"À venir","Autre"))))</f>
        <v>Semaine passée</v>
      </c>
      <c r="V28" s="8" cm="1" t="n">
        <f t="array" ref="V28">IF(C28&lt;&gt;"",1,0)</f>
        <v>1</v>
      </c>
      <c r="W28" s="8">
</c>
      <c r="X28" s="8">
</c>
      <c r="Y28" s="8">
</c>
      <c r="Z28" s="8">
</c>
      <c r="AA28" s="8">
</c>
      <c r="AB28" s="8">
</c>
      <c r="AC28" s="8">
</c>
      <c r="AD28" s="8">
</c>
      <c r="AE28" s="8">
</c>
      <c r="AF28" s="8">
</c>
      <c r="AG28" s="8">
</c>
      <c r="AH28" s="8">
</c>
      <c r="AI28" s="8">
</c>
      <c r="AJ28" s="8">
</c>
      <c r="AK28" s="8">
</c>
    </row>
    <row r="29" ht="76.5" customHeight="1">
      <c r="A29" s="9" t="s">
        <v>23</v>
      </c>
      <c r="B29" s="9" t="s">
        <v>24</v>
      </c>
      <c r="C29" s="12" t="s">
        <v>43</v>
      </c>
      <c r="D29" s="12" t="s">
        <v>44</v>
      </c>
      <c r="E29" s="9" t="s">
        <v>27</v>
      </c>
      <c r="F29" s="8" t="s">
        <v>126</v>
      </c>
      <c r="G29" s="13" cm="1" t="str">
        <f t="array" ref="G29">IF(F29="","",SUBSTITUTE(SUBSTITUTE(SUBSTITUTE(SUBSTITUTE(F29,"&lt;li&gt;",CHAR(10)),"&lt;/li&gt;",""),"&lt;br&gt;",CHAR(10)),"&lt;strong&gt;",""))</f>
        <v>&lt;p&gt;19/01/2026: coordination avec UNEI (Ronan Provost), dossier instruit indépendamment de UNEO, rdv 2 en cours. Pas d'autres infos sur retours prospects ou prochaines étapes. Création piste notifiée, enrichissement lead sans données trouvées. Pas d'activité récente supplémentaire.&lt;/p&gt;</v>
      </c>
      <c r="H29" s="13" cm="1" t="str">
        <f t="array" ref="H29">IF(G29="","",SUBSTITUTE(SUBSTITUTE(SUBSTITUTE(SUBSTITUTE(SUBSTITUTE(G29,"&lt;p&gt;",""),"&lt;/p&gt;",""),"&lt;ul&gt;",""),"&lt;/ul&gt;",""),"&lt;/strong&gt;",""))</f>
        <v>19/01/2026: coordination avec UNEI (Ronan Provost), dossier instruit indépendamment de UNEO, rdv 2 en cours. Pas d'autres infos sur retours prospects ou prochaines étapes. Création piste notifiée, enrichissement lead sans données trouvées. Pas d'activité récente supplémentaire.</v>
      </c>
      <c r="I29" s="14" cm="1" t="str">
        <f t="array" ref="I29">IF(C29="","",IF(OR(H29="",H29=0,H29=FALSE),"-",H29))</f>
        <v>19/01/2026: coordination avec UNEI (Ronan Provost), dossier instruit indépendamment de UNEO, rdv 2 en cours. Pas d'autres infos sur retours prospects ou prochaines étapes. Création piste notifiée, enrichissement lead sans données trouvées. Pas d'activité récente supplémentaire.</v>
      </c>
      <c r="J29" s="8">
</c>
      <c r="K29" s="8" t="s">
        <v>35</v>
      </c>
      <c r="L29" s="9" cm="1" t="str">
        <f t="array" ref="L29">IF(C29="","",IF(K29="Mort / Plus rien à faire","KO","OK"))</f>
        <v>OK</v>
      </c>
      <c r="M29" s="15">
        <v>46063.75125</v>
      </c>
      <c r="N29" s="15" cm="1" t="n">
        <f t="array" ref="N29">IF(OR(C29="",M29="",M29=0),"",M29)</f>
        <v>46063.75125</v>
      </c>
      <c r="O29" s="15">
</c>
      <c r="P29" s="15" cm="1" t="str">
        <f t="array" ref="P29">IF(C29="","",IF(OR(O29="",O29=0),"-",O29))</f>
        <v>-</v>
      </c>
      <c r="Q29" s="16">
        <v>1000000</v>
      </c>
      <c r="R29" s="16" cm="1" t="str">
        <f t="array" ref="R29">IF(C29="","",ROUND(Q29/1000000,3)&amp;" M€")</f>
        <v>1 M€</v>
      </c>
      <c r="S29" s="12" t="s">
        <v>106</v>
      </c>
      <c r="T29" s="9" cm="1" t="str">
        <f t="array" ref="T29">IF(C29="","",SUBSTITUTE(S29,"","")&amp;"%")</f>
        <v>20%</v>
      </c>
      <c r="U29" s="9" cm="1" t="str">
        <f t="array" ref="U29">IF(($N29="")*($P29=""),"",IF(($N29&lt;&gt;"")*($N29&gt;TODAY()-9)*($N29&lt;TODAY()+1)*($P29&lt;&gt;"")*($P29&gt;=TODAY())*($P29&lt;=TODAY()+13),"Semaine passée &amp; à venir",IF(($N29&lt;&gt;"")*($N29&gt;TODAY()-9)*($N29&lt;TODAY()+1),"Semaine passée",IF(($P29&lt;&gt;"")*($P29&gt;=TODAY())*($P29&lt;=TODAY()+13),"À venir","Autre"))))</f>
        <v>Autre</v>
      </c>
      <c r="V29" s="8" cm="1" t="n">
        <f t="array" ref="V29">IF(C29&lt;&gt;"",1,0)</f>
        <v>1</v>
      </c>
      <c r="W29" s="8">
</c>
      <c r="X29" s="8">
</c>
      <c r="Y29" s="8">
</c>
      <c r="Z29" s="8">
</c>
      <c r="AA29" s="8">
</c>
      <c r="AB29" s="8">
</c>
      <c r="AC29" s="8">
</c>
      <c r="AD29" s="8">
</c>
      <c r="AE29" s="8">
</c>
      <c r="AF29" s="8">
</c>
      <c r="AG29" s="8">
</c>
      <c r="AH29" s="8">
</c>
      <c r="AI29" s="8">
</c>
      <c r="AJ29" s="8">
</c>
      <c r="AK29" s="8">
</c>
    </row>
    <row r="30" ht="76.5" customHeight="1">
      <c r="A30" s="9" t="s">
        <v>23</v>
      </c>
      <c r="B30" s="9" t="s">
        <v>60</v>
      </c>
      <c r="C30" s="12" t="s">
        <v>127</v>
      </c>
      <c r="D30" s="12" t="s">
        <v>128</v>
      </c>
      <c r="E30" s="9" t="s">
        <v>53</v>
      </c>
      <c r="F30" s="8" t="s">
        <v>129</v>
      </c>
      <c r="G30" s="13" cm="1" t="str">
        <f t="array" ref="G30">IF(F30="","",SUBSTITUTE(SUBSTITUTE(SUBSTITUTE(SUBSTITUTE(F30,"&lt;li&gt;",CHAR(10)),"&lt;/li&gt;",""),"&lt;br&gt;",CHAR(10)),"&lt;strong&gt;",""))</f>
        <v>&lt;p&gt;Intérêt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notables.&lt;/p&gt;</v>
      </c>
      <c r="H30" s="13" cm="1" t="str">
        <f t="array" ref="H30">IF(G30="","",SUBSTITUTE(SUBSTITUTE(SUBSTITUTE(SUBSTITUTE(SUBSTITUTE(G30,"&lt;p&gt;",""),"&lt;/p&gt;",""),"&lt;ul&gt;",""),"&lt;/ul&gt;",""),"&lt;/strong&gt;",""))</f>
        <v>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v>
      </c>
      <c r="I30" s="14" cm="1" t="str">
        <f t="array" ref="I30">IF(C30="","",IF(OR(H30="",H30=0,H30=FALSE),"-",H30))</f>
        <v>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v>
      </c>
      <c r="J30" s="8">
</c>
      <c r="K30" s="8" t="s">
        <v>35</v>
      </c>
      <c r="L30" s="9" cm="1" t="str">
        <f t="array" ref="L30">IF(C30="","",IF(K30="Mort / Plus rien à faire","KO","OK"))</f>
        <v>OK</v>
      </c>
      <c r="M30" s="15">
        <v>46063.51696759259</v>
      </c>
      <c r="N30" s="15" cm="1" t="n">
        <f t="array" ref="N30">IF(OR(C30="",M30="",M30=0),"",M30)</f>
        <v>46063.51696759259</v>
      </c>
      <c r="O30" s="15">
</c>
      <c r="P30" s="15" cm="1" t="str">
        <f t="array" ref="P30">IF(C30="","",IF(OR(O30="",O30=0),"-",O30))</f>
        <v>-</v>
      </c>
      <c r="Q30" s="16">
        <v>0</v>
      </c>
      <c r="R30" s="16" cm="1" t="str">
        <f t="array" ref="R30">IF(C30="","",ROUND(Q30/1000000,3)&amp;" M€")</f>
        <v>0 M€</v>
      </c>
      <c r="S30" s="12" t="s">
        <v>106</v>
      </c>
      <c r="T30" s="9" cm="1" t="str">
        <f t="array" ref="T30">IF(C30="","",SUBSTITUTE(S30,"","")&amp;"%")</f>
        <v>20%</v>
      </c>
      <c r="U30" s="9" cm="1" t="str">
        <f t="array" ref="U30">IF(($N30="")*($P30=""),"",IF(($N30&lt;&gt;"")*($N30&gt;TODAY()-9)*($N30&lt;TODAY()+1)*($P30&lt;&gt;"")*($P30&gt;=TODAY())*($P30&lt;=TODAY()+13),"Semaine passée &amp; à venir",IF(($N30&lt;&gt;"")*($N30&gt;TODAY()-9)*($N30&lt;TODAY()+1),"Semaine passée",IF(($P30&lt;&gt;"")*($P30&gt;=TODAY())*($P30&lt;=TODAY()+13),"À venir","Autre"))))</f>
        <v>Autre</v>
      </c>
      <c r="V30" s="8" cm="1" t="n">
        <f t="array" ref="V30">IF(C30&lt;&gt;"",1,0)</f>
        <v>1</v>
      </c>
      <c r="W30" s="8">
</c>
      <c r="X30" s="8">
</c>
      <c r="Y30" s="8">
</c>
      <c r="Z30" s="8">
</c>
      <c r="AA30" s="8">
</c>
      <c r="AB30" s="8">
</c>
      <c r="AC30" s="8">
</c>
      <c r="AD30" s="8">
</c>
      <c r="AE30" s="8">
</c>
      <c r="AF30" s="8">
</c>
      <c r="AG30" s="8">
</c>
      <c r="AH30" s="8">
</c>
      <c r="AI30" s="8">
</c>
      <c r="AJ30" s="8">
</c>
      <c r="AK30" s="8">
</c>
    </row>
    <row r="31" ht="76.5" customHeight="1">
      <c r="A31" s="9" t="s">
        <v>23</v>
      </c>
      <c r="B31" s="9" t="s">
        <v>24</v>
      </c>
      <c r="C31" s="12" t="s">
        <v>130</v>
      </c>
      <c r="D31" s="12" t="s">
        <v>131</v>
      </c>
      <c r="E31" s="9" t="s">
        <v>27</v>
      </c>
      <c r="F31" s="8" t="s">
        <v>132</v>
      </c>
      <c r="G31" s="13" cm="1" t="str">
        <f t="array" ref="G31">IF(F31="","",SUBSTITUTE(SUBSTITUTE(SUBSTITUTE(SUBSTITUTE(F31,"&lt;li&gt;",CHAR(10)),"&lt;/li&gt;",""),"&lt;br&gt;",CHAR(10)),"&lt;strong&gt;",""))</f>
        <v>&lt;p&gt;Piste créée pour équipe Ventes, pas d'échanges ou retours prospect, aucune action significative menée à ce jour. Prochaine étape : relancer Didier sur Mobilisation (deadline 18/12/2025). Pas de conclusion prospect, pas de passage en comité mentionné.&lt;/p&gt;</v>
      </c>
      <c r="H31" s="13" cm="1" t="str">
        <f t="array" ref="H31">IF(G31="","",SUBSTITUTE(SUBSTITUTE(SUBSTITUTE(SUBSTITUTE(SUBSTITUTE(G31,"&lt;p&gt;",""),"&lt;/p&gt;",""),"&lt;ul&gt;",""),"&lt;/ul&gt;",""),"&lt;/strong&gt;",""))</f>
        <v>Piste créée pour équipe Ventes, pas d'échanges ou retours prospect, aucune action significative menée à ce jour. Prochaine étape : relancer Didier sur Mobilisation (deadline 18/12/2025). Pas de conclusion prospect, pas de passage en comité mentionné.</v>
      </c>
      <c r="I31" s="14" cm="1" t="str">
        <f t="array" ref="I31">IF(C31="","",IF(OR(H31="",H31=0,H31=FALSE),"-",H31))</f>
        <v>Piste créée pour équipe Ventes, pas d'échanges ou retours prospect, aucune action significative menée à ce jour. Prochaine étape : relancer Didier sur Mobilisation (deadline 18/12/2025). Pas de conclusion prospect, pas de passage en comité mentionné.</v>
      </c>
      <c r="J31" s="8" t="s">
        <v>133</v>
      </c>
      <c r="K31" s="8" t="s">
        <v>35</v>
      </c>
      <c r="L31" s="9" cm="1" t="str">
        <f t="array" ref="L31">IF(C31="","",IF(K31="Mort / Plus rien à faire","KO","OK"))</f>
        <v>OK</v>
      </c>
      <c r="M31" s="15">
        <v>46087.71861111111</v>
      </c>
      <c r="N31" s="15" cm="1" t="n">
        <f t="array" ref="N31">IF(OR(C31="",M31="",M31=0),"",M31)</f>
        <v>46087.71861111111</v>
      </c>
      <c r="O31" s="15">
</c>
      <c r="P31" s="15" cm="1" t="str">
        <f t="array" ref="P31">IF(C31="","",IF(OR(O31="",O31=0),"-",O31))</f>
        <v>-</v>
      </c>
      <c r="Q31" s="16">
        <v>0</v>
      </c>
      <c r="R31" s="16" cm="1" t="str">
        <f t="array" ref="R31">IF(C31="","",ROUND(Q31/1000000,3)&amp;" M€")</f>
        <v>0 M€</v>
      </c>
      <c r="S31" s="12" t="s">
        <v>134</v>
      </c>
      <c r="T31" s="9" cm="1" t="str">
        <f t="array" ref="T31">IF(C31="","",SUBSTITUTE(S31,"","")&amp;"%")</f>
        <v>10%</v>
      </c>
      <c r="U31" s="9" cm="1" t="str">
        <f t="array" ref="U31">IF(($N31="")*($P31=""),"",IF(($N31&lt;&gt;"")*($N31&gt;TODAY()-9)*($N31&lt;TODAY()+1)*($P31&lt;&gt;"")*($P31&gt;=TODAY())*($P31&lt;=TODAY()+13),"Semaine passée &amp; à venir",IF(($N31&lt;&gt;"")*($N31&gt;TODAY()-9)*($N31&lt;TODAY()+1),"Semaine passée",IF(($P31&lt;&gt;"")*($P31&gt;=TODAY())*($P31&lt;=TODAY()+13),"À venir","Autre"))))</f>
        <v>Semaine passée</v>
      </c>
      <c r="V31" s="8" cm="1" t="n">
        <f t="array" ref="V31">IF(C31&lt;&gt;"",1,0)</f>
        <v>1</v>
      </c>
      <c r="W31" s="8">
</c>
      <c r="X31" s="8">
</c>
      <c r="Y31" s="8">
</c>
      <c r="Z31" s="8">
</c>
      <c r="AA31" s="8">
</c>
      <c r="AB31" s="8">
</c>
      <c r="AC31" s="8">
</c>
      <c r="AD31" s="8">
</c>
      <c r="AE31" s="8">
</c>
      <c r="AF31" s="8">
</c>
      <c r="AG31" s="8">
</c>
      <c r="AH31" s="8">
</c>
      <c r="AI31" s="8">
</c>
      <c r="AJ31" s="8">
</c>
      <c r="AK31" s="8">
</c>
    </row>
    <row r="32" ht="76.5" customHeight="1">
      <c r="A32" s="9" t="s">
        <v>23</v>
      </c>
      <c r="B32" s="9" t="s">
        <v>85</v>
      </c>
      <c r="C32" s="12" t="s">
        <v>135</v>
      </c>
      <c r="D32" s="12" t="s">
        <v>136</v>
      </c>
      <c r="E32" s="9" t="s">
        <v>27</v>
      </c>
      <c r="F32" s="8" t="s">
        <v>137</v>
      </c>
      <c r="G32" s="13" cm="1" t="str">
        <f t="array" ref="G32">IF(F32="","",SUBSTITUTE(SUBSTITUTE(SUBSTITUTE(SUBSTITUTE(F32,"&lt;li&gt;",CHAR(10)),"&lt;/li&gt;",""),"&lt;br&gt;",CHAR(10)),"&lt;strong&gt;",""))</f>
        <v>&lt;p&gt;07/01 RDV avec Didier Ramond (CRCA Centre France)&amp;nbsp;: stratégie PE, focus capdev, innovation, fonds propres, tickets 400k-2M€, intérêt BITD/défense, réflexion fonds d’ancrage, volonté co-investisseur. Relance faite. Prochaine étape&amp;nbsp;: RDV 2 avec Thomas Schmits pour approfondir dealflow/fonds de fonds.&lt;/p&gt;</v>
      </c>
      <c r="H32" s="13" cm="1" t="str">
        <f t="array" ref="H32">IF(G32="","",SUBSTITUTE(SUBSTITUTE(SUBSTITUTE(SUBSTITUTE(SUBSTITUTE(G32,"&lt;p&gt;",""),"&lt;/p&gt;",""),"&lt;ul&gt;",""),"&lt;/ul&gt;",""),"&lt;/strong&gt;",""))</f>
        <v>07/01 RDV avec Didier Ramond (CRCA Centre France)&amp;nbsp;: stratégie PE, focus capdev, innovation, fonds propres, tickets 400k-2M€, intérêt BITD/défense, réflexion fonds d’ancrage, volonté co-investisseur. Relance faite. Prochaine étape&amp;nbsp;: RDV 2 avec Thomas Schmits pour approfondir dealflow/fonds de fonds.</v>
      </c>
      <c r="I32" s="14" cm="1" t="str">
        <f t="array" ref="I32">IF(C32="","",IF(OR(H32="",H32=0,H32=FALSE),"-",H32))</f>
        <v>07/01 RDV avec Didier Ramond (CRCA Centre France)&amp;nbsp;: stratégie PE, focus capdev, innovation, fonds propres, tickets 400k-2M€, intérêt BITD/défense, réflexion fonds d’ancrage, volonté co-investisseur. Relance faite. Prochaine étape&amp;nbsp;: RDV 2 avec Thomas Schmits pour approfondir dealflow/fonds de fonds.</v>
      </c>
      <c r="J32" s="8" t="s">
        <v>138</v>
      </c>
      <c r="K32" s="8" t="s">
        <v>65</v>
      </c>
      <c r="L32" s="9" cm="1" t="str">
        <f t="array" ref="L32">IF(C32="","",IF(K32="Mort / Plus rien à faire","KO","OK"))</f>
        <v>OK</v>
      </c>
      <c r="M32" s="15">
        <v>46064.51540509259</v>
      </c>
      <c r="N32" s="15" cm="1" t="n">
        <f t="array" ref="N32">IF(OR(C32="",M32="",M32=0),"",M32)</f>
        <v>46064.51540509259</v>
      </c>
      <c r="O32" s="15">
</c>
      <c r="P32" s="15" cm="1" t="str">
        <f t="array" ref="P32">IF(C32="","",IF(OR(O32="",O32=0),"-",O32))</f>
        <v>-</v>
      </c>
      <c r="Q32" s="16">
        <v>2000000</v>
      </c>
      <c r="R32" s="16" cm="1" t="str">
        <f t="array" ref="R32">IF(C32="","",ROUND(Q32/1000000,3)&amp;" M€")</f>
        <v>2 M€</v>
      </c>
      <c r="S32" s="12" t="s">
        <v>134</v>
      </c>
      <c r="T32" s="9" cm="1" t="str">
        <f t="array" ref="T32">IF(C32="","",SUBSTITUTE(S32,"","")&amp;"%")</f>
        <v>10%</v>
      </c>
      <c r="U32" s="9" cm="1" t="str">
        <f t="array" ref="U32">IF(($N32="")*($P32=""),"",IF(($N32&lt;&gt;"")*($N32&gt;TODAY()-9)*($N32&lt;TODAY()+1)*($P32&lt;&gt;"")*($P32&gt;=TODAY())*($P32&lt;=TODAY()+13),"Semaine passée &amp; à venir",IF(($N32&lt;&gt;"")*($N32&gt;TODAY()-9)*($N32&lt;TODAY()+1),"Semaine passée",IF(($P32&lt;&gt;"")*($P32&gt;=TODAY())*($P32&lt;=TODAY()+13),"À venir","Autre"))))</f>
        <v>Autre</v>
      </c>
      <c r="V32" s="8" cm="1" t="n">
        <f t="array" ref="V32">IF(C32&lt;&gt;"",1,0)</f>
        <v>1</v>
      </c>
      <c r="W32" s="8">
</c>
      <c r="X32" s="8">
</c>
      <c r="Y32" s="8">
</c>
      <c r="Z32" s="8">
</c>
      <c r="AA32" s="8">
</c>
      <c r="AB32" s="8">
</c>
      <c r="AC32" s="8">
</c>
      <c r="AD32" s="8">
</c>
      <c r="AE32" s="8">
</c>
      <c r="AF32" s="8">
</c>
      <c r="AG32" s="8">
</c>
      <c r="AH32" s="8">
</c>
      <c r="AI32" s="8">
</c>
      <c r="AJ32" s="8">
</c>
      <c r="AK32" s="8">
</c>
    </row>
    <row r="33" ht="76.5" customHeight="1">
      <c r="A33" s="9" t="s">
        <v>23</v>
      </c>
      <c r="B33" s="9" t="s">
        <v>24</v>
      </c>
      <c r="C33" s="12" t="s">
        <v>139</v>
      </c>
      <c r="D33" s="12" t="s">
        <v>140</v>
      </c>
      <c r="E33" s="9" t="s">
        <v>27</v>
      </c>
      <c r="F33" s="8" t="s">
        <v>141</v>
      </c>
      <c r="G33" s="13" cm="1" t="str">
        <f t="array" ref="G33">IF(F33="","",SUBSTITUTE(SUBSTITUTE(SUBSTITUTE(SUBSTITUTE(F33,"&lt;li&gt;",CHAR(10)),"&lt;/li&gt;",""),"&lt;br&gt;",CHAR(10)),"&lt;strong&gt;",""))</f>
        <v>&lt;p&gt;Réunion stratégique ARKEA prévue (Février STRATON&amp;lt;&amp;gt;SLPE EXPANSION). Dernière activité&amp;nbsp;: organisation de RDV, échéance 14/01/2026. Pas de retour prospect ni conclusion sur fonds. Nouvelle piste créée pour équipe Ventes. Pas d'autres échanges ou actions notables recensés à ce jour.&lt;/p&gt;</v>
      </c>
      <c r="H33" s="13" cm="1" t="str">
        <f t="array" ref="H33">IF(G33="","",SUBSTITUTE(SUBSTITUTE(SUBSTITUTE(SUBSTITUTE(SUBSTITUTE(G33,"&lt;p&gt;",""),"&lt;/p&gt;",""),"&lt;ul&gt;",""),"&lt;/ul&gt;",""),"&lt;/strong&gt;",""))</f>
        <v>Réunion stratégique ARKEA prévue (Février STRATON&amp;lt;&amp;gt;SLPE EXPANSION). Dernière activité&amp;nbsp;: organisation de RDV, échéance 14/01/2026. Pas de retour prospect ni conclusion sur fonds. Nouvelle piste créée pour équipe Ventes. Pas d'autres échanges ou actions notables recensés à ce jour.</v>
      </c>
      <c r="I33" s="14" cm="1" t="str">
        <f t="array" ref="I33">IF(C33="","",IF(OR(H33="",H33=0,H33=FALSE),"-",H33))</f>
        <v>Réunion stratégique ARKEA prévue (Février STRATON&amp;lt;&amp;gt;SLPE EXPANSION). Dernière activité&amp;nbsp;: organisation de RDV, échéance 14/01/2026. Pas de retour prospect ni conclusion sur fonds. Nouvelle piste créée pour équipe Ventes. Pas d'autres échanges ou actions notables recensés à ce jour.</v>
      </c>
      <c r="J33" s="8" t="s">
        <v>142</v>
      </c>
      <c r="K33" s="8" t="s">
        <v>35</v>
      </c>
      <c r="L33" s="9" cm="1" t="str">
        <f t="array" ref="L33">IF(C33="","",IF(K33="Mort / Plus rien à faire","KO","OK"))</f>
        <v>OK</v>
      </c>
      <c r="M33" s="15">
        <v>46087.718668981484</v>
      </c>
      <c r="N33" s="15" cm="1" t="n">
        <f t="array" ref="N33">IF(OR(C33="",M33="",M33=0),"",M33)</f>
        <v>46087.718668981484</v>
      </c>
      <c r="O33" s="15">
</c>
      <c r="P33" s="15" cm="1" t="str">
        <f t="array" ref="P33">IF(C33="","",IF(OR(O33="",O33=0),"-",O33))</f>
        <v>-</v>
      </c>
      <c r="Q33" s="16">
        <v>0</v>
      </c>
      <c r="R33" s="16" cm="1" t="str">
        <f t="array" ref="R33">IF(C33="","",ROUND(Q33/1000000,3)&amp;" M€")</f>
        <v>0 M€</v>
      </c>
      <c r="S33" s="12" t="s">
        <v>134</v>
      </c>
      <c r="T33" s="9" cm="1" t="str">
        <f t="array" ref="T33">IF(C33="","",SUBSTITUTE(S33,"","")&amp;"%")</f>
        <v>10%</v>
      </c>
      <c r="U33" s="9" cm="1" t="str">
        <f t="array" ref="U33">IF(($N33="")*($P33=""),"",IF(($N33&lt;&gt;"")*($N33&gt;TODAY()-9)*($N33&lt;TODAY()+1)*($P33&lt;&gt;"")*($P33&gt;=TODAY())*($P33&lt;=TODAY()+13),"Semaine passée &amp; à venir",IF(($N33&lt;&gt;"")*($N33&gt;TODAY()-9)*($N33&lt;TODAY()+1),"Semaine passée",IF(($P33&lt;&gt;"")*($P33&gt;=TODAY())*($P33&lt;=TODAY()+13),"À venir","Autre"))))</f>
        <v>Semaine passée</v>
      </c>
      <c r="V33" s="8" cm="1" t="n">
        <f t="array" ref="V33">IF(C33&lt;&gt;"",1,0)</f>
        <v>1</v>
      </c>
      <c r="W33" s="8">
</c>
      <c r="X33" s="8">
</c>
      <c r="Y33" s="8">
</c>
      <c r="Z33" s="8">
</c>
      <c r="AA33" s="8">
</c>
      <c r="AB33" s="8">
</c>
      <c r="AC33" s="8">
</c>
      <c r="AD33" s="8">
</c>
      <c r="AE33" s="8">
</c>
      <c r="AF33" s="8">
</c>
      <c r="AG33" s="8">
</c>
      <c r="AH33" s="8">
</c>
      <c r="AI33" s="8">
</c>
      <c r="AJ33" s="8">
</c>
      <c r="AK33" s="8">
</c>
    </row>
    <row r="34" ht="76.5" customHeight="1">
      <c r="A34" s="9" t="s">
        <v>23</v>
      </c>
      <c r="B34" s="9" t="s">
        <v>37</v>
      </c>
      <c r="C34" s="12" t="s">
        <v>143</v>
      </c>
      <c r="D34" s="12" t="s">
        <v>144</v>
      </c>
      <c r="E34" s="9" t="s">
        <v>27</v>
      </c>
      <c r="F34" s="8" t="s">
        <v>145</v>
      </c>
      <c r="G34" s="13" cm="1" t="str">
        <f t="array" ref="G34">IF(F34="","",SUBSTITUTE(SUBSTITUTE(SUBSTITUTE(SUBSTITUTE(F34,"&lt;li&gt;",CHAR(10)),"&lt;/li&gt;",""),"&lt;br&gt;",CHAR(10)),"&lt;strong&gt;",""))</f>
        <v>&lt;p&gt;21/01/2026 : IPECA intéressé par financement BITD, allocation PE non coté saturée, rien avant 2 ans sauf distribution. Ticket habituel 5M€. Déception sur intervention État dans fonds Tickehau. Ouvert à fonds de dette défense si rendement &amp;gt;8%, décision après échange DG et déjeuner en cours.&lt;/p&gt;</v>
      </c>
      <c r="H34" s="13" cm="1" t="str">
        <f t="array" ref="H34">IF(G34="","",SUBSTITUTE(SUBSTITUTE(SUBSTITUTE(SUBSTITUTE(SUBSTITUTE(G34,"&lt;p&gt;",""),"&lt;/p&gt;",""),"&lt;ul&gt;",""),"&lt;/ul&gt;",""),"&lt;/strong&gt;",""))</f>
        <v>21/01/2026 : IPECA intéressé par financement BITD, allocation PE non coté saturée, rien avant 2 ans sauf distribution. Ticket habituel 5M€. Déception sur intervention État dans fonds Tickehau. Ouvert à fonds de dette défense si rendement &amp;gt;8%, décision après échange DG et déjeuner en cours.</v>
      </c>
      <c r="I34" s="14" cm="1" t="str">
        <f t="array" ref="I34">IF(C34="","",IF(OR(H34="",H34=0,H34=FALSE),"-",H34))</f>
        <v>21/01/2026 : IPECA intéressé par financement BITD, allocation PE non coté saturée, rien avant 2 ans sauf distribution. Ticket habituel 5M€. Déception sur intervention État dans fonds Tickehau. Ouvert à fonds de dette défense si rendement &amp;gt;8%, décision après échange DG et déjeuner en cours.</v>
      </c>
      <c r="J34" s="8">
</c>
      <c r="K34" s="8" t="s">
        <v>35</v>
      </c>
      <c r="L34" s="9" cm="1" t="str">
        <f t="array" ref="L34">IF(C34="","",IF(K34="Mort / Plus rien à faire","KO","OK"))</f>
        <v>OK</v>
      </c>
      <c r="M34" s="15">
        <v>46064.51865740741</v>
      </c>
      <c r="N34" s="15" cm="1" t="n">
        <f t="array" ref="N34">IF(OR(C34="",M34="",M34=0),"",M34)</f>
        <v>46064.51865740741</v>
      </c>
      <c r="O34" s="15">
</c>
      <c r="P34" s="15" cm="1" t="str">
        <f t="array" ref="P34">IF(C34="","",IF(OR(O34="",O34=0),"-",O34))</f>
        <v>-</v>
      </c>
      <c r="Q34" s="16">
        <v>2000000</v>
      </c>
      <c r="R34" s="16" cm="1" t="str">
        <f t="array" ref="R34">IF(C34="","",ROUND(Q34/1000000,3)&amp;" M€")</f>
        <v>2 M€</v>
      </c>
      <c r="S34" s="12" t="s">
        <v>134</v>
      </c>
      <c r="T34" s="9" cm="1" t="str">
        <f t="array" ref="T34">IF(C34="","",SUBSTITUTE(S34,"","")&amp;"%")</f>
        <v>10%</v>
      </c>
      <c r="U34" s="9" cm="1" t="str">
        <f t="array" ref="U34">IF(($N34="")*($P34=""),"",IF(($N34&lt;&gt;"")*($N34&gt;TODAY()-9)*($N34&lt;TODAY()+1)*($P34&lt;&gt;"")*($P34&gt;=TODAY())*($P34&lt;=TODAY()+13),"Semaine passée &amp; à venir",IF(($N34&lt;&gt;"")*($N34&gt;TODAY()-9)*($N34&lt;TODAY()+1),"Semaine passée",IF(($P34&lt;&gt;"")*($P34&gt;=TODAY())*($P34&lt;=TODAY()+13),"À venir","Autre"))))</f>
        <v>Autre</v>
      </c>
      <c r="V34" s="8" cm="1" t="n">
        <f t="array" ref="V34">IF(C34&lt;&gt;"",1,0)</f>
        <v>1</v>
      </c>
      <c r="W34" s="8">
</c>
      <c r="X34" s="8">
</c>
      <c r="Y34" s="8">
</c>
      <c r="Z34" s="8">
</c>
      <c r="AA34" s="8">
</c>
      <c r="AB34" s="8">
</c>
      <c r="AC34" s="8">
</c>
      <c r="AD34" s="8">
</c>
      <c r="AE34" s="8">
</c>
      <c r="AF34" s="8">
</c>
      <c r="AG34" s="8">
</c>
      <c r="AH34" s="8">
</c>
      <c r="AI34" s="8">
</c>
      <c r="AJ34" s="8">
</c>
      <c r="AK34" s="8">
</c>
    </row>
    <row r="35" ht="76.5" customHeight="1">
      <c r="A35" s="9" t="s">
        <v>23</v>
      </c>
      <c r="B35" s="9" t="s">
        <v>146</v>
      </c>
      <c r="C35" s="12" t="s">
        <v>147</v>
      </c>
      <c r="D35" s="12" t="s">
        <v>148</v>
      </c>
      <c r="E35" s="9" t="s">
        <v>27</v>
      </c>
      <c r="F35" s="8" t="s">
        <v>149</v>
      </c>
      <c r="G35" s="13" cm="1" t="str">
        <f t="array" ref="G35">IF(F35="","",SUBSTITUTE(SUBSTITUTE(SUBSTITUTE(SUBSTITUTE(F35,"&lt;li&gt;",CHAR(10)),"&lt;/li&gt;",""),"&lt;br&gt;",CHAR(10)),"&lt;strong&gt;",""))</f>
        <v>&lt;p&gt;Prospect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Straton.&lt;/p&gt;</v>
      </c>
      <c r="H35" s="13" cm="1" t="str">
        <f t="array" ref="H35">IF(G35="","",SUBSTITUTE(SUBSTITUTE(SUBSTITUTE(SUBSTITUTE(SUBSTITUTE(G35,"&lt;p&gt;",""),"&lt;/p&gt;",""),"&lt;ul&gt;",""),"&lt;/ul&gt;",""),"&lt;/strong&gt;",""))</f>
        <v>Prospect SPVM suivi activement, échanges récents sur projet Straton. Dernière action : relance prévue avant comité janvier 2026 (échéance 29/11/2025). Activité : appel à passer. Lead créé pour équipe Ventes. Enrichissement email impossible. Prochaine étape : relancer sur Straton.</v>
      </c>
      <c r="I35" s="14" cm="1" t="str">
        <f t="array" ref="I35">IF(C35="","",IF(OR(H35="",H35=0,H35=FALSE),"-",H35))</f>
        <v>Prospect SPVM suivi activement, échanges récents sur projet Straton. Dernière action : relance prévue avant comité janvier 2026 (échéance 29/11/2025). Activité : appel à passer. Lead créé pour équipe Ventes. Enrichissement email impossible. Prochaine étape : relancer sur Straton.</v>
      </c>
      <c r="J35" s="8" t="s">
        <v>150</v>
      </c>
      <c r="K35" s="8" t="s">
        <v>35</v>
      </c>
      <c r="L35" s="9" cm="1" t="str">
        <f t="array" ref="L35">IF(C35="","",IF(K35="Mort / Plus rien à faire","KO","OK"))</f>
        <v>OK</v>
      </c>
      <c r="M35" s="15">
        <v>46087.718506944446</v>
      </c>
      <c r="N35" s="15" cm="1" t="n">
        <f t="array" ref="N35">IF(OR(C35="",M35="",M35=0),"",M35)</f>
        <v>46087.718506944446</v>
      </c>
      <c r="O35" s="15">
</c>
      <c r="P35" s="15" cm="1" t="str">
        <f t="array" ref="P35">IF(C35="","",IF(OR(O35="",O35=0),"-",O35))</f>
        <v>-</v>
      </c>
      <c r="Q35" s="16">
        <v>1000000</v>
      </c>
      <c r="R35" s="16" cm="1" t="str">
        <f t="array" ref="R35">IF(C35="","",ROUND(Q35/1000000,3)&amp;" M€")</f>
        <v>1 M€</v>
      </c>
      <c r="S35" s="12" t="s">
        <v>134</v>
      </c>
      <c r="T35" s="9" cm="1" t="str">
        <f t="array" ref="T35">IF(C35="","",SUBSTITUTE(S35,"","")&amp;"%")</f>
        <v>10%</v>
      </c>
      <c r="U35" s="9" cm="1" t="str">
        <f t="array" ref="U35">IF(($N35="")*($P35=""),"",IF(($N35&lt;&gt;"")*($N35&gt;TODAY()-9)*($N35&lt;TODAY()+1)*($P35&lt;&gt;"")*($P35&gt;=TODAY())*($P35&lt;=TODAY()+13),"Semaine passée &amp; à venir",IF(($N35&lt;&gt;"")*($N35&gt;TODAY()-9)*($N35&lt;TODAY()+1),"Semaine passée",IF(($P35&lt;&gt;"")*($P35&gt;=TODAY())*($P35&lt;=TODAY()+13),"À venir","Autre"))))</f>
        <v>Semaine passée</v>
      </c>
      <c r="V35" s="8" cm="1" t="n">
        <f t="array" ref="V35">IF(C35&lt;&gt;"",1,0)</f>
        <v>1</v>
      </c>
      <c r="W35" s="8">
</c>
      <c r="X35" s="8">
</c>
      <c r="Y35" s="8">
</c>
      <c r="Z35" s="8">
</c>
      <c r="AA35" s="8">
</c>
      <c r="AB35" s="8">
</c>
      <c r="AC35" s="8">
</c>
      <c r="AD35" s="8">
</c>
      <c r="AE35" s="8">
</c>
      <c r="AF35" s="8">
</c>
      <c r="AG35" s="8">
</c>
      <c r="AH35" s="8">
</c>
      <c r="AI35" s="8">
</c>
      <c r="AJ35" s="8">
</c>
      <c r="AK35" s="8">
</c>
    </row>
    <row r="36" ht="76.5" customHeight="1">
      <c r="A36" s="9" t="s">
        <v>23</v>
      </c>
      <c r="B36" s="9" t="s">
        <v>50</v>
      </c>
      <c r="C36" s="12" t="s">
        <v>151</v>
      </c>
      <c r="D36" s="12" t="s">
        <v>152</v>
      </c>
      <c r="E36" s="9" t="s">
        <v>53</v>
      </c>
      <c r="F36" s="8" t="s">
        <v>153</v>
      </c>
      <c r="G36" s="13" cm="1" t="str">
        <f t="array" ref="G36">IF(F36="","",SUBSTITUTE(SUBSTITUTE(SUBSTITUTE(SUBSTITUTE(F36,"&lt;li&gt;",CHAR(10)),"&lt;/li&gt;",""),"&lt;br&gt;",CHAR(10)),"&lt;strong&gt;",""))</f>
        <v>&lt;div data-oe-version="2.0"&gt;Rendez-vous réalisé le 22 octobre 2025 avec Stéphane Grauer et Charles Saint Olive&lt;/div&gt;&lt;div&gt;&amp;nbsp;Intérêt fonds straton et spatial. Étudier potentiel club deal immo Lyon&lt;/div&gt;</v>
      </c>
      <c r="H36" s="13" cm="1" t="str">
        <f t="array" ref="H36">IF(G36="","",SUBSTITUTE(SUBSTITUTE(SUBSTITUTE(SUBSTITUTE(SUBSTITUTE(G36,"&lt;p&gt;",""),"&lt;/p&gt;",""),"&lt;ul&gt;",""),"&lt;/ul&gt;",""),"&lt;/strong&gt;",""))</f>
        <v>&lt;div data-oe-version="2.0"&gt;Rendez-vous réalisé le 22 octobre 2025 avec Stéphane Grauer et Charles Saint Olive&lt;/div&gt;&lt;div&gt;&amp;nbsp;Intérêt fonds straton et spatial. Étudier potentiel club deal immo Lyon&lt;/div&gt;</v>
      </c>
      <c r="I36" s="14" cm="1" t="str">
        <f t="array" ref="I36">IF(C36="","",IF(OR(H36="",H36=0,H36=FALSE),"-",H36))</f>
        <v>&lt;div data-oe-version="2.0"&gt;Rendez-vous réalisé le 22 octobre 2025 avec Stéphane Grauer et Charles Saint Olive&lt;/div&gt;&lt;div&gt;&amp;nbsp;Intérêt fonds straton et spatial. Étudier potentiel club deal immo Lyon&lt;/div&gt;</v>
      </c>
      <c r="J36" s="8">
</c>
      <c r="K36" s="8" t="s">
        <v>65</v>
      </c>
      <c r="L36" s="9" cm="1" t="str">
        <f t="array" ref="L36">IF(C36="","",IF(K36="Mort / Plus rien à faire","KO","OK"))</f>
        <v>OK</v>
      </c>
      <c r="M36" s="15">
        <v>46056.45413194445</v>
      </c>
      <c r="N36" s="15" cm="1" t="n">
        <f t="array" ref="N36">IF(OR(C36="",M36="",M36=0),"",M36)</f>
        <v>46056.45413194445</v>
      </c>
      <c r="O36" s="15">
</c>
      <c r="P36" s="15" cm="1" t="str">
        <f t="array" ref="P36">IF(C36="","",IF(OR(O36="",O36=0),"-",O36))</f>
        <v>-</v>
      </c>
      <c r="Q36" s="16">
        <v>1000000</v>
      </c>
      <c r="R36" s="16" cm="1" t="str">
        <f t="array" ref="R36">IF(C36="","",ROUND(Q36/1000000,3)&amp;" M€")</f>
        <v>1 M€</v>
      </c>
      <c r="S36" s="12" t="s">
        <v>134</v>
      </c>
      <c r="T36" s="9" cm="1" t="str">
        <f t="array" ref="T36">IF(C36="","",SUBSTITUTE(S36,"","")&amp;"%")</f>
        <v>10%</v>
      </c>
      <c r="U36" s="9" cm="1" t="str">
        <f t="array" ref="U36">IF(($N36="")*($P36=""),"",IF(($N36&lt;&gt;"")*($N36&gt;TODAY()-9)*($N36&lt;TODAY()+1)*($P36&lt;&gt;"")*($P36&gt;=TODAY())*($P36&lt;=TODAY()+13),"Semaine passée &amp; à venir",IF(($N36&lt;&gt;"")*($N36&gt;TODAY()-9)*($N36&lt;TODAY()+1),"Semaine passée",IF(($P36&lt;&gt;"")*($P36&gt;=TODAY())*($P36&lt;=TODAY()+13),"À venir","Autre"))))</f>
        <v>Autre</v>
      </c>
      <c r="V36" s="8" cm="1" t="n">
        <f t="array" ref="V36">IF(C36&lt;&gt;"",1,0)</f>
        <v>1</v>
      </c>
      <c r="W36" s="8">
</c>
      <c r="X36" s="8">
</c>
      <c r="Y36" s="8">
</c>
      <c r="Z36" s="8">
</c>
      <c r="AA36" s="8">
</c>
      <c r="AB36" s="8">
</c>
      <c r="AC36" s="8">
</c>
      <c r="AD36" s="8">
</c>
      <c r="AE36" s="8">
</c>
      <c r="AF36" s="8">
</c>
      <c r="AG36" s="8">
</c>
      <c r="AH36" s="8">
</c>
      <c r="AI36" s="8">
</c>
      <c r="AJ36" s="8">
</c>
      <c r="AK36" s="8">
</c>
    </row>
    <row r="37" ht="76.5" customHeight="1">
      <c r="A37" s="9" t="s">
        <v>23</v>
      </c>
      <c r="B37" s="9" t="s">
        <v>24</v>
      </c>
      <c r="C37" s="12" t="s">
        <v>154</v>
      </c>
      <c r="D37" s="12" t="s">
        <v>155</v>
      </c>
      <c r="E37" s="9" t="s">
        <v>74</v>
      </c>
      <c r="F37" s="8" t="s">
        <v>156</v>
      </c>
      <c r="G37" s="13" cm="1" t="str">
        <f t="array" ref="G37">IF(F37="","",SUBSTITUTE(SUBSTITUTE(SUBSTITUTE(SUBSTITUTE(F37,"&lt;li&gt;",CHAR(10)),"&lt;/li&gt;",""),"&lt;br&gt;",CHAR(10)),"&lt;strong&gt;",""))</f>
        <v>&lt;p&gt;Appel update 24/02/2026 avec Estelle : fonds de dette impact en cours, pas de réinvestissement Weinberg, mapping des fonds en France prévu, Partners group en stand-by pour due dil Tikehau, Fabrice réticent au non côté, échanges courtier, chasse Mgen pour Géraldine Brasseur, RDV Partners en mars.&lt;/p&gt;</v>
      </c>
      <c r="H37" s="13" cm="1" t="str">
        <f t="array" ref="H37">IF(G37="","",SUBSTITUTE(SUBSTITUTE(SUBSTITUTE(SUBSTITUTE(SUBSTITUTE(G37,"&lt;p&gt;",""),"&lt;/p&gt;",""),"&lt;ul&gt;",""),"&lt;/ul&gt;",""),"&lt;/strong&gt;",""))</f>
        <v>Appel update 24/02/2026 avec Estelle : fonds de dette impact en cours, pas de réinvestissement Weinberg, mapping des fonds en France prévu, Partners group en stand-by pour due dil Tikehau, Fabrice réticent au non côté, échanges courtier, chasse Mgen pour Géraldine Brasseur, RDV Partners en mars.</v>
      </c>
      <c r="I37" s="14" cm="1" t="str">
        <f t="array" ref="I37">IF(C37="","",IF(OR(H37="",H37=0,H37=FALSE),"-",H37))</f>
        <v>Appel update 24/02/2026 avec Estelle : fonds de dette impact en cours, pas de réinvestissement Weinberg, mapping des fonds en France prévu, Partners group en stand-by pour due dil Tikehau, Fabrice réticent au non côté, échanges courtier, chasse Mgen pour Géraldine Brasseur, RDV Partners en mars.</v>
      </c>
      <c r="J37" s="8">
</c>
      <c r="K37" s="8" t="s">
        <v>157</v>
      </c>
      <c r="L37" s="9" cm="1" t="str">
        <f t="array" ref="L37">IF(C37="","",IF(K37="Mort / Plus rien à faire","KO","OK"))</f>
        <v>OK</v>
      </c>
      <c r="M37" s="15">
        <v>46077.53480324074</v>
      </c>
      <c r="N37" s="15" cm="1" t="n">
        <f t="array" ref="N37">IF(OR(C37="",M37="",M37=0),"",M37)</f>
        <v>46077.53480324074</v>
      </c>
      <c r="O37" s="15">
</c>
      <c r="P37" s="15" cm="1" t="str">
        <f t="array" ref="P37">IF(C37="","",IF(OR(O37="",O37=0),"-",O37))</f>
        <v>-</v>
      </c>
      <c r="Q37" s="16">
        <v>0</v>
      </c>
      <c r="R37" s="16" cm="1" t="str">
        <f t="array" ref="R37">IF(C37="","",ROUND(Q37/1000000,3)&amp;" M€")</f>
        <v>0 M€</v>
      </c>
      <c r="S37" s="12" t="s">
        <v>134</v>
      </c>
      <c r="T37" s="9" cm="1" t="str">
        <f t="array" ref="T37">IF(C37="","",SUBSTITUTE(S37,"","")&amp;"%")</f>
        <v>10%</v>
      </c>
      <c r="U37" s="9" cm="1" t="str">
        <f t="array" ref="U37">IF(($N37="")*($P37=""),"",IF(($N37&lt;&gt;"")*($N37&gt;TODAY()-9)*($N37&lt;TODAY()+1)*($P37&lt;&gt;"")*($P37&gt;=TODAY())*($P37&lt;=TODAY()+13),"Semaine passée &amp; à venir",IF(($N37&lt;&gt;"")*($N37&gt;TODAY()-9)*($N37&lt;TODAY()+1),"Semaine passée",IF(($P37&lt;&gt;"")*($P37&gt;=TODAY())*($P37&lt;=TODAY()+13),"À venir","Autre"))))</f>
        <v>Autre</v>
      </c>
      <c r="V37" s="8" cm="1" t="n">
        <f t="array" ref="V37">IF(C37&lt;&gt;"",1,0)</f>
        <v>1</v>
      </c>
      <c r="W37" s="8">
</c>
      <c r="X37" s="8">
</c>
      <c r="Y37" s="8">
</c>
      <c r="Z37" s="8">
</c>
      <c r="AA37" s="8">
</c>
      <c r="AB37" s="8">
</c>
      <c r="AC37" s="8">
</c>
      <c r="AD37" s="8">
</c>
      <c r="AE37" s="8">
</c>
      <c r="AF37" s="8">
</c>
      <c r="AG37" s="8">
</c>
      <c r="AH37" s="8">
</c>
      <c r="AI37" s="8">
</c>
      <c r="AJ37" s="8">
</c>
      <c r="AK37" s="8">
</c>
    </row>
    <row r="38" ht="76.5" customHeight="1">
      <c r="A38" s="9" t="s">
        <v>23</v>
      </c>
      <c r="B38" s="9">
</c>
      <c r="C38" s="12" t="s">
        <v>158</v>
      </c>
      <c r="D38" s="12" t="s">
        <v>159</v>
      </c>
      <c r="E38" s="9" t="s">
        <v>74</v>
      </c>
      <c r="F38" s="8" t="s">
        <v>160</v>
      </c>
      <c r="G38" s="13" cm="1" t="str">
        <f t="array" ref="G38">IF(F38="","",SUBSTITUTE(SUBSTITUTE(SUBSTITUTE(SUBSTITUTE(F38,"&lt;li&gt;",CHAR(10)),"&lt;/li&gt;",""),"&lt;br&gt;",CHAR(10)),"&lt;strong&gt;",""))</f>
        <v>&lt;p&gt;1er RDV Straton via fonds de fonds, instruction prévue avril 2026 (mandat ad hoc FRR). Bon lien Victoire, obstacles ratios, souhaitent TIBI 2 mais pas de parrainage possible car entité publique. Thèses compatibles mandats. Prochaine action&amp;nbsp;: prise de nouvelles avant 13/03/2026.&lt;/p&gt;</v>
      </c>
      <c r="H38" s="13" cm="1" t="str">
        <f t="array" ref="H38">IF(G38="","",SUBSTITUTE(SUBSTITUTE(SUBSTITUTE(SUBSTITUTE(SUBSTITUTE(G38,"&lt;p&gt;",""),"&lt;/p&gt;",""),"&lt;ul&gt;",""),"&lt;/ul&gt;",""),"&lt;/strong&gt;",""))</f>
        <v>1er RDV Straton via fonds de fonds, instruction prévue avril 2026 (mandat ad hoc FRR). Bon lien Victoire, obstacles ratios, souhaitent TIBI 2 mais pas de parrainage possible car entité publique. Thèses compatibles mandats. Prochaine action&amp;nbsp;: prise de nouvelles avant 13/03/2026.</v>
      </c>
      <c r="I38" s="14" cm="1" t="str">
        <f t="array" ref="I38">IF(C38="","",IF(OR(H38="",H38=0,H38=FALSE),"-",H38))</f>
        <v>1er RDV Straton via fonds de fonds, instruction prévue avril 2026 (mandat ad hoc FRR). Bon lien Victoire, obstacles ratios, souhaitent TIBI 2 mais pas de parrainage possible car entité publique. Thèses compatibles mandats. Prochaine action&amp;nbsp;: prise de nouvelles avant 13/03/2026.</v>
      </c>
      <c r="J38" s="8" t="s">
        <v>161</v>
      </c>
      <c r="K38" s="8" t="s">
        <v>157</v>
      </c>
      <c r="L38" s="9" cm="1" t="str">
        <f t="array" ref="L38">IF(C38="","",IF(K38="Mort / Plus rien à faire","KO","OK"))</f>
        <v>OK</v>
      </c>
      <c r="M38" s="15">
        <v>46086.50136574074</v>
      </c>
      <c r="N38" s="15" cm="1" t="n">
        <f t="array" ref="N38">IF(OR(C38="",M38="",M38=0),"",M38)</f>
        <v>46086.50136574074</v>
      </c>
      <c r="O38" s="15">
        <v>46094.041666666664</v>
      </c>
      <c r="P38" s="15" cm="1" t="n">
        <f t="array" ref="P38">IF(C38="","",IF(OR(O38="",O38=0),"-",O38))</f>
        <v>46094.041666666664</v>
      </c>
      <c r="Q38" s="16">
        <v>0</v>
      </c>
      <c r="R38" s="16" cm="1" t="str">
        <f t="array" ref="R38">IF(C38="","",ROUND(Q38/1000000,3)&amp;" M€")</f>
        <v>0 M€</v>
      </c>
      <c r="S38" s="12" t="s">
        <v>134</v>
      </c>
      <c r="T38" s="9" cm="1" t="str">
        <f t="array" ref="T38">IF(C38="","",SUBSTITUTE(S38,"","")&amp;"%")</f>
        <v>10%</v>
      </c>
      <c r="U38" s="9" cm="1" t="str">
        <f t="array" ref="U38">IF(($N38="")*($P38=""),"",IF(($N38&lt;&gt;"")*($N38&gt;TODAY()-9)*($N38&lt;TODAY()+1)*($P38&lt;&gt;"")*($P38&gt;=TODAY())*($P38&lt;=TODAY()+13),"Semaine passée &amp; à venir",IF(($N38&lt;&gt;"")*($N38&gt;TODAY()-9)*($N38&lt;TODAY()+1),"Semaine passée",IF(($P38&lt;&gt;"")*($P38&gt;=TODAY())*($P38&lt;=TODAY()+13),"À venir","Autre"))))</f>
        <v>Semaine passée &amp; à venir</v>
      </c>
      <c r="V38" s="8" cm="1" t="n">
        <f t="array" ref="V38">IF(C38&lt;&gt;"",1,0)</f>
        <v>1</v>
      </c>
      <c r="W38" s="8">
</c>
      <c r="X38" s="8">
</c>
      <c r="Y38" s="8">
</c>
      <c r="Z38" s="8">
</c>
      <c r="AA38" s="8">
</c>
      <c r="AB38" s="8">
</c>
      <c r="AC38" s="8">
</c>
      <c r="AD38" s="8">
</c>
      <c r="AE38" s="8">
</c>
      <c r="AF38" s="8">
</c>
      <c r="AG38" s="8">
</c>
      <c r="AH38" s="8">
</c>
      <c r="AI38" s="8">
</c>
      <c r="AJ38" s="8">
</c>
      <c r="AK38" s="8">
</c>
    </row>
    <row r="39" ht="76.5" customHeight="1">
      <c r="A39" s="9" t="s">
        <v>23</v>
      </c>
      <c r="B39" s="9" t="s">
        <v>24</v>
      </c>
      <c r="C39" s="12" t="s">
        <v>162</v>
      </c>
      <c r="D39" s="12" t="s">
        <v>163</v>
      </c>
      <c r="E39" s="9" t="s">
        <v>74</v>
      </c>
      <c r="F39" s="8" t="s">
        <v>164</v>
      </c>
      <c r="G39" s="13" cm="1" t="str">
        <f t="array" ref="G39">IF(F39="","",SUBSTITUTE(SUBSTITUTE(SUBSTITUTE(SUBSTITUTE(F39,"&lt;li&gt;",CHAR(10)),"&lt;/li&gt;",""),"&lt;br&gt;",CHAR(10)),"&lt;strong&gt;",""))</f>
        <v>&lt;p&gt;Présentation Expansion/Straton, bon contact, prospect a investi 15M€ dans CICLAD, cible 15M€ dans STRATON. Expansion jugé trop niche, Straton définitivement KO (taille/fonds PME). Suivi à alimenter. Prochaine action : prendre des nouvelles avant le 19/03. Enrichissement lead impossible (email invalide).&lt;/p&gt;</v>
      </c>
      <c r="H39" s="13" cm="1" t="str">
        <f t="array" ref="H39">IF(G39="","",SUBSTITUTE(SUBSTITUTE(SUBSTITUTE(SUBSTITUTE(SUBSTITUTE(G39,"&lt;p&gt;",""),"&lt;/p&gt;",""),"&lt;ul&gt;",""),"&lt;/ul&gt;",""),"&lt;/strong&gt;",""))</f>
        <v>Présentation Expansion/Straton, bon contact, prospect a investi 15M€ dans CICLAD, cible 15M€ dans STRATON. Expansion jugé trop niche, Straton définitivement KO (taille/fonds PME). Suivi à alimenter. Prochaine action : prendre des nouvelles avant le 19/03. Enrichissement lead impossible (email invalide).</v>
      </c>
      <c r="I39" s="14" cm="1" t="str">
        <f t="array" ref="I39">IF(C39="","",IF(OR(H39="",H39=0,H39=FALSE),"-",H39))</f>
        <v>Présentation Expansion/Straton, bon contact, prospect a investi 15M€ dans CICLAD, cible 15M€ dans STRATON. Expansion jugé trop niche, Straton définitivement KO (taille/fonds PME). Suivi à alimenter. Prochaine action : prendre des nouvelles avant le 19/03. Enrichissement lead impossible (email invalide).</v>
      </c>
      <c r="J39" s="8" t="s">
        <v>165</v>
      </c>
      <c r="K39" s="8" t="s">
        <v>65</v>
      </c>
      <c r="L39" s="9" cm="1" t="str">
        <f t="array" ref="L39">IF(C39="","",IF(K39="Mort / Plus rien à faire","KO","OK"))</f>
        <v>OK</v>
      </c>
      <c r="M39" s="15">
        <v>46086.50524305556</v>
      </c>
      <c r="N39" s="15" cm="1" t="n">
        <f t="array" ref="N39">IF(OR(C39="",M39="",M39=0),"",M39)</f>
        <v>46086.50524305556</v>
      </c>
      <c r="O39" s="15">
        <v>46100.041666666664</v>
      </c>
      <c r="P39" s="15" cm="1" t="n">
        <f t="array" ref="P39">IF(C39="","",IF(OR(O39="",O39=0),"-",O39))</f>
        <v>46100.041666666664</v>
      </c>
      <c r="Q39" s="16">
        <v>0</v>
      </c>
      <c r="R39" s="16" cm="1" t="str">
        <f t="array" ref="R39">IF(C39="","",ROUND(Q39/1000000,3)&amp;" M€")</f>
        <v>0 M€</v>
      </c>
      <c r="S39" s="12" t="s">
        <v>134</v>
      </c>
      <c r="T39" s="9" cm="1" t="str">
        <f t="array" ref="T39">IF(C39="","",SUBSTITUTE(S39,"","")&amp;"%")</f>
        <v>10%</v>
      </c>
      <c r="U39" s="9" cm="1" t="str">
        <f t="array" ref="U39">IF(($N39="")*($P39=""),"",IF(($N39&lt;&gt;"")*($N39&gt;TODAY()-9)*($N39&lt;TODAY()+1)*($P39&lt;&gt;"")*($P39&gt;=TODAY())*($P39&lt;=TODAY()+13),"Semaine passée &amp; à venir",IF(($N39&lt;&gt;"")*($N39&gt;TODAY()-9)*($N39&lt;TODAY()+1),"Semaine passée",IF(($P39&lt;&gt;"")*($P39&gt;=TODAY())*($P39&lt;=TODAY()+13),"À venir","Autre"))))</f>
        <v>Semaine passée</v>
      </c>
      <c r="V39" s="8" cm="1" t="n">
        <f t="array" ref="V39">IF(C39&lt;&gt;"",1,0)</f>
        <v>1</v>
      </c>
      <c r="W39" s="8">
</c>
      <c r="X39" s="8">
</c>
      <c r="Y39" s="8">
</c>
      <c r="Z39" s="8">
</c>
      <c r="AA39" s="8">
</c>
      <c r="AB39" s="8">
</c>
      <c r="AC39" s="8">
</c>
      <c r="AD39" s="8">
</c>
      <c r="AE39" s="8">
</c>
      <c r="AF39" s="8">
</c>
      <c r="AG39" s="8">
</c>
      <c r="AH39" s="8">
</c>
      <c r="AI39" s="8">
</c>
      <c r="AJ39" s="8">
</c>
      <c r="AK39" s="8">
</c>
    </row>
    <row r="40" ht="76.5" customHeight="1">
      <c r="A40" s="9" t="s">
        <v>23</v>
      </c>
      <c r="B40" s="9" t="s">
        <v>82</v>
      </c>
      <c r="C40" s="12" t="s">
        <v>166</v>
      </c>
      <c r="D40" s="12" t="s">
        <v>166</v>
      </c>
      <c r="E40" s="9" t="s">
        <v>27</v>
      </c>
      <c r="F40" s="8" t="s">
        <v>167</v>
      </c>
      <c r="G40" s="13" cm="1" t="str">
        <f t="array" ref="G40">IF(F40="","",SUBSTITUTE(SUBSTITUTE(SUBSTITUTE(SUBSTITUTE(F40,"&lt;li&gt;",CHAR(10)),"&lt;/li&gt;",""),"&lt;br&gt;",CHAR(10)),"&lt;strong&gt;",""))</f>
        <v>&lt;p&gt;Nouvelle piste créée pour équipe Ventes, lead identifié Thomas Schmitz (TS). Aucun échange, action ou retour prospect enregistré à ce jour. Pas d'activité planifiée ni de suivi constaté. Prochaines étapes non définies, attente de premières interactions ou retours.&lt;/p&gt;</v>
      </c>
      <c r="H40" s="13" cm="1" t="str">
        <f t="array" ref="H40">IF(G40="","",SUBSTITUTE(SUBSTITUTE(SUBSTITUTE(SUBSTITUTE(SUBSTITUTE(G40,"&lt;p&gt;",""),"&lt;/p&gt;",""),"&lt;ul&gt;",""),"&lt;/ul&gt;",""),"&lt;/strong&gt;",""))</f>
        <v>Nouvelle piste créée pour équipe Ventes, lead identifié Thomas Schmitz (TS). Aucun échange, action ou retour prospect enregistré à ce jour. Pas d'activité planifiée ni de suivi constaté. Prochaines étapes non définies, attente de premières interactions ou retours.</v>
      </c>
      <c r="I40" s="14" cm="1" t="str">
        <f t="array" ref="I40">IF(C40="","",IF(OR(H40="",H40=0,H40=FALSE),"-",H40))</f>
        <v>Nouvelle piste créée pour équipe Ventes, lead identifié Thomas Schmitz (TS). Aucun échange, action ou retour prospect enregistré à ce jour. Pas d'activité planifiée ni de suivi constaté. Prochaines étapes non définies, attente de premières interactions ou retours.</v>
      </c>
      <c r="J40" s="8" t="s">
        <v>168</v>
      </c>
      <c r="K40" s="8" t="s">
        <v>157</v>
      </c>
      <c r="L40" s="9" cm="1" t="str">
        <f t="array" ref="L40">IF(C40="","",IF(K40="Mort / Plus rien à faire","KO","OK"))</f>
        <v>OK</v>
      </c>
      <c r="M40" s="15">
        <v>46087.477060185185</v>
      </c>
      <c r="N40" s="15" cm="1" t="n">
        <f t="array" ref="N40">IF(OR(C40="",M40="",M40=0),"",M40)</f>
        <v>46087.477060185185</v>
      </c>
      <c r="O40" s="15">
        <v>46108.041666666664</v>
      </c>
      <c r="P40" s="15" cm="1" t="n">
        <f t="array" ref="P40">IF(C40="","",IF(OR(O40="",O40=0),"-",O40))</f>
        <v>46108.041666666664</v>
      </c>
      <c r="Q40" s="16">
        <v>1000000</v>
      </c>
      <c r="R40" s="16" cm="1" t="str">
        <f t="array" ref="R40">IF(C40="","",ROUND(Q40/1000000,3)&amp;" M€")</f>
        <v>1 M€</v>
      </c>
      <c r="S40" s="12" t="s">
        <v>134</v>
      </c>
      <c r="T40" s="9" cm="1" t="str">
        <f t="array" ref="T40">IF(C40="","",SUBSTITUTE(S40,"","")&amp;"%")</f>
        <v>10%</v>
      </c>
      <c r="U40" s="9" cm="1" t="str">
        <f t="array" ref="U40">IF(($N40="")*($P40=""),"",IF(($N40&lt;&gt;"")*($N40&gt;TODAY()-9)*($N40&lt;TODAY()+1)*($P40&lt;&gt;"")*($P40&gt;=TODAY())*($P40&lt;=TODAY()+13),"Semaine passée &amp; à venir",IF(($N40&lt;&gt;"")*($N40&gt;TODAY()-9)*($N40&lt;TODAY()+1),"Semaine passée",IF(($P40&lt;&gt;"")*($P40&gt;=TODAY())*($P40&lt;=TODAY()+13),"À venir","Autre"))))</f>
        <v>Semaine passée</v>
      </c>
      <c r="V40" s="8" cm="1" t="n">
        <f t="array" ref="V40">IF(C40&lt;&gt;"",1,0)</f>
        <v>1</v>
      </c>
      <c r="W40" s="8">
</c>
      <c r="X40" s="8">
</c>
      <c r="Y40" s="8">
</c>
      <c r="Z40" s="8">
</c>
      <c r="AA40" s="8">
</c>
      <c r="AB40" s="8">
</c>
      <c r="AC40" s="8">
</c>
      <c r="AD40" s="8">
</c>
      <c r="AE40" s="8">
</c>
      <c r="AF40" s="8">
</c>
      <c r="AG40" s="8">
</c>
      <c r="AH40" s="8">
</c>
      <c r="AI40" s="8">
</c>
      <c r="AJ40" s="8">
</c>
      <c r="AK40" s="8">
</c>
    </row>
    <row r="41" ht="76.5" customHeight="1">
      <c r="A41" s="9" t="s">
        <v>23</v>
      </c>
      <c r="B41" s="9" t="s">
        <v>77</v>
      </c>
      <c r="C41" s="12" t="s">
        <v>169</v>
      </c>
      <c r="D41" s="12" t="s">
        <v>170</v>
      </c>
      <c r="E41" s="9" t="s">
        <v>53</v>
      </c>
      <c r="F41" s="8" t="s">
        <v>171</v>
      </c>
      <c r="G41" s="13" cm="1" t="str">
        <f t="array" ref="G41">IF(F41="","",SUBSTITUTE(SUBSTITUTE(SUBSTITUTE(SUBSTITUTE(F41,"&lt;li&gt;",CHAR(10)),"&lt;/li&gt;",""),"&lt;br&gt;",CHAR(10)),"&lt;strong&gt;",""))</f>
        <v>&lt;p&gt;Piste créée pour équipe Ventes. 26/02/2026 : call pour signature convention distribution fonds. En attente KYC distributeur. Enrichissement lead impossible (email non valide). Aucune activité planifiée ou réalisée depuis, prochaine étape : finaliser KYC pour avancer.&lt;/p&gt;</v>
      </c>
      <c r="H41" s="13" cm="1" t="str">
        <f t="array" ref="H41">IF(G41="","",SUBSTITUTE(SUBSTITUTE(SUBSTITUTE(SUBSTITUTE(SUBSTITUTE(G41,"&lt;p&gt;",""),"&lt;/p&gt;",""),"&lt;ul&gt;",""),"&lt;/ul&gt;",""),"&lt;/strong&gt;",""))</f>
        <v>Piste créée pour équipe Ventes. 26/02/2026 : call pour signature convention distribution fonds. En attente KYC distributeur. Enrichissement lead impossible (email non valide). Aucune activité planifiée ou réalisée depuis, prochaine étape : finaliser KYC pour avancer.</v>
      </c>
      <c r="I41" s="14" cm="1" t="str">
        <f t="array" ref="I41">IF(C41="","",IF(OR(H41="",H41=0,H41=FALSE),"-",H41))</f>
        <v>Piste créée pour équipe Ventes. 26/02/2026 : call pour signature convention distribution fonds. En attente KYC distributeur. Enrichissement lead impossible (email non valide). Aucune activité planifiée ou réalisée depuis, prochaine étape : finaliser KYC pour avancer.</v>
      </c>
      <c r="J41" s="8">
</c>
      <c r="K41" s="8" t="s">
        <v>35</v>
      </c>
      <c r="L41" s="9" cm="1" t="str">
        <f t="array" ref="L41">IF(C41="","",IF(K41="Mort / Plus rien à faire","KO","OK"))</f>
        <v>OK</v>
      </c>
      <c r="M41" s="15">
        <v>46087.70774305556</v>
      </c>
      <c r="N41" s="15" cm="1" t="n">
        <f t="array" ref="N41">IF(OR(C41="",M41="",M41=0),"",M41)</f>
        <v>46087.70774305556</v>
      </c>
      <c r="O41" s="15">
</c>
      <c r="P41" s="15" cm="1" t="str">
        <f t="array" ref="P41">IF(C41="","",IF(OR(O41="",O41=0),"-",O41))</f>
        <v>-</v>
      </c>
      <c r="Q41" s="16">
        <v>0</v>
      </c>
      <c r="R41" s="16" cm="1" t="str">
        <f t="array" ref="R41">IF(C41="","",ROUND(Q41/1000000,3)&amp;" M€")</f>
        <v>0 M€</v>
      </c>
      <c r="S41" s="12" t="s">
        <v>134</v>
      </c>
      <c r="T41" s="9" cm="1" t="str">
        <f t="array" ref="T41">IF(C41="","",SUBSTITUTE(S41,"","")&amp;"%")</f>
        <v>10%</v>
      </c>
      <c r="U41" s="9" cm="1" t="str">
        <f t="array" ref="U41">IF(($N41="")*($P41=""),"",IF(($N41&lt;&gt;"")*($N41&gt;TODAY()-9)*($N41&lt;TODAY()+1)*($P41&lt;&gt;"")*($P41&gt;=TODAY())*($P41&lt;=TODAY()+13),"Semaine passée &amp; à venir",IF(($N41&lt;&gt;"")*($N41&gt;TODAY()-9)*($N41&lt;TODAY()+1),"Semaine passée",IF(($P41&lt;&gt;"")*($P41&gt;=TODAY())*($P41&lt;=TODAY()+13),"À venir","Autre"))))</f>
        <v>Semaine passée</v>
      </c>
      <c r="V41" s="8" cm="1" t="n">
        <f t="array" ref="V41">IF(C41&lt;&gt;"",1,0)</f>
        <v>1</v>
      </c>
      <c r="W41" s="8">
</c>
      <c r="X41" s="8">
</c>
      <c r="Y41" s="8">
</c>
      <c r="Z41" s="8">
</c>
      <c r="AA41" s="8">
</c>
      <c r="AB41" s="8">
</c>
      <c r="AC41" s="8">
</c>
      <c r="AD41" s="8">
</c>
      <c r="AE41" s="8">
</c>
      <c r="AF41" s="8">
</c>
      <c r="AG41" s="8">
</c>
      <c r="AH41" s="8">
</c>
      <c r="AI41" s="8">
</c>
      <c r="AJ41" s="8">
</c>
      <c r="AK41" s="8">
</c>
    </row>
    <row r="42" ht="76.5" customHeight="1">
      <c r="A42" s="9" t="s">
        <v>23</v>
      </c>
      <c r="B42" s="9" t="s">
        <v>37</v>
      </c>
      <c r="C42" s="12" t="s">
        <v>172</v>
      </c>
      <c r="D42" s="12" t="s">
        <v>173</v>
      </c>
      <c r="E42" s="9" t="s">
        <v>27</v>
      </c>
      <c r="F42" s="8" t="s">
        <v>174</v>
      </c>
      <c r="G42" s="13" cm="1" t="str">
        <f t="array" ref="G42">IF(F42="","",SUBSTITUTE(SUBSTITUTE(SUBSTITUTE(SUBSTITUTE(F42,"&lt;li&gt;",CHAR(10)),"&lt;/li&gt;",""),"&lt;br&gt;",CHAR(10)),"&lt;strong&gt;",""))</f>
        <v>&lt;p&gt;Aucune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ferroviaires.&lt;/p&gt;</v>
      </c>
      <c r="H42" s="13" cm="1" t="str">
        <f t="array" ref="H42">IF(G42="","",SUBSTITUTE(SUBSTITUTE(SUBSTITUTE(SUBSTITUTE(SUBSTITUTE(G42,"&lt;p&gt;",""),"&lt;/p&gt;",""),"&lt;ul&gt;",""),"&lt;/ul&gt;",""),"&lt;/strong&gt;",""))</f>
        <v>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v>
      </c>
      <c r="I42" s="14" cm="1" t="str">
        <f t="array" ref="I42">IF(C42="","",IF(OR(H42="",H42=0,H42=FALSE),"-",H42))</f>
        <v>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v>
      </c>
      <c r="J42" s="8">
</c>
      <c r="K42" s="8" t="s">
        <v>157</v>
      </c>
      <c r="L42" s="9" cm="1" t="str">
        <f t="array" ref="L42">IF(C42="","",IF(K42="Mort / Plus rien à faire","KO","OK"))</f>
        <v>OK</v>
      </c>
      <c r="M42" s="15">
        <v>46028.566458333335</v>
      </c>
      <c r="N42" s="15" cm="1" t="n">
        <f t="array" ref="N42">IF(OR(C42="",M42="",M42=0),"",M42)</f>
        <v>46028.566458333335</v>
      </c>
      <c r="O42" s="15">
</c>
      <c r="P42" s="15" cm="1" t="str">
        <f t="array" ref="P42">IF(C42="","",IF(OR(O42="",O42=0),"-",O42))</f>
        <v>-</v>
      </c>
      <c r="Q42" s="16">
        <v>0</v>
      </c>
      <c r="R42" s="16" cm="1" t="str">
        <f t="array" ref="R42">IF(C42="","",ROUND(Q42/1000000,3)&amp;" M€")</f>
        <v>0 M€</v>
      </c>
      <c r="S42" s="12" t="s">
        <v>134</v>
      </c>
      <c r="T42" s="9" cm="1" t="str">
        <f t="array" ref="T42">IF(C42="","",SUBSTITUTE(S42,"","")&amp;"%")</f>
        <v>10%</v>
      </c>
      <c r="U42" s="9" cm="1" t="str">
        <f t="array" ref="U42">IF(($N42="")*($P42=""),"",IF(($N42&lt;&gt;"")*($N42&gt;TODAY()-9)*($N42&lt;TODAY()+1)*($P42&lt;&gt;"")*($P42&gt;=TODAY())*($P42&lt;=TODAY()+13),"Semaine passée &amp; à venir",IF(($N42&lt;&gt;"")*($N42&gt;TODAY()-9)*($N42&lt;TODAY()+1),"Semaine passée",IF(($P42&lt;&gt;"")*($P42&gt;=TODAY())*($P42&lt;=TODAY()+13),"À venir","Autre"))))</f>
        <v>Autre</v>
      </c>
      <c r="V42" s="8" cm="1" t="n">
        <f t="array" ref="V42">IF(C42&lt;&gt;"",1,0)</f>
        <v>1</v>
      </c>
      <c r="W42" s="8">
</c>
      <c r="X42" s="8">
</c>
      <c r="Y42" s="8">
</c>
      <c r="Z42" s="8">
</c>
      <c r="AA42" s="8">
</c>
      <c r="AB42" s="8">
</c>
      <c r="AC42" s="8">
</c>
      <c r="AD42" s="8">
</c>
      <c r="AE42" s="8">
</c>
      <c r="AF42" s="8">
</c>
      <c r="AG42" s="8">
</c>
      <c r="AH42" s="8">
</c>
      <c r="AI42" s="8">
</c>
      <c r="AJ42" s="8">
</c>
      <c r="AK42" s="8">
</c>
    </row>
    <row r="43" ht="76.5" customHeight="1">
      <c r="A43" s="9" t="s">
        <v>23</v>
      </c>
      <c r="B43" s="9" t="s">
        <v>24</v>
      </c>
      <c r="C43" s="12" t="s">
        <v>175</v>
      </c>
      <c r="D43" s="12" t="s">
        <v>176</v>
      </c>
      <c r="E43" s="9" t="s">
        <v>74</v>
      </c>
      <c r="F43" s="8" t="s">
        <v>177</v>
      </c>
      <c r="G43" s="13" cm="1" t="str">
        <f t="array" ref="G43">IF(F43="","",SUBSTITUTE(SUBSTITUTE(SUBSTITUTE(SUBSTITUTE(F43,"&lt;li&gt;",CHAR(10)),"&lt;/li&gt;",""),"&lt;br&gt;",CHAR(10)),"&lt;strong&gt;",""))</f>
        <v>&lt;p&gt;29/04/2025 RDV AG2R : présentation Straton &amp;amp; Expansion, échanges sur fonds quantique, spatial, défense, nucléaire. AG2R analyse opportunités, questionne thématiques, contraintes internes, intérêt pour fonds Origa et TIBI. 30/04/2025 mail suivi, dossier partagé, ouverture à approfondir défense. 20/02/2026 relance, actualités fonds, proposition RDV. Prochaine étape : présentation Straton, focus défense.&lt;/p&gt;</v>
      </c>
      <c r="H43" s="13" cm="1" t="str">
        <f t="array" ref="H43">IF(G43="","",SUBSTITUTE(SUBSTITUTE(SUBSTITUTE(SUBSTITUTE(SUBSTITUTE(G43,"&lt;p&gt;",""),"&lt;/p&gt;",""),"&lt;ul&gt;",""),"&lt;/ul&gt;",""),"&lt;/strong&gt;",""))</f>
        <v>29/04/2025 RDV AG2R : présentation Straton &amp;amp; Expansion, échanges sur fonds quantique, spatial, défense, nucléaire. AG2R analyse opportunités, questionne thématiques, contraintes internes, intérêt pour fonds Origa et TIBI. 30/04/2025 mail suivi, dossier partagé, ouverture à approfondir défense. 20/02/2026 relance, actualités fonds, proposition RDV. Prochaine étape : présentation Straton, focus défense.</v>
      </c>
      <c r="I43" s="14" cm="1" t="str">
        <f t="array" ref="I43">IF(C43="","",IF(OR(H43="",H43=0,H43=FALSE),"-",H43))</f>
        <v>29/04/2025 RDV AG2R : présentation Straton &amp;amp; Expansion, échanges sur fonds quantique, spatial, défense, nucléaire. AG2R analyse opportunités, questionne thématiques, contraintes internes, intérêt pour fonds Origa et TIBI. 30/04/2025 mail suivi, dossier partagé, ouverture à approfondir défense. 20/02/2026 relance, actualités fonds, proposition RDV. Prochaine étape : présentation Straton, focus défense.</v>
      </c>
      <c r="J43" s="8">
</c>
      <c r="K43" s="8" t="s">
        <v>35</v>
      </c>
      <c r="L43" s="9" cm="1" t="str">
        <f t="array" ref="L43">IF(C43="","",IF(K43="Mort / Plus rien à faire","KO","OK"))</f>
        <v>OK</v>
      </c>
      <c r="M43" s="15">
        <v>46073.73292824074</v>
      </c>
      <c r="N43" s="15" cm="1" t="n">
        <f t="array" ref="N43">IF(OR(C43="",M43="",M43=0),"",M43)</f>
        <v>46073.73292824074</v>
      </c>
      <c r="O43" s="15">
</c>
      <c r="P43" s="15" cm="1" t="str">
        <f t="array" ref="P43">IF(C43="","",IF(OR(O43="",O43=0),"-",O43))</f>
        <v>-</v>
      </c>
      <c r="Q43" s="16">
        <v>0</v>
      </c>
      <c r="R43" s="16" cm="1" t="str">
        <f t="array" ref="R43">IF(C43="","",ROUND(Q43/1000000,3)&amp;" M€")</f>
        <v>0 M€</v>
      </c>
      <c r="S43" s="12" t="s">
        <v>134</v>
      </c>
      <c r="T43" s="9" cm="1" t="str">
        <f t="array" ref="T43">IF(C43="","",SUBSTITUTE(S43,"","")&amp;"%")</f>
        <v>10%</v>
      </c>
      <c r="U43" s="9" cm="1" t="str">
        <f t="array" ref="U43">IF(($N43="")*($P43=""),"",IF(($N43&lt;&gt;"")*($N43&gt;TODAY()-9)*($N43&lt;TODAY()+1)*($P43&lt;&gt;"")*($P43&gt;=TODAY())*($P43&lt;=TODAY()+13),"Semaine passée &amp; à venir",IF(($N43&lt;&gt;"")*($N43&gt;TODAY()-9)*($N43&lt;TODAY()+1),"Semaine passée",IF(($P43&lt;&gt;"")*($P43&gt;=TODAY())*($P43&lt;=TODAY()+13),"À venir","Autre"))))</f>
        <v>Autre</v>
      </c>
      <c r="V43" s="8" cm="1" t="n">
        <f t="array" ref="V43">IF(C43&lt;&gt;"",1,0)</f>
        <v>1</v>
      </c>
      <c r="W43" s="8">
</c>
      <c r="X43" s="8">
</c>
      <c r="Y43" s="8">
</c>
      <c r="Z43" s="8">
</c>
      <c r="AA43" s="8">
</c>
      <c r="AB43" s="8">
</c>
      <c r="AC43" s="8">
</c>
      <c r="AD43" s="8">
</c>
      <c r="AE43" s="8">
</c>
      <c r="AF43" s="8">
</c>
      <c r="AG43" s="8">
</c>
      <c r="AH43" s="8">
</c>
      <c r="AI43" s="8">
</c>
      <c r="AJ43" s="8">
</c>
      <c r="AK43" s="8">
</c>
    </row>
    <row r="44" ht="76.5" customHeight="1">
      <c r="A44" s="9" t="s">
        <v>23</v>
      </c>
      <c r="B44" s="9" t="s">
        <v>24</v>
      </c>
      <c r="C44" s="12" t="s">
        <v>178</v>
      </c>
      <c r="D44" s="12" t="s">
        <v>179</v>
      </c>
      <c r="E44" s="9" t="s">
        <v>27</v>
      </c>
      <c r="F44" s="8" t="s">
        <v>180</v>
      </c>
      <c r="G44" s="13" cm="1" t="str">
        <f t="array" ref="G44">IF(F44="","",SUBSTITUTE(SUBSTITUTE(SUBSTITUTE(SUBSTITUTE(F44,"&lt;li&gt;",CHAR(10)),"&lt;/li&gt;",""),"&lt;br&gt;",CHAR(10)),"&lt;strong&gt;",""))</f>
        <v>&lt;p&gt;RDV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2026.&lt;/p&gt;</v>
      </c>
      <c r="H44" s="13" cm="1" t="str">
        <f t="array" ref="H44">IF(G44="","",SUBSTITUTE(SUBSTITUTE(SUBSTITUTE(SUBSTITUTE(SUBSTITUTE(G44,"&lt;p&gt;",""),"&lt;/p&gt;",""),"&lt;ul&gt;",""),"&lt;/ul&gt;",""),"&lt;/strong&gt;",""))</f>
        <v>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v>
      </c>
      <c r="I44" s="14" cm="1" t="str">
        <f t="array" ref="I44">IF(C44="","",IF(OR(H44="",H44=0,H44=FALSE),"-",H44))</f>
        <v>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v>
      </c>
      <c r="J44" s="8">
</c>
      <c r="K44" s="8" t="s">
        <v>157</v>
      </c>
      <c r="L44" s="9" cm="1" t="str">
        <f t="array" ref="L44">IF(C44="","",IF(K44="Mort / Plus rien à faire","KO","OK"))</f>
        <v>OK</v>
      </c>
      <c r="M44" s="15">
        <v>46055.764328703706</v>
      </c>
      <c r="N44" s="15" cm="1" t="n">
        <f t="array" ref="N44">IF(OR(C44="",M44="",M44=0),"",M44)</f>
        <v>46055.764328703706</v>
      </c>
      <c r="O44" s="15">
</c>
      <c r="P44" s="15" cm="1" t="str">
        <f t="array" ref="P44">IF(C44="","",IF(OR(O44="",O44=0),"-",O44))</f>
        <v>-</v>
      </c>
      <c r="Q44" s="16">
        <v>0</v>
      </c>
      <c r="R44" s="16" cm="1" t="str">
        <f t="array" ref="R44">IF(C44="","",ROUND(Q44/1000000,3)&amp;" M€")</f>
        <v>0 M€</v>
      </c>
      <c r="S44" s="12" t="s">
        <v>134</v>
      </c>
      <c r="T44" s="9" cm="1" t="str">
        <f t="array" ref="T44">IF(C44="","",SUBSTITUTE(S44,"","")&amp;"%")</f>
        <v>10%</v>
      </c>
      <c r="U44" s="9" cm="1" t="str">
        <f t="array" ref="U44">IF(($N44="")*($P44=""),"",IF(($N44&lt;&gt;"")*($N44&gt;TODAY()-9)*($N44&lt;TODAY()+1)*($P44&lt;&gt;"")*($P44&gt;=TODAY())*($P44&lt;=TODAY()+13),"Semaine passée &amp; à venir",IF(($N44&lt;&gt;"")*($N44&gt;TODAY()-9)*($N44&lt;TODAY()+1),"Semaine passée",IF(($P44&lt;&gt;"")*($P44&gt;=TODAY())*($P44&lt;=TODAY()+13),"À venir","Autre"))))</f>
        <v>Autre</v>
      </c>
      <c r="V44" s="8" cm="1" t="n">
        <f t="array" ref="V44">IF(C44&lt;&gt;"",1,0)</f>
        <v>1</v>
      </c>
      <c r="W44" s="8">
</c>
      <c r="X44" s="8">
</c>
      <c r="Y44" s="8">
</c>
      <c r="Z44" s="8">
</c>
      <c r="AA44" s="8">
</c>
      <c r="AB44" s="8">
</c>
      <c r="AC44" s="8">
</c>
      <c r="AD44" s="8">
</c>
      <c r="AE44" s="8">
</c>
      <c r="AF44" s="8">
</c>
      <c r="AG44" s="8">
</c>
      <c r="AH44" s="8">
</c>
      <c r="AI44" s="8">
</c>
      <c r="AJ44" s="8">
</c>
      <c r="AK44" s="8">
</c>
    </row>
    <row r="45" ht="76.5" customHeight="1">
      <c r="A45" s="9" t="s">
        <v>23</v>
      </c>
      <c r="B45" s="9" t="s">
        <v>82</v>
      </c>
      <c r="C45" s="12" t="s">
        <v>181</v>
      </c>
      <c r="D45" s="12" t="s">
        <v>181</v>
      </c>
      <c r="E45" s="9" t="s">
        <v>53</v>
      </c>
      <c r="F45" s="8" t="s">
        <v>182</v>
      </c>
      <c r="G45" s="13" cm="1" t="str">
        <f t="array" ref="G45">IF(F45="","",SUBSTITUTE(SUBSTITUTE(SUBSTITUTE(SUBSTITUTE(F45,"&lt;li&gt;",CHAR(10)),"&lt;/li&gt;",""),"&lt;br&gt;",CHAR(10)),"&lt;strong&gt;",""))</f>
        <v>&lt;p&gt;Intérêt initial pour diversification/remploi (ex-CEO SDG Matjys). Café le 24/02, ticket jugé trop important par prospect. Dernier échange : prospect se consacre à l'achat de son appartement, projet mis en pause. Prochaine action : prise de news prévue le 04/01/2027.&lt;/p&gt;</v>
      </c>
      <c r="H45" s="13" cm="1" t="str">
        <f t="array" ref="H45">IF(G45="","",SUBSTITUTE(SUBSTITUTE(SUBSTITUTE(SUBSTITUTE(SUBSTITUTE(G45,"&lt;p&gt;",""),"&lt;/p&gt;",""),"&lt;ul&gt;",""),"&lt;/ul&gt;",""),"&lt;/strong&gt;",""))</f>
        <v>Intérêt initial pour diversification/remploi (ex-CEO SDG Matjys). Café le 24/02, ticket jugé trop important par prospect. Dernier échange : prospect se consacre à l'achat de son appartement, projet mis en pause. Prochaine action : prise de news prévue le 04/01/2027.</v>
      </c>
      <c r="I45" s="14" cm="1" t="str">
        <f t="array" ref="I45">IF(C45="","",IF(OR(H45="",H45=0,H45=FALSE),"-",H45))</f>
        <v>Intérêt initial pour diversification/remploi (ex-CEO SDG Matjys). Café le 24/02, ticket jugé trop important par prospect. Dernier échange : prospect se consacre à l'achat de son appartement, projet mis en pause. Prochaine action : prise de news prévue le 04/01/2027.</v>
      </c>
      <c r="J45" s="8" t="s">
        <v>55</v>
      </c>
      <c r="K45" s="8" t="s">
        <v>65</v>
      </c>
      <c r="L45" s="9" cm="1" t="str">
        <f t="array" ref="L45">IF(C45="","",IF(K45="Mort / Plus rien à faire","KO","OK"))</f>
        <v>OK</v>
      </c>
      <c r="M45" s="15">
        <v>46087.70153935185</v>
      </c>
      <c r="N45" s="15" cm="1" t="n">
        <f t="array" ref="N45">IF(OR(C45="",M45="",M45=0),"",M45)</f>
        <v>46087.70153935185</v>
      </c>
      <c r="O45" s="15">
        <v>46391.041666666664</v>
      </c>
      <c r="P45" s="15" cm="1" t="n">
        <f t="array" ref="P45">IF(C45="","",IF(OR(O45="",O45=0),"-",O45))</f>
        <v>46391.041666666664</v>
      </c>
      <c r="Q45" s="16">
        <v>0</v>
      </c>
      <c r="R45" s="16" cm="1" t="str">
        <f t="array" ref="R45">IF(C45="","",ROUND(Q45/1000000,3)&amp;" M€")</f>
        <v>0 M€</v>
      </c>
      <c r="S45" s="12" t="s">
        <v>134</v>
      </c>
      <c r="T45" s="9" cm="1" t="str">
        <f t="array" ref="T45">IF(C45="","",SUBSTITUTE(S45,"","")&amp;"%")</f>
        <v>10%</v>
      </c>
      <c r="U45" s="9" cm="1" t="str">
        <f t="array" ref="U45">IF(($N45="")*($P45=""),"",IF(($N45&lt;&gt;"")*($N45&gt;TODAY()-9)*($N45&lt;TODAY()+1)*($P45&lt;&gt;"")*($P45&gt;=TODAY())*($P45&lt;=TODAY()+13),"Semaine passée &amp; à venir",IF(($N45&lt;&gt;"")*($N45&gt;TODAY()-9)*($N45&lt;TODAY()+1),"Semaine passée",IF(($P45&lt;&gt;"")*($P45&gt;=TODAY())*($P45&lt;=TODAY()+13),"À venir","Autre"))))</f>
        <v>Semaine passée</v>
      </c>
      <c r="V45" s="8" cm="1" t="n">
        <f t="array" ref="V45">IF(C45&lt;&gt;"",1,0)</f>
        <v>1</v>
      </c>
      <c r="W45" s="8">
</c>
      <c r="X45" s="8">
</c>
      <c r="Y45" s="8">
</c>
      <c r="Z45" s="8">
</c>
      <c r="AA45" s="8">
</c>
      <c r="AB45" s="8">
</c>
      <c r="AC45" s="8">
</c>
      <c r="AD45" s="8">
</c>
      <c r="AE45" s="8">
</c>
      <c r="AF45" s="8">
</c>
      <c r="AG45" s="8">
</c>
      <c r="AH45" s="8">
</c>
      <c r="AI45" s="8">
</c>
      <c r="AJ45" s="8">
</c>
      <c r="AK45" s="8">
</c>
    </row>
    <row r="46" ht="76.5" customHeight="1">
      <c r="A46" s="9" t="s">
        <v>23</v>
      </c>
      <c r="B46" s="9" t="s">
        <v>50</v>
      </c>
      <c r="C46" s="12" t="s">
        <v>183</v>
      </c>
      <c r="D46" s="12" t="s">
        <v>184</v>
      </c>
      <c r="E46" s="9" t="s">
        <v>53</v>
      </c>
      <c r="F46" s="8" t="s">
        <v>185</v>
      </c>
      <c r="G46" s="13" cm="1" t="str">
        <f t="array" ref="G46">IF(F46="","",SUBSTITUTE(SUBSTITUTE(SUBSTITUTE(SUBSTITUTE(F46,"&lt;li&gt;",CHAR(10)),"&lt;/li&gt;",""),"&lt;br&gt;",CHAR(10)),"&lt;strong&gt;",""))</f>
        <v>&lt;p&gt;Projet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stade.&lt;/p&gt;</v>
      </c>
      <c r="H46" s="13" cm="1" t="str">
        <f t="array" ref="H46">IF(G46="","",SUBSTITUTE(SUBSTITUTE(SUBSTITUTE(SUBSTITUTE(SUBSTITUTE(G46,"&lt;p&gt;",""),"&lt;/p&gt;",""),"&lt;ul&gt;",""),"&lt;/ul&gt;",""),"&lt;/strong&gt;",""))</f>
        <v>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v>
      </c>
      <c r="I46" s="14" cm="1" t="str">
        <f t="array" ref="I46">IF(C46="","",IF(OR(H46="",H46=0,H46=FALSE),"-",H46))</f>
        <v>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v>
      </c>
      <c r="J46" s="8">
</c>
      <c r="K46" s="8" t="s">
        <v>35</v>
      </c>
      <c r="L46" s="9" cm="1" t="str">
        <f t="array" ref="L46">IF(C46="","",IF(K46="Mort / Plus rien à faire","KO","OK"))</f>
        <v>OK</v>
      </c>
      <c r="M46" s="15">
        <v>46050.68894675926</v>
      </c>
      <c r="N46" s="15" cm="1" t="n">
        <f t="array" ref="N46">IF(OR(C46="",M46="",M46=0),"",M46)</f>
        <v>46050.68894675926</v>
      </c>
      <c r="O46" s="15">
</c>
      <c r="P46" s="15" cm="1" t="str">
        <f t="array" ref="P46">IF(C46="","",IF(OR(O46="",O46=0),"-",O46))</f>
        <v>-</v>
      </c>
      <c r="Q46" s="16">
        <v>0</v>
      </c>
      <c r="R46" s="16" cm="1" t="str">
        <f t="array" ref="R46">IF(C46="","",ROUND(Q46/1000000,3)&amp;" M€")</f>
        <v>0 M€</v>
      </c>
      <c r="S46" s="12" t="s">
        <v>134</v>
      </c>
      <c r="T46" s="9" cm="1" t="str">
        <f t="array" ref="T46">IF(C46="","",SUBSTITUTE(S46,"","")&amp;"%")</f>
        <v>10%</v>
      </c>
      <c r="U46" s="9" cm="1" t="str">
        <f t="array" ref="U46">IF(($N46="")*($P46=""),"",IF(($N46&lt;&gt;"")*($N46&gt;TODAY()-9)*($N46&lt;TODAY()+1)*($P46&lt;&gt;"")*($P46&gt;=TODAY())*($P46&lt;=TODAY()+13),"Semaine passée &amp; à venir",IF(($N46&lt;&gt;"")*($N46&gt;TODAY()-9)*($N46&lt;TODAY()+1),"Semaine passée",IF(($P46&lt;&gt;"")*($P46&gt;=TODAY())*($P46&lt;=TODAY()+13),"À venir","Autre"))))</f>
        <v>Autre</v>
      </c>
      <c r="V46" s="8" cm="1" t="n">
        <f t="array" ref="V46">IF(C46&lt;&gt;"",1,0)</f>
        <v>1</v>
      </c>
      <c r="W46" s="8">
</c>
      <c r="X46" s="8">
</c>
      <c r="Y46" s="8">
</c>
      <c r="Z46" s="8">
</c>
      <c r="AA46" s="8">
</c>
      <c r="AB46" s="8">
</c>
      <c r="AC46" s="8">
</c>
      <c r="AD46" s="8">
</c>
      <c r="AE46" s="8">
</c>
      <c r="AF46" s="8">
</c>
      <c r="AG46" s="8">
</c>
      <c r="AH46" s="8">
</c>
      <c r="AI46" s="8">
</c>
      <c r="AJ46" s="8">
</c>
      <c r="AK46" s="8">
</c>
    </row>
    <row r="47" ht="76.5" customHeight="1">
      <c r="A47" s="9" t="s">
        <v>23</v>
      </c>
      <c r="B47" s="9" t="s">
        <v>82</v>
      </c>
      <c r="C47" s="12" t="s">
        <v>186</v>
      </c>
      <c r="D47" s="12" t="s">
        <v>187</v>
      </c>
      <c r="E47" s="9" t="s">
        <v>53</v>
      </c>
      <c r="F47" s="8" t="s">
        <v>188</v>
      </c>
      <c r="G47" s="13" cm="1" t="str">
        <f t="array" ref="G47">IF(F47="","",SUBSTITUTE(SUBSTITUTE(SUBSTITUTE(SUBSTITUTE(F47,"&lt;li&gt;",CHAR(10)),"&lt;/li&gt;",""),"&lt;br&gt;",CHAR(10)),"&lt;strong&gt;",""))</f>
        <v>&lt;p&gt;Déjeuner prévu le 26/03 avec Famille Derville, participants Charles et Olivier. Aucun retour prospect ni échange significatif enregistré à ce jour. Pas d'avis prospect sur fonds. Prochaine étape : RDV physique à venir. Aucun appel ni message détaillé dans l'historique récent.&lt;/p&gt;</v>
      </c>
      <c r="H47" s="13" cm="1" t="str">
        <f t="array" ref="H47">IF(G47="","",SUBSTITUTE(SUBSTITUTE(SUBSTITUTE(SUBSTITUTE(SUBSTITUTE(G47,"&lt;p&gt;",""),"&lt;/p&gt;",""),"&lt;ul&gt;",""),"&lt;/ul&gt;",""),"&lt;/strong&gt;",""))</f>
        <v>Déjeuner prévu le 26/03 avec Famille Derville, participants Charles et Olivier. Aucun retour prospect ni échange significatif enregistré à ce jour. Pas d'avis prospect sur fonds. Prochaine étape : RDV physique à venir. Aucun appel ni message détaillé dans l'historique récent.</v>
      </c>
      <c r="I47" s="14" cm="1" t="str">
        <f t="array" ref="I47">IF(C47="","",IF(OR(H47="",H47=0,H47=FALSE),"-",H47))</f>
        <v>Déjeuner prévu le 26/03 avec Famille Derville, participants Charles et Olivier. Aucun retour prospect ni échange significatif enregistré à ce jour. Pas d'avis prospect sur fonds. Prochaine étape : RDV physique à venir. Aucun appel ni message détaillé dans l'historique récent.</v>
      </c>
      <c r="J47" s="8" t="s">
        <v>189</v>
      </c>
      <c r="K47" s="8" t="s">
        <v>35</v>
      </c>
      <c r="L47" s="9" cm="1" t="str">
        <f t="array" ref="L47">IF(C47="","",IF(K47="Mort / Plus rien à faire","KO","OK"))</f>
        <v>OK</v>
      </c>
      <c r="M47" s="15">
        <v>46056.518541666665</v>
      </c>
      <c r="N47" s="15" cm="1" t="n">
        <f t="array" ref="N47">IF(OR(C47="",M47="",M47=0),"",M47)</f>
        <v>46056.518541666665</v>
      </c>
      <c r="O47" s="15">
        <v>46107.041666666664</v>
      </c>
      <c r="P47" s="15" cm="1" t="n">
        <f t="array" ref="P47">IF(C47="","",IF(OR(O47="",O47=0),"-",O47))</f>
        <v>46107.041666666664</v>
      </c>
      <c r="Q47" s="16">
        <v>0</v>
      </c>
      <c r="R47" s="16" cm="1" t="str">
        <f t="array" ref="R47">IF(C47="","",ROUND(Q47/1000000,3)&amp;" M€")</f>
        <v>0 M€</v>
      </c>
      <c r="S47" s="12" t="s">
        <v>134</v>
      </c>
      <c r="T47" s="9" cm="1" t="str">
        <f t="array" ref="T47">IF(C47="","",SUBSTITUTE(S47,"","")&amp;"%")</f>
        <v>10%</v>
      </c>
      <c r="U47" s="9" cm="1" t="str">
        <f t="array" ref="U47">IF(($N47="")*($P47=""),"",IF(($N47&lt;&gt;"")*($N47&gt;TODAY()-9)*($N47&lt;TODAY()+1)*($P47&lt;&gt;"")*($P47&gt;=TODAY())*($P47&lt;=TODAY()+13),"Semaine passée &amp; à venir",IF(($N47&lt;&gt;"")*($N47&gt;TODAY()-9)*($N47&lt;TODAY()+1),"Semaine passée",IF(($P47&lt;&gt;"")*($P47&gt;=TODAY())*($P47&lt;=TODAY()+13),"À venir","Autre"))))</f>
        <v>Autre</v>
      </c>
      <c r="V47" s="8" cm="1" t="n">
        <f t="array" ref="V47">IF(C47&lt;&gt;"",1,0)</f>
        <v>1</v>
      </c>
      <c r="W47" s="8">
</c>
      <c r="X47" s="8">
</c>
      <c r="Y47" s="8">
</c>
      <c r="Z47" s="8">
</c>
      <c r="AA47" s="8">
</c>
      <c r="AB47" s="8">
</c>
      <c r="AC47" s="8">
</c>
      <c r="AD47" s="8">
</c>
      <c r="AE47" s="8">
</c>
      <c r="AF47" s="8">
</c>
      <c r="AG47" s="8">
</c>
      <c r="AH47" s="8">
</c>
      <c r="AI47" s="8">
</c>
      <c r="AJ47" s="8">
</c>
      <c r="AK47" s="8">
</c>
    </row>
    <row r="48" ht="76.5" customHeight="1">
      <c r="A48" s="9" t="s">
        <v>23</v>
      </c>
      <c r="B48" s="9" t="s">
        <v>190</v>
      </c>
      <c r="C48" s="12" t="s">
        <v>191</v>
      </c>
      <c r="D48" s="12" t="s">
        <v>192</v>
      </c>
      <c r="E48" s="9" t="s">
        <v>27</v>
      </c>
      <c r="F48" s="8" t="s">
        <v>193</v>
      </c>
      <c r="G48" s="13" cm="1" t="str">
        <f t="array" ref="G48">IF(F48="","",SUBSTITUTE(SUBSTITUTE(SUBSTITUTE(SUBSTITUTE(F48,"&lt;li&gt;",CHAR(10)),"&lt;/li&gt;",""),"&lt;br&gt;",CHAR(10)),"&lt;strong&gt;",""))</f>
        <v>&lt;p&gt;RDV physique 27/01/2026 avec Normandie Participations : fonds régional 100M€, 60 participations, ticket capé, focus PME/ETI, lancement fonds défense, intérêt pour dealflow normand, rassurant pour dirigeants. Prochaine étape : présenter dealflow Normand, deadline 07/05/2026.&lt;/p&gt;</v>
      </c>
      <c r="H48" s="13" cm="1" t="str">
        <f t="array" ref="H48">IF(G48="","",SUBSTITUTE(SUBSTITUTE(SUBSTITUTE(SUBSTITUTE(SUBSTITUTE(G48,"&lt;p&gt;",""),"&lt;/p&gt;",""),"&lt;ul&gt;",""),"&lt;/ul&gt;",""),"&lt;/strong&gt;",""))</f>
        <v>RDV physique 27/01/2026 avec Normandie Participations : fonds régional 100M€, 60 participations, ticket capé, focus PME/ETI, lancement fonds défense, intérêt pour dealflow normand, rassurant pour dirigeants. Prochaine étape : présenter dealflow Normand, deadline 07/05/2026.</v>
      </c>
      <c r="I48" s="14" cm="1" t="str">
        <f t="array" ref="I48">IF(C48="","",IF(OR(H48="",H48=0,H48=FALSE),"-",H48))</f>
        <v>RDV physique 27/01/2026 avec Normandie Participations : fonds régional 100M€, 60 participations, ticket capé, focus PME/ETI, lancement fonds défense, intérêt pour dealflow normand, rassurant pour dirigeants. Prochaine étape : présenter dealflow Normand, deadline 07/05/2026.</v>
      </c>
      <c r="J48" s="8" t="s">
        <v>194</v>
      </c>
      <c r="K48" s="8" t="s">
        <v>65</v>
      </c>
      <c r="L48" s="9" cm="1" t="str">
        <f t="array" ref="L48">IF(C48="","",IF(K48="Mort / Plus rien à faire","KO","OK"))</f>
        <v>OK</v>
      </c>
      <c r="M48" s="15">
        <v>46050.662777777776</v>
      </c>
      <c r="N48" s="15" cm="1" t="n">
        <f t="array" ref="N48">IF(OR(C48="",M48="",M48=0),"",M48)</f>
        <v>46050.662777777776</v>
      </c>
      <c r="O48" s="15">
        <v>46149.083333333336</v>
      </c>
      <c r="P48" s="15" cm="1" t="n">
        <f t="array" ref="P48">IF(C48="","",IF(OR(O48="",O48=0),"-",O48))</f>
        <v>46149.083333333336</v>
      </c>
      <c r="Q48" s="16">
        <v>0</v>
      </c>
      <c r="R48" s="16" cm="1" t="str">
        <f t="array" ref="R48">IF(C48="","",ROUND(Q48/1000000,3)&amp;" M€")</f>
        <v>0 M€</v>
      </c>
      <c r="S48" s="12" t="s">
        <v>134</v>
      </c>
      <c r="T48" s="9" cm="1" t="str">
        <f t="array" ref="T48">IF(C48="","",SUBSTITUTE(S48,"","")&amp;"%")</f>
        <v>10%</v>
      </c>
      <c r="U48" s="9" cm="1" t="str">
        <f t="array" ref="U48">IF(($N48="")*($P48=""),"",IF(($N48&lt;&gt;"")*($N48&gt;TODAY()-9)*($N48&lt;TODAY()+1)*($P48&lt;&gt;"")*($P48&gt;=TODAY())*($P48&lt;=TODAY()+13),"Semaine passée &amp; à venir",IF(($N48&lt;&gt;"")*($N48&gt;TODAY()-9)*($N48&lt;TODAY()+1),"Semaine passée",IF(($P48&lt;&gt;"")*($P48&gt;=TODAY())*($P48&lt;=TODAY()+13),"À venir","Autre"))))</f>
        <v>Autre</v>
      </c>
      <c r="V48" s="8" cm="1" t="n">
        <f t="array" ref="V48">IF(C48&lt;&gt;"",1,0)</f>
        <v>1</v>
      </c>
      <c r="W48" s="8">
</c>
      <c r="X48" s="8">
</c>
      <c r="Y48" s="8">
</c>
      <c r="Z48" s="8">
</c>
      <c r="AA48" s="8">
</c>
      <c r="AB48" s="8">
</c>
      <c r="AC48" s="8">
</c>
      <c r="AD48" s="8">
</c>
      <c r="AE48" s="8">
</c>
      <c r="AF48" s="8">
</c>
      <c r="AG48" s="8">
</c>
      <c r="AH48" s="8">
</c>
      <c r="AI48" s="8">
</c>
      <c r="AJ48" s="8">
</c>
      <c r="AK48" s="8">
</c>
    </row>
    <row r="49" ht="76.5" customHeight="1">
      <c r="A49" s="9" t="s">
        <v>23</v>
      </c>
      <c r="B49" s="9" t="s">
        <v>66</v>
      </c>
      <c r="C49" s="12" t="s">
        <v>195</v>
      </c>
      <c r="D49" s="12" t="s">
        <v>196</v>
      </c>
      <c r="E49" s="9" t="s">
        <v>53</v>
      </c>
      <c r="F49" s="8" t="s">
        <v>197</v>
      </c>
      <c r="G49" s="13" cm="1" t="str">
        <f t="array" ref="G49">IF(F49="","",SUBSTITUTE(SUBSTITUTE(SUBSTITUTE(SUBSTITUTE(F49,"&lt;li&gt;",CHAR(10)),"&lt;/li&gt;",""),"&lt;br&gt;",CHAR(10)),"&lt;strong&gt;",""))</f>
        <v>&lt;p&gt;Piste créée équipe Ventes. Tentative enrichissement lead échouée (email invalide). Échange sur fonds deeptech et remploi clients, pas de retour prospect ni prochaines étapes identifiées. Aucune activité complémentaire, pas de conclusion prospect sur fonds présentés.&lt;/p&gt;</v>
      </c>
      <c r="H49" s="13" cm="1" t="str">
        <f t="array" ref="H49">IF(G49="","",SUBSTITUTE(SUBSTITUTE(SUBSTITUTE(SUBSTITUTE(SUBSTITUTE(G49,"&lt;p&gt;",""),"&lt;/p&gt;",""),"&lt;ul&gt;",""),"&lt;/ul&gt;",""),"&lt;/strong&gt;",""))</f>
        <v>Piste créée équipe Ventes. Tentative enrichissement lead échouée (email invalide). Échange sur fonds deeptech et remploi clients, pas de retour prospect ni prochaines étapes identifiées. Aucune activité complémentaire, pas de conclusion prospect sur fonds présentés.</v>
      </c>
      <c r="I49" s="14" cm="1" t="str">
        <f t="array" ref="I49">IF(C49="","",IF(OR(H49="",H49=0,H49=FALSE),"-",H49))</f>
        <v>Piste créée équipe Ventes. Tentative enrichissement lead échouée (email invalide). Échange sur fonds deeptech et remploi clients, pas de retour prospect ni prochaines étapes identifiées. Aucune activité complémentaire, pas de conclusion prospect sur fonds présentés.</v>
      </c>
      <c r="J49" s="8">
</c>
      <c r="K49" s="8" t="s">
        <v>35</v>
      </c>
      <c r="L49" s="9" cm="1" t="str">
        <f t="array" ref="L49">IF(C49="","",IF(K49="Mort / Plus rien à faire","KO","OK"))</f>
        <v>OK</v>
      </c>
      <c r="M49" s="15">
        <v>46050.696539351855</v>
      </c>
      <c r="N49" s="15" cm="1" t="n">
        <f t="array" ref="N49">IF(OR(C49="",M49="",M49=0),"",M49)</f>
        <v>46050.696539351855</v>
      </c>
      <c r="O49" s="15">
</c>
      <c r="P49" s="15" cm="1" t="str">
        <f t="array" ref="P49">IF(C49="","",IF(OR(O49="",O49=0),"-",O49))</f>
        <v>-</v>
      </c>
      <c r="Q49" s="16">
        <v>0</v>
      </c>
      <c r="R49" s="16" cm="1" t="str">
        <f t="array" ref="R49">IF(C49="","",ROUND(Q49/1000000,3)&amp;" M€")</f>
        <v>0 M€</v>
      </c>
      <c r="S49" s="12" t="s">
        <v>134</v>
      </c>
      <c r="T49" s="9" cm="1" t="str">
        <f t="array" ref="T49">IF(C49="","",SUBSTITUTE(S49,"","")&amp;"%")</f>
        <v>10%</v>
      </c>
      <c r="U49" s="9" cm="1" t="str">
        <f t="array" ref="U49">IF(($N49="")*($P49=""),"",IF(($N49&lt;&gt;"")*($N49&gt;TODAY()-9)*($N49&lt;TODAY()+1)*($P49&lt;&gt;"")*($P49&gt;=TODAY())*($P49&lt;=TODAY()+13),"Semaine passée &amp; à venir",IF(($N49&lt;&gt;"")*($N49&gt;TODAY()-9)*($N49&lt;TODAY()+1),"Semaine passée",IF(($P49&lt;&gt;"")*($P49&gt;=TODAY())*($P49&lt;=TODAY()+13),"À venir","Autre"))))</f>
        <v>Autre</v>
      </c>
      <c r="V49" s="8" cm="1" t="n">
        <f t="array" ref="V49">IF(C49&lt;&gt;"",1,0)</f>
        <v>1</v>
      </c>
      <c r="W49" s="8">
</c>
      <c r="X49" s="8">
</c>
      <c r="Y49" s="8">
</c>
      <c r="Z49" s="8">
</c>
      <c r="AA49" s="8">
</c>
      <c r="AB49" s="8">
</c>
      <c r="AC49" s="8">
</c>
      <c r="AD49" s="8">
</c>
      <c r="AE49" s="8">
</c>
      <c r="AF49" s="8">
</c>
      <c r="AG49" s="8">
</c>
      <c r="AH49" s="8">
</c>
      <c r="AI49" s="8">
</c>
      <c r="AJ49" s="8">
</c>
      <c r="AK49" s="8">
</c>
    </row>
    <row r="50" ht="76.5" customHeight="1">
      <c r="A50" s="9" t="s">
        <v>23</v>
      </c>
      <c r="B50" s="9" t="s">
        <v>85</v>
      </c>
      <c r="C50" s="12" t="s">
        <v>198</v>
      </c>
      <c r="D50" s="12" t="s">
        <v>199</v>
      </c>
      <c r="E50" s="9" t="s">
        <v>27</v>
      </c>
      <c r="F50" s="8" t="s">
        <v>200</v>
      </c>
      <c r="G50" s="13" cm="1" t="str">
        <f t="array" ref="G50">IF(F50="","",SUBSTITUTE(SUBSTITUTE(SUBSTITUTE(SUBSTITUTE(F50,"&lt;li&gt;",CHAR(10)),"&lt;/li&gt;",""),"&lt;br&gt;",CHAR(10)),"&lt;strong&gt;",""))</f>
        <v>&lt;p&gt;RDV physique 30/01/2026 CRR/BPCE SA : Olivia Laplane anime CE/BP pour BITD, référent défense par Caisse/BP, prise de parole prévue mars 2026 BITD, attente commande, connexion webinar Straton, montée en gamme, cible témoignage Straton 9/04. Aucun suivi d'activité supplémentaire détecté.&lt;/p&gt;</v>
      </c>
      <c r="H50" s="13" cm="1" t="str">
        <f t="array" ref="H50">IF(G50="","",SUBSTITUTE(SUBSTITUTE(SUBSTITUTE(SUBSTITUTE(SUBSTITUTE(G50,"&lt;p&gt;",""),"&lt;/p&gt;",""),"&lt;ul&gt;",""),"&lt;/ul&gt;",""),"&lt;/strong&gt;",""))</f>
        <v>RDV physique 30/01/2026 CRR/BPCE SA : Olivia Laplane anime CE/BP pour BITD, référent défense par Caisse/BP, prise de parole prévue mars 2026 BITD, attente commande, connexion webinar Straton, montée en gamme, cible témoignage Straton 9/04. Aucun suivi d'activité supplémentaire détecté.</v>
      </c>
      <c r="I50" s="14" cm="1" t="str">
        <f t="array" ref="I50">IF(C50="","",IF(OR(H50="",H50=0,H50=FALSE),"-",H50))</f>
        <v>RDV physique 30/01/2026 CRR/BPCE SA : Olivia Laplane anime CE/BP pour BITD, référent défense par Caisse/BP, prise de parole prévue mars 2026 BITD, attente commande, connexion webinar Straton, montée en gamme, cible témoignage Straton 9/04. Aucun suivi d'activité supplémentaire détecté.</v>
      </c>
      <c r="J50" s="8">
</c>
      <c r="K50" s="8" t="s">
        <v>35</v>
      </c>
      <c r="L50" s="9" cm="1" t="str">
        <f t="array" ref="L50">IF(C50="","",IF(K50="Mort / Plus rien à faire","KO","OK"))</f>
        <v>OK</v>
      </c>
      <c r="M50" s="15">
        <v>46063.697905092595</v>
      </c>
      <c r="N50" s="15" cm="1" t="n">
        <f t="array" ref="N50">IF(OR(C50="",M50="",M50=0),"",M50)</f>
        <v>46063.697905092595</v>
      </c>
      <c r="O50" s="15">
</c>
      <c r="P50" s="15" cm="1" t="str">
        <f t="array" ref="P50">IF(C50="","",IF(OR(O50="",O50=0),"-",O50))</f>
        <v>-</v>
      </c>
      <c r="Q50" s="16">
        <v>0</v>
      </c>
      <c r="R50" s="16" cm="1" t="str">
        <f t="array" ref="R50">IF(C50="","",ROUND(Q50/1000000,3)&amp;" M€")</f>
        <v>0 M€</v>
      </c>
      <c r="S50" s="12" t="s">
        <v>134</v>
      </c>
      <c r="T50" s="9" cm="1" t="str">
        <f t="array" ref="T50">IF(C50="","",SUBSTITUTE(S50,"","")&amp;"%")</f>
        <v>10%</v>
      </c>
      <c r="U50" s="9" cm="1" t="str">
        <f t="array" ref="U50">IF(($N50="")*($P50=""),"",IF(($N50&lt;&gt;"")*($N50&gt;TODAY()-9)*($N50&lt;TODAY()+1)*($P50&lt;&gt;"")*($P50&gt;=TODAY())*($P50&lt;=TODAY()+13),"Semaine passée &amp; à venir",IF(($N50&lt;&gt;"")*($N50&gt;TODAY()-9)*($N50&lt;TODAY()+1),"Semaine passée",IF(($P50&lt;&gt;"")*($P50&gt;=TODAY())*($P50&lt;=TODAY()+13),"À venir","Autre"))))</f>
        <v>Autre</v>
      </c>
      <c r="V50" s="8" cm="1" t="n">
        <f t="array" ref="V50">IF(C50&lt;&gt;"",1,0)</f>
        <v>1</v>
      </c>
      <c r="W50" s="8">
</c>
      <c r="X50" s="8">
</c>
      <c r="Y50" s="8">
</c>
      <c r="Z50" s="8">
</c>
      <c r="AA50" s="8">
</c>
      <c r="AB50" s="8">
</c>
      <c r="AC50" s="8">
</c>
      <c r="AD50" s="8">
</c>
      <c r="AE50" s="8">
</c>
      <c r="AF50" s="8">
</c>
      <c r="AG50" s="8">
</c>
      <c r="AH50" s="8">
</c>
      <c r="AI50" s="8">
</c>
      <c r="AJ50" s="8">
</c>
      <c r="AK50" s="8">
</c>
    </row>
    <row r="51" ht="76.5" customHeight="1">
      <c r="A51" s="9" t="s">
        <v>23</v>
      </c>
      <c r="B51" s="9" t="s">
        <v>85</v>
      </c>
      <c r="C51" s="12" t="s">
        <v>201</v>
      </c>
      <c r="D51" s="12" t="s">
        <v>202</v>
      </c>
      <c r="E51" s="9" t="s">
        <v>27</v>
      </c>
      <c r="F51" s="8" t="s">
        <v>203</v>
      </c>
      <c r="G51" s="13" cm="1" t="str">
        <f t="array" ref="G51">IF(F51="","",SUBSTITUTE(SUBSTITUTE(SUBSTITUTE(SUBSTITUTE(F51,"&lt;li&gt;",CHAR(10)),"&lt;/li&gt;",""),"&lt;br&gt;",CHAR(10)),"&lt;strong&gt;",""))</f>
        <v>&lt;p&gt;05/01/25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défense.&lt;/p&gt;</v>
      </c>
      <c r="H51" s="13" cm="1" t="str">
        <f t="array" ref="H51">IF(G51="","",SUBSTITUTE(SUBSTITUTE(SUBSTITUTE(SUBSTITUTE(SUBSTITUTE(G51,"&lt;p&gt;",""),"&lt;/p&gt;",""),"&lt;ul&gt;",""),"&lt;/ul&gt;",""),"&lt;/strong&gt;",""))</f>
        <v>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v>
      </c>
      <c r="I51" s="14" cm="1" t="str">
        <f t="array" ref="I51">IF(C51="","",IF(OR(H51="",H51=0,H51=FALSE),"-",H51))</f>
        <v>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v>
      </c>
      <c r="J51" s="8">
</c>
      <c r="K51" s="8" t="s">
        <v>157</v>
      </c>
      <c r="L51" s="9" cm="1" t="str">
        <f t="array" ref="L51">IF(C51="","",IF(K51="Mort / Plus rien à faire","KO","OK"))</f>
        <v>OK</v>
      </c>
      <c r="M51" s="15">
        <v>46028.55883101852</v>
      </c>
      <c r="N51" s="15" cm="1" t="n">
        <f t="array" ref="N51">IF(OR(C51="",M51="",M51=0),"",M51)</f>
        <v>46028.55883101852</v>
      </c>
      <c r="O51" s="15">
</c>
      <c r="P51" s="15" cm="1" t="str">
        <f t="array" ref="P51">IF(C51="","",IF(OR(O51="",O51=0),"-",O51))</f>
        <v>-</v>
      </c>
      <c r="Q51" s="16">
        <v>0</v>
      </c>
      <c r="R51" s="16" cm="1" t="str">
        <f t="array" ref="R51">IF(C51="","",ROUND(Q51/1000000,3)&amp;" M€")</f>
        <v>0 M€</v>
      </c>
      <c r="S51" s="12" t="s">
        <v>134</v>
      </c>
      <c r="T51" s="9" cm="1" t="str">
        <f t="array" ref="T51">IF(C51="","",SUBSTITUTE(S51,"","")&amp;"%")</f>
        <v>10%</v>
      </c>
      <c r="U51" s="9" cm="1" t="str">
        <f t="array" ref="U51">IF(($N51="")*($P51=""),"",IF(($N51&lt;&gt;"")*($N51&gt;TODAY()-9)*($N51&lt;TODAY()+1)*($P51&lt;&gt;"")*($P51&gt;=TODAY())*($P51&lt;=TODAY()+13),"Semaine passée &amp; à venir",IF(($N51&lt;&gt;"")*($N51&gt;TODAY()-9)*($N51&lt;TODAY()+1),"Semaine passée",IF(($P51&lt;&gt;"")*($P51&gt;=TODAY())*($P51&lt;=TODAY()+13),"À venir","Autre"))))</f>
        <v>Autre</v>
      </c>
      <c r="V51" s="8" cm="1" t="n">
        <f t="array" ref="V51">IF(C51&lt;&gt;"",1,0)</f>
        <v>1</v>
      </c>
      <c r="W51" s="8">
</c>
      <c r="X51" s="8">
</c>
      <c r="Y51" s="8">
</c>
      <c r="Z51" s="8">
</c>
      <c r="AA51" s="8">
</c>
      <c r="AB51" s="8">
</c>
      <c r="AC51" s="8">
</c>
      <c r="AD51" s="8">
</c>
      <c r="AE51" s="8">
</c>
      <c r="AF51" s="8">
</c>
      <c r="AG51" s="8">
</c>
      <c r="AH51" s="8">
</c>
      <c r="AI51" s="8">
</c>
      <c r="AJ51" s="8">
</c>
      <c r="AK51" s="8">
</c>
    </row>
    <row r="52" ht="76.5" customHeight="1">
      <c r="A52" s="9" t="s">
        <v>23</v>
      </c>
      <c r="B52" s="9" t="s">
        <v>50</v>
      </c>
      <c r="C52" s="12" t="s">
        <v>204</v>
      </c>
      <c r="D52" s="12" t="s">
        <v>205</v>
      </c>
      <c r="E52" s="9" t="s">
        <v>53</v>
      </c>
      <c r="F52" s="8" t="s">
        <v>206</v>
      </c>
      <c r="G52" s="13" cm="1" t="str">
        <f t="array" ref="G52">IF(F52="","",SUBSTITUTE(SUBSTITUTE(SUBSTITUTE(SUBSTITUTE(F52,"&lt;li&gt;",CHAR(10)),"&lt;/li&gt;",""),"&lt;br&gt;",CHAR(10)),"&lt;strong&gt;",""))</f>
        <v>&lt;p&gt;Nouvelle piste créée pour équipe Ventes. Discussion reprise sur fonds Audacia, pas de retour prospect sur fonds. Tentative d'enrichissement lead échouée (email non valide). Aucune activité future planifiée, pas d'autres actions ou retours significatifs identifiés.&lt;/p&gt;</v>
      </c>
      <c r="H52" s="13" cm="1" t="str">
        <f t="array" ref="H52">IF(G52="","",SUBSTITUTE(SUBSTITUTE(SUBSTITUTE(SUBSTITUTE(SUBSTITUTE(G52,"&lt;p&gt;",""),"&lt;/p&gt;",""),"&lt;ul&gt;",""),"&lt;/ul&gt;",""),"&lt;/strong&gt;",""))</f>
        <v>Nouvelle piste créée pour équipe Ventes. Discussion reprise sur fonds Audacia, pas de retour prospect sur fonds. Tentative d'enrichissement lead échouée (email non valide). Aucune activité future planifiée, pas d'autres actions ou retours significatifs identifiés.</v>
      </c>
      <c r="I52" s="14" cm="1" t="str">
        <f t="array" ref="I52">IF(C52="","",IF(OR(H52="",H52=0,H52=FALSE),"-",H52))</f>
        <v>Nouvelle piste créée pour équipe Ventes. Discussion reprise sur fonds Audacia, pas de retour prospect sur fonds. Tentative d'enrichissement lead échouée (email non valide). Aucune activité future planifiée, pas d'autres actions ou retours significatifs identifiés.</v>
      </c>
      <c r="J52" s="8">
</c>
      <c r="K52" s="8" t="s">
        <v>35</v>
      </c>
      <c r="L52" s="9" cm="1" t="str">
        <f t="array" ref="L52">IF(C52="","",IF(K52="Mort / Plus rien à faire","KO","OK"))</f>
        <v>OK</v>
      </c>
      <c r="M52" s="15">
        <v>46050.703368055554</v>
      </c>
      <c r="N52" s="15" cm="1" t="n">
        <f t="array" ref="N52">IF(OR(C52="",M52="",M52=0),"",M52)</f>
        <v>46050.703368055554</v>
      </c>
      <c r="O52" s="15">
</c>
      <c r="P52" s="15" cm="1" t="str">
        <f t="array" ref="P52">IF(C52="","",IF(OR(O52="",O52=0),"-",O52))</f>
        <v>-</v>
      </c>
      <c r="Q52" s="16">
        <v>0</v>
      </c>
      <c r="R52" s="16" cm="1" t="str">
        <f t="array" ref="R52">IF(C52="","",ROUND(Q52/1000000,3)&amp;" M€")</f>
        <v>0 M€</v>
      </c>
      <c r="S52" s="12" t="s">
        <v>134</v>
      </c>
      <c r="T52" s="9" cm="1" t="str">
        <f t="array" ref="T52">IF(C52="","",SUBSTITUTE(S52,"","")&amp;"%")</f>
        <v>10%</v>
      </c>
      <c r="U52" s="9" cm="1" t="str">
        <f t="array" ref="U52">IF(($N52="")*($P52=""),"",IF(($N52&lt;&gt;"")*($N52&gt;TODAY()-9)*($N52&lt;TODAY()+1)*($P52&lt;&gt;"")*($P52&gt;=TODAY())*($P52&lt;=TODAY()+13),"Semaine passée &amp; à venir",IF(($N52&lt;&gt;"")*($N52&gt;TODAY()-9)*($N52&lt;TODAY()+1),"Semaine passée",IF(($P52&lt;&gt;"")*($P52&gt;=TODAY())*($P52&lt;=TODAY()+13),"À venir","Autre"))))</f>
        <v>Autre</v>
      </c>
      <c r="V52" s="8" cm="1" t="n">
        <f t="array" ref="V52">IF(C52&lt;&gt;"",1,0)</f>
        <v>1</v>
      </c>
      <c r="W52" s="8">
</c>
      <c r="X52" s="8">
</c>
      <c r="Y52" s="8">
</c>
      <c r="Z52" s="8">
</c>
      <c r="AA52" s="8">
</c>
      <c r="AB52" s="8">
</c>
      <c r="AC52" s="8">
</c>
      <c r="AD52" s="8">
</c>
      <c r="AE52" s="8">
</c>
      <c r="AF52" s="8">
</c>
      <c r="AG52" s="8">
</c>
      <c r="AH52" s="8">
</c>
      <c r="AI52" s="8">
</c>
      <c r="AJ52" s="8">
</c>
      <c r="AK52" s="8">
</c>
    </row>
    <row r="53" ht="76.5" customHeight="1">
      <c r="A53" s="9" t="s">
        <v>23</v>
      </c>
      <c r="B53" s="9" t="s">
        <v>24</v>
      </c>
      <c r="C53" s="12" t="s">
        <v>207</v>
      </c>
      <c r="D53" s="12" t="s">
        <v>208</v>
      </c>
      <c r="E53" s="9" t="s">
        <v>27</v>
      </c>
      <c r="F53" s="8" t="s">
        <v>209</v>
      </c>
      <c r="G53" s="13" cm="1" t="str">
        <f t="array" ref="G53">IF(F53="","",SUBSTITUTE(SUBSTITUTE(SUBSTITUTE(SUBSTITUTE(F53,"&lt;li&gt;",CHAR(10)),"&lt;/li&gt;",""),"&lt;br&gt;",CHAR(10)),"&lt;strong&gt;",""))</f>
        <v>&lt;p&gt;Déj. à caler début fév. avec Interiale, relance prévue semaine du 25/01 si pas de retour. Leur DG/élus attendent initiative publique défense. Pas de capacité 2025/Q1 2026. Conseil d’admin. sceptique sur P-E, préfère fonds de dettes, report décision 2026. Tenir Tilquin informé.&lt;/p&gt;</v>
      </c>
      <c r="H53" s="13" cm="1" t="str">
        <f t="array" ref="H53">IF(G53="","",SUBSTITUTE(SUBSTITUTE(SUBSTITUTE(SUBSTITUTE(SUBSTITUTE(G53,"&lt;p&gt;",""),"&lt;/p&gt;",""),"&lt;ul&gt;",""),"&lt;/ul&gt;",""),"&lt;/strong&gt;",""))</f>
        <v>Déj. à caler début fév. avec Interiale, relance prévue semaine du 25/01 si pas de retour. Leur DG/élus attendent initiative publique défense. Pas de capacité 2025/Q1 2026. Conseil d’admin. sceptique sur P-E, préfère fonds de dettes, report décision 2026. Tenir Tilquin informé.</v>
      </c>
      <c r="I53" s="14" cm="1" t="str">
        <f t="array" ref="I53">IF(C53="","",IF(OR(H53="",H53=0,H53=FALSE),"-",H53))</f>
        <v>Déj. à caler début fév. avec Interiale, relance prévue semaine du 25/01 si pas de retour. Leur DG/élus attendent initiative publique défense. Pas de capacité 2025/Q1 2026. Conseil d’admin. sceptique sur P-E, préfère fonds de dettes, report décision 2026. Tenir Tilquin informé.</v>
      </c>
      <c r="J53" s="8" t="s">
        <v>210</v>
      </c>
      <c r="K53" s="8" t="s">
        <v>65</v>
      </c>
      <c r="L53" s="9" cm="1" t="str">
        <f t="array" ref="L53">IF(C53="","",IF(K53="Mort / Plus rien à faire","KO","OK"))</f>
        <v>OK</v>
      </c>
      <c r="M53" s="15">
        <v>46028.81486111111</v>
      </c>
      <c r="N53" s="15" cm="1" t="n">
        <f t="array" ref="N53">IF(OR(C53="",M53="",M53=0),"",M53)</f>
        <v>46028.81486111111</v>
      </c>
      <c r="O53" s="15">
</c>
      <c r="P53" s="15" cm="1" t="str">
        <f t="array" ref="P53">IF(C53="","",IF(OR(O53="",O53=0),"-",O53))</f>
        <v>-</v>
      </c>
      <c r="Q53" s="16">
        <v>0</v>
      </c>
      <c r="R53" s="16" cm="1" t="str">
        <f t="array" ref="R53">IF(C53="","",ROUND(Q53/1000000,3)&amp;" M€")</f>
        <v>0 M€</v>
      </c>
      <c r="S53" s="12" t="s">
        <v>134</v>
      </c>
      <c r="T53" s="9" cm="1" t="str">
        <f t="array" ref="T53">IF(C53="","",SUBSTITUTE(S53,"","")&amp;"%")</f>
        <v>10%</v>
      </c>
      <c r="U53" s="9" cm="1" t="str">
        <f t="array" ref="U53">IF(($N53="")*($P53=""),"",IF(($N53&lt;&gt;"")*($N53&gt;TODAY()-9)*($N53&lt;TODAY()+1)*($P53&lt;&gt;"")*($P53&gt;=TODAY())*($P53&lt;=TODAY()+13),"Semaine passée &amp; à venir",IF(($N53&lt;&gt;"")*($N53&gt;TODAY()-9)*($N53&lt;TODAY()+1),"Semaine passée",IF(($P53&lt;&gt;"")*($P53&gt;=TODAY())*($P53&lt;=TODAY()+13),"À venir","Autre"))))</f>
        <v>Autre</v>
      </c>
      <c r="V53" s="8" cm="1" t="n">
        <f t="array" ref="V53">IF(C53&lt;&gt;"",1,0)</f>
        <v>1</v>
      </c>
      <c r="W53" s="8">
</c>
      <c r="X53" s="8">
</c>
      <c r="Y53" s="8">
</c>
      <c r="Z53" s="8">
</c>
      <c r="AA53" s="8">
</c>
      <c r="AB53" s="8">
</c>
      <c r="AC53" s="8">
</c>
      <c r="AD53" s="8">
</c>
      <c r="AE53" s="8">
</c>
      <c r="AF53" s="8">
</c>
      <c r="AG53" s="8">
</c>
      <c r="AH53" s="8">
</c>
      <c r="AI53" s="8">
</c>
      <c r="AJ53" s="8">
</c>
      <c r="AK53" s="8">
</c>
    </row>
    <row r="54" ht="76.5" customHeight="1">
      <c r="A54" s="9" t="s">
        <v>23</v>
      </c>
      <c r="B54" s="9" t="s">
        <v>24</v>
      </c>
      <c r="C54" s="12" t="s">
        <v>211</v>
      </c>
      <c r="D54" s="12" t="s">
        <v>212</v>
      </c>
      <c r="E54" s="9" t="s">
        <v>27</v>
      </c>
      <c r="F54" s="8" t="s">
        <v>213</v>
      </c>
      <c r="G54" s="13" cm="1" t="str">
        <f t="array" ref="G54">IF(F54="","",SUBSTITUTE(SUBSTITUTE(SUBSTITUTE(SUBSTITUTE(F54,"&lt;li&gt;",CHAR(10)),"&lt;/li&gt;",""),"&lt;br&gt;",CHAR(10)),"&lt;strong&gt;",""))</f>
        <v>&lt;p&gt;13/01/2026 : deck envoyé, à alimenter en 2026. Lead créé pour équipe Ventes. Tentative d'enrichissement échouée (email non valide). Aucune activité ni échange prospect identifié depuis, pas de retour ni prochaine étape précisée. Suivi à relancer ou compléter.&lt;/p&gt;</v>
      </c>
      <c r="H54" s="13" cm="1" t="str">
        <f t="array" ref="H54">IF(G54="","",SUBSTITUTE(SUBSTITUTE(SUBSTITUTE(SUBSTITUTE(SUBSTITUTE(G54,"&lt;p&gt;",""),"&lt;/p&gt;",""),"&lt;ul&gt;",""),"&lt;/ul&gt;",""),"&lt;/strong&gt;",""))</f>
        <v>13/01/2026 : deck envoyé, à alimenter en 2026. Lead créé pour équipe Ventes. Tentative d'enrichissement échouée (email non valide). Aucune activité ni échange prospect identifié depuis, pas de retour ni prochaine étape précisée. Suivi à relancer ou compléter.</v>
      </c>
      <c r="I54" s="14" cm="1" t="str">
        <f t="array" ref="I54">IF(C54="","",IF(OR(H54="",H54=0,H54=FALSE),"-",H54))</f>
        <v>13/01/2026 : deck envoyé, à alimenter en 2026. Lead créé pour équipe Ventes. Tentative d'enrichissement échouée (email non valide). Aucune activité ni échange prospect identifié depuis, pas de retour ni prochaine étape précisée. Suivi à relancer ou compléter.</v>
      </c>
      <c r="J54" s="8">
</c>
      <c r="K54" s="8" t="s">
        <v>35</v>
      </c>
      <c r="L54" s="9" cm="1" t="str">
        <f t="array" ref="L54">IF(C54="","",IF(K54="Mort / Plus rien à faire","KO","OK"))</f>
        <v>OK</v>
      </c>
      <c r="M54" s="15">
        <v>46064.51675925926</v>
      </c>
      <c r="N54" s="15" cm="1" t="n">
        <f t="array" ref="N54">IF(OR(C54="",M54="",M54=0),"",M54)</f>
        <v>46064.51675925926</v>
      </c>
      <c r="O54" s="15">
</c>
      <c r="P54" s="15" cm="1" t="str">
        <f t="array" ref="P54">IF(C54="","",IF(OR(O54="",O54=0),"-",O54))</f>
        <v>-</v>
      </c>
      <c r="Q54" s="16">
        <v>2000000</v>
      </c>
      <c r="R54" s="16" cm="1" t="str">
        <f t="array" ref="R54">IF(C54="","",ROUND(Q54/1000000,3)&amp;" M€")</f>
        <v>2 M€</v>
      </c>
      <c r="S54" s="12" t="s">
        <v>134</v>
      </c>
      <c r="T54" s="9" cm="1" t="str">
        <f t="array" ref="T54">IF(C54="","",SUBSTITUTE(S54,"","")&amp;"%")</f>
        <v>10%</v>
      </c>
      <c r="U54" s="9" cm="1" t="str">
        <f t="array" ref="U54">IF(($N54="")*($P54=""),"",IF(($N54&lt;&gt;"")*($N54&gt;TODAY()-9)*($N54&lt;TODAY()+1)*($P54&lt;&gt;"")*($P54&gt;=TODAY())*($P54&lt;=TODAY()+13),"Semaine passée &amp; à venir",IF(($N54&lt;&gt;"")*($N54&gt;TODAY()-9)*($N54&lt;TODAY()+1),"Semaine passée",IF(($P54&lt;&gt;"")*($P54&gt;=TODAY())*($P54&lt;=TODAY()+13),"À venir","Autre"))))</f>
        <v>Autre</v>
      </c>
      <c r="V54" s="8" cm="1" t="n">
        <f t="array" ref="V54">IF(C54&lt;&gt;"",1,0)</f>
        <v>1</v>
      </c>
      <c r="W54" s="8">
</c>
      <c r="X54" s="8">
</c>
      <c r="Y54" s="8">
</c>
      <c r="Z54" s="8">
</c>
      <c r="AA54" s="8">
</c>
      <c r="AB54" s="8">
</c>
      <c r="AC54" s="8">
</c>
      <c r="AD54" s="8">
</c>
      <c r="AE54" s="8">
</c>
      <c r="AF54" s="8">
</c>
      <c r="AG54" s="8">
</c>
      <c r="AH54" s="8">
</c>
      <c r="AI54" s="8">
</c>
      <c r="AJ54" s="8">
</c>
      <c r="AK54" s="8">
</c>
    </row>
    <row r="55" ht="76.5" customHeight="1">
      <c r="A55" s="9" t="s">
        <v>23</v>
      </c>
      <c r="B55" s="9" t="s">
        <v>77</v>
      </c>
      <c r="C55" s="12" t="s">
        <v>214</v>
      </c>
      <c r="D55" s="12" t="s">
        <v>215</v>
      </c>
      <c r="E55" s="9" t="s">
        <v>53</v>
      </c>
      <c r="F55" s="8" t="s">
        <v>216</v>
      </c>
      <c r="G55" s="13" cm="1" t="str">
        <f t="array" ref="G55">IF(F55="","",SUBSTITUTE(SUBSTITUTE(SUBSTITUTE(SUBSTITUTE(F55,"&lt;li&gt;",CHAR(10)),"&lt;/li&gt;",""),"&lt;br&gt;",CHAR(10)),"&lt;strong&gt;",""))</f>
        <v>&lt;p&gt;Nouvelle piste créée pour équipe Ventes. Proposition de call rapide 30 min avec client pour discuter remploi sur deux fonds. Tentative d'enrichissement lead échouée (email invalide). Pas d'autres actions ou retours du prospect. Prochaines étapes : organiser le call proposé, attente retour client.&lt;/p&gt;</v>
      </c>
      <c r="H55" s="13" cm="1" t="str">
        <f t="array" ref="H55">IF(G55="","",SUBSTITUTE(SUBSTITUTE(SUBSTITUTE(SUBSTITUTE(SUBSTITUTE(G55,"&lt;p&gt;",""),"&lt;/p&gt;",""),"&lt;ul&gt;",""),"&lt;/ul&gt;",""),"&lt;/strong&gt;",""))</f>
        <v>Nouvelle piste créée pour équipe Ventes. Proposition de call rapide 30 min avec client pour discuter remploi sur deux fonds. Tentative d'enrichissement lead échouée (email invalide). Pas d'autres actions ou retours du prospect. Prochaines étapes : organiser le call proposé, attente retour client.</v>
      </c>
      <c r="I55" s="14" cm="1" t="str">
        <f t="array" ref="I55">IF(C55="","",IF(OR(H55="",H55=0,H55=FALSE),"-",H55))</f>
        <v>Nouvelle piste créée pour équipe Ventes. Proposition de call rapide 30 min avec client pour discuter remploi sur deux fonds. Tentative d'enrichissement lead échouée (email invalide). Pas d'autres actions ou retours du prospect. Prochaines étapes : organiser le call proposé, attente retour client.</v>
      </c>
      <c r="J55" s="8">
</c>
      <c r="K55" s="8" t="s">
        <v>35</v>
      </c>
      <c r="L55" s="9" cm="1" t="str">
        <f t="array" ref="L55">IF(C55="","",IF(K55="Mort / Plus rien à faire","KO","OK"))</f>
        <v>OK</v>
      </c>
      <c r="M55" s="15">
        <v>46050.7166087963</v>
      </c>
      <c r="N55" s="15" cm="1" t="n">
        <f t="array" ref="N55">IF(OR(C55="",M55="",M55=0),"",M55)</f>
        <v>46050.7166087963</v>
      </c>
      <c r="O55" s="15">
</c>
      <c r="P55" s="15" cm="1" t="str">
        <f t="array" ref="P55">IF(C55="","",IF(OR(O55="",O55=0),"-",O55))</f>
        <v>-</v>
      </c>
      <c r="Q55" s="16">
        <v>0</v>
      </c>
      <c r="R55" s="16" cm="1" t="str">
        <f t="array" ref="R55">IF(C55="","",ROUND(Q55/1000000,3)&amp;" M€")</f>
        <v>0 M€</v>
      </c>
      <c r="S55" s="12" t="s">
        <v>134</v>
      </c>
      <c r="T55" s="9" cm="1" t="str">
        <f t="array" ref="T55">IF(C55="","",SUBSTITUTE(S55,"","")&amp;"%")</f>
        <v>10%</v>
      </c>
      <c r="U55" s="9" cm="1" t="str">
        <f t="array" ref="U55">IF(($N55="")*($P55=""),"",IF(($N55&lt;&gt;"")*($N55&gt;TODAY()-9)*($N55&lt;TODAY()+1)*($P55&lt;&gt;"")*($P55&gt;=TODAY())*($P55&lt;=TODAY()+13),"Semaine passée &amp; à venir",IF(($N55&lt;&gt;"")*($N55&gt;TODAY()-9)*($N55&lt;TODAY()+1),"Semaine passée",IF(($P55&lt;&gt;"")*($P55&gt;=TODAY())*($P55&lt;=TODAY()+13),"À venir","Autre"))))</f>
        <v>Autre</v>
      </c>
      <c r="V55" s="8" cm="1" t="n">
        <f t="array" ref="V55">IF(C55&lt;&gt;"",1,0)</f>
        <v>1</v>
      </c>
      <c r="W55" s="8">
</c>
      <c r="X55" s="8">
</c>
      <c r="Y55" s="8">
</c>
      <c r="Z55" s="8">
</c>
      <c r="AA55" s="8">
</c>
      <c r="AB55" s="8">
</c>
      <c r="AC55" s="8">
</c>
      <c r="AD55" s="8">
</c>
      <c r="AE55" s="8">
</c>
      <c r="AF55" s="8">
</c>
      <c r="AG55" s="8">
</c>
      <c r="AH55" s="8">
</c>
      <c r="AI55" s="8">
</c>
      <c r="AJ55" s="8">
</c>
      <c r="AK55" s="8">
</c>
    </row>
    <row r="56" ht="76.5" customHeight="1">
      <c r="A56" s="9" t="s">
        <v>23</v>
      </c>
      <c r="B56" s="9" t="s">
        <v>60</v>
      </c>
      <c r="C56" s="12" t="s">
        <v>217</v>
      </c>
      <c r="D56" s="12" t="s">
        <v>218</v>
      </c>
      <c r="E56" s="9" t="s">
        <v>27</v>
      </c>
      <c r="F56" s="8" t="s">
        <v>219</v>
      </c>
      <c r="G56" s="13" cm="1" t="str">
        <f t="array" ref="G56">IF(F56="","",SUBSTITUTE(SUBSTITUTE(SUBSTITUTE(SUBSTITUTE(F56,"&lt;li&gt;",CHAR(10)),"&lt;/li&gt;",""),"&lt;br&gt;",CHAR(10)),"&lt;strong&gt;",""))</f>
        <v>&lt;p&gt;Déjeuner 5 mars avec T Barrey (fonds de fonds IVESTA). IVESTA gère 3bn, 100 fonds PE, 20% venture. Intérêt pour spécialistes, ticket 1M€ Straton évoqué, coalition familles possible. Processus de référencement en cours, 4 votants. Relance prévue fin mars sur décision Straton/1M€.&lt;/p&gt;</v>
      </c>
      <c r="H56" s="13" cm="1" t="str">
        <f t="array" ref="H56">IF(G56="","",SUBSTITUTE(SUBSTITUTE(SUBSTITUTE(SUBSTITUTE(SUBSTITUTE(G56,"&lt;p&gt;",""),"&lt;/p&gt;",""),"&lt;ul&gt;",""),"&lt;/ul&gt;",""),"&lt;/strong&gt;",""))</f>
        <v>Déjeuner 5 mars avec T Barrey (fonds de fonds IVESTA). IVESTA gère 3bn, 100 fonds PE, 20% venture. Intérêt pour spécialistes, ticket 1M€ Straton évoqué, coalition familles possible. Processus de référencement en cours, 4 votants. Relance prévue fin mars sur décision Straton/1M€.</v>
      </c>
      <c r="I56" s="14" cm="1" t="str">
        <f t="array" ref="I56">IF(C56="","",IF(OR(H56="",H56=0,H56=FALSE),"-",H56))</f>
        <v>Déjeuner 5 mars avec T Barrey (fonds de fonds IVESTA). IVESTA gère 3bn, 100 fonds PE, 20% venture. Intérêt pour spécialistes, ticket 1M€ Straton évoqué, coalition familles possible. Processus de référencement en cours, 4 votants. Relance prévue fin mars sur décision Straton/1M€.</v>
      </c>
      <c r="J56" s="8" t="s">
        <v>220</v>
      </c>
      <c r="K56" s="8" t="s">
        <v>35</v>
      </c>
      <c r="L56" s="9" cm="1" t="str">
        <f t="array" ref="L56">IF(C56="","",IF(K56="Mort / Plus rien à faire","KO","OK"))</f>
        <v>OK</v>
      </c>
      <c r="M56" s="15">
        <v>46087.66280092593</v>
      </c>
      <c r="N56" s="15" cm="1" t="n">
        <f t="array" ref="N56">IF(OR(C56="",M56="",M56=0),"",M56)</f>
        <v>46087.66280092593</v>
      </c>
      <c r="O56" s="15">
        <v>46108.041666666664</v>
      </c>
      <c r="P56" s="15" cm="1" t="n">
        <f t="array" ref="P56">IF(C56="","",IF(OR(O56="",O56=0),"-",O56))</f>
        <v>46108.041666666664</v>
      </c>
      <c r="Q56" s="16">
        <v>0</v>
      </c>
      <c r="R56" s="16" cm="1" t="str">
        <f t="array" ref="R56">IF(C56="","",ROUND(Q56/1000000,3)&amp;" M€")</f>
        <v>0 M€</v>
      </c>
      <c r="S56" s="12" t="s">
        <v>134</v>
      </c>
      <c r="T56" s="9" cm="1" t="str">
        <f t="array" ref="T56">IF(C56="","",SUBSTITUTE(S56,"","")&amp;"%")</f>
        <v>10%</v>
      </c>
      <c r="U56" s="9" cm="1" t="str">
        <f t="array" ref="U56">IF(($N56="")*($P56=""),"",IF(($N56&lt;&gt;"")*($N56&gt;TODAY()-9)*($N56&lt;TODAY()+1)*($P56&lt;&gt;"")*($P56&gt;=TODAY())*($P56&lt;=TODAY()+13),"Semaine passée &amp; à venir",IF(($N56&lt;&gt;"")*($N56&gt;TODAY()-9)*($N56&lt;TODAY()+1),"Semaine passée",IF(($P56&lt;&gt;"")*($P56&gt;=TODAY())*($P56&lt;=TODAY()+13),"À venir","Autre"))))</f>
        <v>Semaine passée</v>
      </c>
      <c r="V56" s="8" cm="1" t="n">
        <f t="array" ref="V56">IF(C56&lt;&gt;"",1,0)</f>
        <v>1</v>
      </c>
      <c r="W56" s="8">
</c>
      <c r="X56" s="8">
</c>
      <c r="Y56" s="8">
</c>
      <c r="Z56" s="8">
</c>
      <c r="AA56" s="8">
</c>
      <c r="AB56" s="8">
</c>
      <c r="AC56" s="8">
</c>
      <c r="AD56" s="8">
</c>
      <c r="AE56" s="8">
</c>
      <c r="AF56" s="8">
</c>
      <c r="AG56" s="8">
</c>
      <c r="AH56" s="8">
</c>
      <c r="AI56" s="8">
</c>
      <c r="AJ56" s="8">
</c>
      <c r="AK56" s="8">
</c>
    </row>
    <row r="57" ht="76.5" customHeight="1">
      <c r="A57" s="9" t="s">
        <v>23</v>
      </c>
      <c r="B57" s="9" t="s">
        <v>31</v>
      </c>
      <c r="C57" s="12" t="s">
        <v>221</v>
      </c>
      <c r="D57" s="12" t="s">
        <v>222</v>
      </c>
      <c r="E57" s="9" t="s">
        <v>27</v>
      </c>
      <c r="F57" s="8" t="s">
        <v>223</v>
      </c>
      <c r="G57" s="13" cm="1" t="str">
        <f t="array" ref="G57">IF(F57="","",SUBSTITUTE(SUBSTITUTE(SUBSTITUTE(SUBSTITUTE(F57,"&lt;li&gt;",CHAR(10)),"&lt;/li&gt;",""),"&lt;br&gt;",CHAR(10)),"&lt;strong&gt;",""))</f>
        <v>&lt;p&gt;Aucune activité menée sur le prospect. Nouvelle piste créée pour l'équipe Ventes, aucune interaction, suivi ou action complémentaire enregistrée à ce jour. Pas de retour du prospect, pas de rendez-vous, pas d'échange, pas de prochaine étape planifiée. Suivi à initier.&lt;/p&gt;</v>
      </c>
      <c r="H57" s="13" cm="1" t="str">
        <f t="array" ref="H57">IF(G57="","",SUBSTITUTE(SUBSTITUTE(SUBSTITUTE(SUBSTITUTE(SUBSTITUTE(G57,"&lt;p&gt;",""),"&lt;/p&gt;",""),"&lt;ul&gt;",""),"&lt;/ul&gt;",""),"&lt;/strong&gt;",""))</f>
        <v>Aucune activité menée sur le prospect. Nouvelle piste créée pour l'équipe Ventes, aucune interaction, suivi ou action complémentaire enregistrée à ce jour. Pas de retour du prospect, pas de rendez-vous, pas d'échange, pas de prochaine étape planifiée. Suivi à initier.</v>
      </c>
      <c r="I57" s="14" cm="1" t="str">
        <f t="array" ref="I57">IF(C57="","",IF(OR(H57="",H57=0,H57=FALSE),"-",H57))</f>
        <v>Aucune activité menée sur le prospect. Nouvelle piste créée pour l'équipe Ventes, aucune interaction, suivi ou action complémentaire enregistrée à ce jour. Pas de retour du prospect, pas de rendez-vous, pas d'échange, pas de prochaine étape planifiée. Suivi à initier.</v>
      </c>
      <c r="J57" s="8" t="s">
        <v>224</v>
      </c>
      <c r="K57" s="8" t="s">
        <v>225</v>
      </c>
      <c r="L57" s="9" cm="1" t="str">
        <f t="array" ref="L57">IF(C57="","",IF(K57="Mort / Plus rien à faire","KO","OK"))</f>
        <v>OK</v>
      </c>
      <c r="M57" s="15">
        <v>46087.673622685186</v>
      </c>
      <c r="N57" s="15" cm="1" t="n">
        <f t="array" ref="N57">IF(OR(C57="",M57="",M57=0),"",M57)</f>
        <v>46087.673622685186</v>
      </c>
      <c r="O57" s="15">
        <v>46328.041666666664</v>
      </c>
      <c r="P57" s="15" cm="1" t="n">
        <f t="array" ref="P57">IF(C57="","",IF(OR(O57="",O57=0),"-",O57))</f>
        <v>46328.041666666664</v>
      </c>
      <c r="Q57" s="16">
        <v>2000000</v>
      </c>
      <c r="R57" s="16" cm="1" t="str">
        <f t="array" ref="R57">IF(C57="","",ROUND(Q57/1000000,3)&amp;" M€")</f>
        <v>2 M€</v>
      </c>
      <c r="S57" s="12" t="s">
        <v>134</v>
      </c>
      <c r="T57" s="9" cm="1" t="str">
        <f t="array" ref="T57">IF(C57="","",SUBSTITUTE(S57,"","")&amp;"%")</f>
        <v>10%</v>
      </c>
      <c r="U57" s="9" cm="1" t="str">
        <f t="array" ref="U57">IF(($N57="")*($P57=""),"",IF(($N57&lt;&gt;"")*($N57&gt;TODAY()-9)*($N57&lt;TODAY()+1)*($P57&lt;&gt;"")*($P57&gt;=TODAY())*($P57&lt;=TODAY()+13),"Semaine passée &amp; à venir",IF(($N57&lt;&gt;"")*($N57&gt;TODAY()-9)*($N57&lt;TODAY()+1),"Semaine passée",IF(($P57&lt;&gt;"")*($P57&gt;=TODAY())*($P57&lt;=TODAY()+13),"À venir","Autre"))))</f>
        <v>Semaine passée</v>
      </c>
      <c r="V57" s="8" cm="1" t="n">
        <f t="array" ref="V57">IF(C57&lt;&gt;"",1,0)</f>
        <v>1</v>
      </c>
      <c r="W57" s="8">
</c>
      <c r="X57" s="8">
</c>
      <c r="Y57" s="8">
</c>
      <c r="Z57" s="8">
</c>
      <c r="AA57" s="8">
</c>
      <c r="AB57" s="8">
</c>
      <c r="AC57" s="8">
</c>
      <c r="AD57" s="8">
</c>
      <c r="AE57" s="8">
</c>
      <c r="AF57" s="8">
</c>
      <c r="AG57" s="8">
</c>
      <c r="AH57" s="8">
</c>
      <c r="AI57" s="8">
</c>
      <c r="AJ57" s="8">
</c>
      <c r="AK57" s="8">
</c>
    </row>
    <row r="58" ht="76.5" customHeight="1">
      <c r="A58" s="9" t="s">
        <v>23</v>
      </c>
      <c r="B58" s="9" t="s">
        <v>50</v>
      </c>
      <c r="C58" s="12" t="s">
        <v>204</v>
      </c>
      <c r="D58" s="12" t="s">
        <v>226</v>
      </c>
      <c r="E58" s="9" t="s">
        <v>27</v>
      </c>
      <c r="F58" s="8" t="s">
        <v>227</v>
      </c>
      <c r="G58" s="13" cm="1" t="str">
        <f t="array" ref="G58">IF(F58="","",SUBSTITUTE(SUBSTITUTE(SUBSTITUTE(SUBSTITUTE(F58,"&lt;li&gt;",CHAR(10)),"&lt;/li&gt;",""),"&lt;br&gt;",CHAR(10)),"&lt;strong&gt;",""))</f>
        <v>&lt;p&gt;Nouveau lead créé équipe Ventes. Rencontre apéro Fort de France 23/02/2026. Objectif : référencement in-house BRED, chasse gardée Guyane/FdF, faible concurrence gestion privée. Cible : 300 grandes familles (3000 pers) orientées conquête Guyane/Cap/Réunion/NC. Prochaine étape : présenter fonds Straton et Géodesic.&lt;/p&gt;</v>
      </c>
      <c r="H58" s="13" cm="1" t="str">
        <f t="array" ref="H58">IF(G58="","",SUBSTITUTE(SUBSTITUTE(SUBSTITUTE(SUBSTITUTE(SUBSTITUTE(G58,"&lt;p&gt;",""),"&lt;/p&gt;",""),"&lt;ul&gt;",""),"&lt;/ul&gt;",""),"&lt;/strong&gt;",""))</f>
        <v>Nouveau lead créé équipe Ventes. Rencontre apéro Fort de France 23/02/2026. Objectif : référencement in-house BRED, chasse gardée Guyane/FdF, faible concurrence gestion privée. Cible : 300 grandes familles (3000 pers) orientées conquête Guyane/Cap/Réunion/NC. Prochaine étape : présenter fonds Straton et Géodesic.</v>
      </c>
      <c r="I58" s="14" cm="1" t="str">
        <f t="array" ref="I58">IF(C58="","",IF(OR(H58="",H58=0,H58=FALSE),"-",H58))</f>
        <v>Nouveau lead créé équipe Ventes. Rencontre apéro Fort de France 23/02/2026. Objectif : référencement in-house BRED, chasse gardée Guyane/FdF, faible concurrence gestion privée. Cible : 300 grandes familles (3000 pers) orientées conquête Guyane/Cap/Réunion/NC. Prochaine étape : présenter fonds Straton et Géodesic.</v>
      </c>
      <c r="J58" s="8" t="s">
        <v>228</v>
      </c>
      <c r="K58" s="8" t="s">
        <v>157</v>
      </c>
      <c r="L58" s="9" cm="1" t="str">
        <f t="array" ref="L58">IF(C58="","",IF(K58="Mort / Plus rien à faire","KO","OK"))</f>
        <v>OK</v>
      </c>
      <c r="M58" s="15">
        <v>46087.67822916667</v>
      </c>
      <c r="N58" s="15" cm="1" t="n">
        <f t="array" ref="N58">IF(OR(C58="",M58="",M58=0),"",M58)</f>
        <v>46087.67822916667</v>
      </c>
      <c r="O58" s="15">
        <v>46094.041666666664</v>
      </c>
      <c r="P58" s="15" cm="1" t="n">
        <f t="array" ref="P58">IF(C58="","",IF(OR(O58="",O58=0),"-",O58))</f>
        <v>46094.041666666664</v>
      </c>
      <c r="Q58" s="16">
        <v>1000000</v>
      </c>
      <c r="R58" s="16" cm="1" t="str">
        <f t="array" ref="R58">IF(C58="","",ROUND(Q58/1000000,3)&amp;" M€")</f>
        <v>1 M€</v>
      </c>
      <c r="S58" s="12" t="s">
        <v>134</v>
      </c>
      <c r="T58" s="9" cm="1" t="str">
        <f t="array" ref="T58">IF(C58="","",SUBSTITUTE(S58,"","")&amp;"%")</f>
        <v>10%</v>
      </c>
      <c r="U58" s="9" cm="1" t="str">
        <f t="array" ref="U58">IF(($N58="")*($P58=""),"",IF(($N58&lt;&gt;"")*($N58&gt;TODAY()-9)*($N58&lt;TODAY()+1)*($P58&lt;&gt;"")*($P58&gt;=TODAY())*($P58&lt;=TODAY()+13),"Semaine passée &amp; à venir",IF(($N58&lt;&gt;"")*($N58&gt;TODAY()-9)*($N58&lt;TODAY()+1),"Semaine passée",IF(($P58&lt;&gt;"")*($P58&gt;=TODAY())*($P58&lt;=TODAY()+13),"À venir","Autre"))))</f>
        <v>Semaine passée &amp; à venir</v>
      </c>
      <c r="V58" s="8" cm="1" t="n">
        <f t="array" ref="V58">IF(C58&lt;&gt;"",1,0)</f>
        <v>1</v>
      </c>
      <c r="W58" s="8">
</c>
      <c r="X58" s="8">
</c>
      <c r="Y58" s="8">
</c>
      <c r="Z58" s="8">
</c>
      <c r="AA58" s="8">
</c>
      <c r="AB58" s="8">
</c>
      <c r="AC58" s="8">
</c>
      <c r="AD58" s="8">
</c>
      <c r="AE58" s="8">
</c>
      <c r="AF58" s="8">
</c>
      <c r="AG58" s="8">
</c>
      <c r="AH58" s="8">
</c>
      <c r="AI58" s="8">
</c>
      <c r="AJ58" s="8">
</c>
      <c r="AK58" s="8">
</c>
    </row>
    <row r="59" ht="76.5" customHeight="1">
      <c r="A59" s="9" t="s">
        <v>23</v>
      </c>
      <c r="B59" s="9" t="s">
        <v>50</v>
      </c>
      <c r="C59" s="12" t="s">
        <v>229</v>
      </c>
      <c r="D59" s="12" t="s">
        <v>230</v>
      </c>
      <c r="E59" s="9" t="s">
        <v>53</v>
      </c>
      <c r="F59" s="8" t="s">
        <v>231</v>
      </c>
      <c r="G59" s="13" cm="1" t="str">
        <f t="array" ref="G59">IF(F59="","",SUBSTITUTE(SUBSTITUTE(SUBSTITUTE(SUBSTITUTE(F59,"&lt;li&gt;",CHAR(10)),"&lt;/li&gt;",""),"&lt;br&gt;",CHAR(10)),"&lt;strong&gt;",""))</f>
        <v>&lt;p&gt;Appel terminé, prospect a des demandes sur 150-0 B ter, rdv téléphonique prévu sur offre actuelle, attend retour si intérêt clients. Enrichissement lead impossible (email non valide). Nouvelle piste créée pour équipe Ventes. Pas d'autres actions ou retours prospect notés.&lt;/p&gt;</v>
      </c>
      <c r="H59" s="13" cm="1" t="str">
        <f t="array" ref="H59">IF(G59="","",SUBSTITUTE(SUBSTITUTE(SUBSTITUTE(SUBSTITUTE(SUBSTITUTE(G59,"&lt;p&gt;",""),"&lt;/p&gt;",""),"&lt;ul&gt;",""),"&lt;/ul&gt;",""),"&lt;/strong&gt;",""))</f>
        <v>Appel terminé, prospect a des demandes sur 150-0 B ter, rdv téléphonique prévu sur offre actuelle, attend retour si intérêt clients. Enrichissement lead impossible (email non valide). Nouvelle piste créée pour équipe Ventes. Pas d'autres actions ou retours prospect notés.</v>
      </c>
      <c r="I59" s="14" cm="1" t="str">
        <f t="array" ref="I59">IF(C59="","",IF(OR(H59="",H59=0,H59=FALSE),"-",H59))</f>
        <v>Appel terminé, prospect a des demandes sur 150-0 B ter, rdv téléphonique prévu sur offre actuelle, attend retour si intérêt clients. Enrichissement lead impossible (email non valide). Nouvelle piste créée pour équipe Ventes. Pas d'autres actions ou retours prospect notés.</v>
      </c>
      <c r="J59" s="8">
</c>
      <c r="K59" s="8" t="s">
        <v>35</v>
      </c>
      <c r="L59" s="9" cm="1" t="str">
        <f t="array" ref="L59">IF(C59="","",IF(K59="Mort / Plus rien à faire","KO","OK"))</f>
        <v>OK</v>
      </c>
      <c r="M59" s="15">
        <v>46087.71436342593</v>
      </c>
      <c r="N59" s="15" cm="1" t="n">
        <f t="array" ref="N59">IF(OR(C59="",M59="",M59=0),"",M59)</f>
        <v>46087.71436342593</v>
      </c>
      <c r="O59" s="15">
        <v>46084.041666666664</v>
      </c>
      <c r="P59" s="15" cm="1" t="n">
        <f t="array" ref="P59">IF(C59="","",IF(OR(O59="",O59=0),"-",O59))</f>
        <v>46084.041666666664</v>
      </c>
      <c r="Q59" s="16">
        <v>0</v>
      </c>
      <c r="R59" s="16" cm="1" t="str">
        <f t="array" ref="R59">IF(C59="","",ROUND(Q59/1000000,3)&amp;" M€")</f>
        <v>0 M€</v>
      </c>
      <c r="S59" s="12" t="s">
        <v>134</v>
      </c>
      <c r="T59" s="9" cm="1" t="str">
        <f t="array" ref="T59">IF(C59="","",SUBSTITUTE(S59,"","")&amp;"%")</f>
        <v>10%</v>
      </c>
      <c r="U59" s="9" cm="1" t="str">
        <f t="array" ref="U59">IF(($N59="")*($P59=""),"",IF(($N59&lt;&gt;"")*($N59&gt;TODAY()-9)*($N59&lt;TODAY()+1)*($P59&lt;&gt;"")*($P59&gt;=TODAY())*($P59&lt;=TODAY()+13),"Semaine passée &amp; à venir",IF(($N59&lt;&gt;"")*($N59&gt;TODAY()-9)*($N59&lt;TODAY()+1),"Semaine passée",IF(($P59&lt;&gt;"")*($P59&gt;=TODAY())*($P59&lt;=TODAY()+13),"À venir","Autre"))))</f>
        <v>Semaine passée</v>
      </c>
      <c r="V59" s="8" cm="1" t="n">
        <f t="array" ref="V59">IF(C59&lt;&gt;"",1,0)</f>
        <v>1</v>
      </c>
      <c r="W59" s="8">
</c>
      <c r="X59" s="8">
</c>
      <c r="Y59" s="8">
</c>
      <c r="Z59" s="8">
</c>
      <c r="AA59" s="8">
</c>
      <c r="AB59" s="8">
</c>
      <c r="AC59" s="8">
</c>
      <c r="AD59" s="8">
</c>
      <c r="AE59" s="8">
</c>
      <c r="AF59" s="8">
</c>
      <c r="AG59" s="8">
</c>
      <c r="AH59" s="8">
</c>
      <c r="AI59" s="8">
</c>
      <c r="AJ59" s="8">
</c>
      <c r="AK59" s="8">
</c>
    </row>
    <row r="60" ht="76.5" customHeight="1">
      <c r="A60" s="9" t="s">
        <v>23</v>
      </c>
      <c r="B60" s="9" t="s">
        <v>85</v>
      </c>
      <c r="C60" s="12" t="s">
        <v>232</v>
      </c>
      <c r="D60" s="12" t="s">
        <v>233</v>
      </c>
      <c r="E60" s="9" t="s">
        <v>27</v>
      </c>
      <c r="F60" s="8" t="s">
        <v>234</v>
      </c>
      <c r="G60" s="13" cm="1" t="str">
        <f t="array" ref="G60">IF(F60="","",SUBSTITUTE(SUBSTITUTE(SUBSTITUTE(SUBSTITUTE(F60,"&lt;li&gt;",CHAR(10)),"&lt;/li&gt;",""),"&lt;br&gt;",CHAR(10)),"&lt;strong&gt;",""))</f>
        <v>&lt;p&gt;RDV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maintenir.&lt;/p&gt;</v>
      </c>
      <c r="H60" s="13" cm="1" t="str">
        <f t="array" ref="H60">IF(G60="","",SUBSTITUTE(SUBSTITUTE(SUBSTITUTE(SUBSTITUTE(SUBSTITUTE(G60,"&lt;p&gt;",""),"&lt;/p&gt;",""),"&lt;ul&gt;",""),"&lt;/ul&gt;",""),"&lt;/strong&gt;",""))</f>
        <v>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v>
      </c>
      <c r="I60" s="14" cm="1" t="str">
        <f t="array" ref="I60">IF(C60="","",IF(OR(H60="",H60=0,H60=FALSE),"-",H60))</f>
        <v>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v>
      </c>
      <c r="J60" s="8">
</c>
      <c r="K60" s="8" t="s">
        <v>225</v>
      </c>
      <c r="L60" s="9" cm="1" t="str">
        <f t="array" ref="L60">IF(C60="","",IF(K60="Mort / Plus rien à faire","KO","OK"))</f>
        <v>OK</v>
      </c>
      <c r="M60" s="15">
        <v>46063.69364583334</v>
      </c>
      <c r="N60" s="15" cm="1" t="n">
        <f t="array" ref="N60">IF(OR(C60="",M60="",M60=0),"",M60)</f>
        <v>46063.69364583334</v>
      </c>
      <c r="O60" s="15">
</c>
      <c r="P60" s="15" cm="1" t="str">
        <f t="array" ref="P60">IF(C60="","",IF(OR(O60="",O60=0),"-",O60))</f>
        <v>-</v>
      </c>
      <c r="Q60" s="16">
        <v>0</v>
      </c>
      <c r="R60" s="16" cm="1" t="str">
        <f t="array" ref="R60">IF(C60="","",ROUND(Q60/1000000,3)&amp;" M€")</f>
        <v>0 M€</v>
      </c>
      <c r="S60" s="12" t="s">
        <v>134</v>
      </c>
      <c r="T60" s="9" cm="1" t="str">
        <f t="array" ref="T60">IF(C60="","",SUBSTITUTE(S60,"","")&amp;"%")</f>
        <v>10%</v>
      </c>
      <c r="U60" s="9" cm="1" t="str">
        <f t="array" ref="U60">IF(($N60="")*($P60=""),"",IF(($N60&lt;&gt;"")*($N60&gt;TODAY()-9)*($N60&lt;TODAY()+1)*($P60&lt;&gt;"")*($P60&gt;=TODAY())*($P60&lt;=TODAY()+13),"Semaine passée &amp; à venir",IF(($N60&lt;&gt;"")*($N60&gt;TODAY()-9)*($N60&lt;TODAY()+1),"Semaine passée",IF(($P60&lt;&gt;"")*($P60&gt;=TODAY())*($P60&lt;=TODAY()+13),"À venir","Autre"))))</f>
        <v>Autre</v>
      </c>
      <c r="V60" s="8" cm="1" t="n">
        <f t="array" ref="V60">IF(C60&lt;&gt;"",1,0)</f>
        <v>1</v>
      </c>
      <c r="W60" s="8">
</c>
      <c r="X60" s="8">
</c>
      <c r="Y60" s="8">
</c>
      <c r="Z60" s="8">
</c>
      <c r="AA60" s="8">
</c>
      <c r="AB60" s="8">
</c>
      <c r="AC60" s="8">
</c>
      <c r="AD60" s="8">
</c>
      <c r="AE60" s="8">
</c>
      <c r="AF60" s="8">
</c>
      <c r="AG60" s="8">
</c>
      <c r="AH60" s="8">
</c>
      <c r="AI60" s="8">
</c>
      <c r="AJ60" s="8">
</c>
      <c r="AK60" s="8">
</c>
    </row>
    <row r="61" ht="76.5" customHeight="1">
      <c r="A61" s="9" t="s">
        <v>23</v>
      </c>
      <c r="B61" s="9" t="s">
        <v>24</v>
      </c>
      <c r="C61" s="12" t="s">
        <v>235</v>
      </c>
      <c r="D61" s="12" t="s">
        <v>236</v>
      </c>
      <c r="E61" s="9" t="s">
        <v>27</v>
      </c>
      <c r="F61" s="8" t="s">
        <v>237</v>
      </c>
      <c r="G61" s="13" cm="1" t="str">
        <f t="array" ref="G61">IF(F61="","",SUBSTITUTE(SUBSTITUTE(SUBSTITUTE(SUBSTITUTE(F61,"&lt;li&gt;",CHAR(10)),"&lt;/li&gt;",""),"&lt;br&gt;",CHAR(10)),"&lt;strong&gt;",""))</f>
        <v>&lt;p&gt;30/01 : RDV physique d'intro réalisé avec Colonel Eric Philippe (Président). Demande formelle reçue, feedback positif, RDV 2 en cours de planification. Pas d'autres actions ou retours prospect détaillés à ce stade. Suivi à prévoir sur l'organisation du prochain RDV.&lt;/p&gt;</v>
      </c>
      <c r="H61" s="13" cm="1" t="str">
        <f t="array" ref="H61">IF(G61="","",SUBSTITUTE(SUBSTITUTE(SUBSTITUTE(SUBSTITUTE(SUBSTITUTE(G61,"&lt;p&gt;",""),"&lt;/p&gt;",""),"&lt;ul&gt;",""),"&lt;/ul&gt;",""),"&lt;/strong&gt;",""))</f>
        <v>30/01 : RDV physique d'intro réalisé avec Colonel Eric Philippe (Président). Demande formelle reçue, feedback positif, RDV 2 en cours de planification. Pas d'autres actions ou retours prospect détaillés à ce stade. Suivi à prévoir sur l'organisation du prochain RDV.</v>
      </c>
      <c r="I61" s="14" cm="1" t="str">
        <f t="array" ref="I61">IF(C61="","",IF(OR(H61="",H61=0,H61=FALSE),"-",H61))</f>
        <v>30/01 : RDV physique d'intro réalisé avec Colonel Eric Philippe (Président). Demande formelle reçue, feedback positif, RDV 2 en cours de planification. Pas d'autres actions ou retours prospect détaillés à ce stade. Suivi à prévoir sur l'organisation du prochain RDV.</v>
      </c>
      <c r="J61" s="8">
</c>
      <c r="K61" s="8" t="s">
        <v>35</v>
      </c>
      <c r="L61" s="9" cm="1" t="str">
        <f t="array" ref="L61">IF(C61="","",IF(K61="Mort / Plus rien à faire","KO","OK"))</f>
        <v>OK</v>
      </c>
      <c r="M61" s="15">
        <v>46052.65418981481</v>
      </c>
      <c r="N61" s="15" cm="1" t="n">
        <f t="array" ref="N61">IF(OR(C61="",M61="",M61=0),"",M61)</f>
        <v>46052.65418981481</v>
      </c>
      <c r="O61" s="15">
</c>
      <c r="P61" s="15" cm="1" t="str">
        <f t="array" ref="P61">IF(C61="","",IF(OR(O61="",O61=0),"-",O61))</f>
        <v>-</v>
      </c>
      <c r="Q61" s="16">
        <v>1000000</v>
      </c>
      <c r="R61" s="16" cm="1" t="str">
        <f t="array" ref="R61">IF(C61="","",ROUND(Q61/1000000,3)&amp;" M€")</f>
        <v>1 M€</v>
      </c>
      <c r="S61" s="12" t="s">
        <v>134</v>
      </c>
      <c r="T61" s="9" cm="1" t="str">
        <f t="array" ref="T61">IF(C61="","",SUBSTITUTE(S61,"","")&amp;"%")</f>
        <v>10%</v>
      </c>
      <c r="U61" s="9" cm="1" t="str">
        <f t="array" ref="U61">IF(($N61="")*($P61=""),"",IF(($N61&lt;&gt;"")*($N61&gt;TODAY()-9)*($N61&lt;TODAY()+1)*($P61&lt;&gt;"")*($P61&gt;=TODAY())*($P61&lt;=TODAY()+13),"Semaine passée &amp; à venir",IF(($N61&lt;&gt;"")*($N61&gt;TODAY()-9)*($N61&lt;TODAY()+1),"Semaine passée",IF(($P61&lt;&gt;"")*($P61&gt;=TODAY())*($P61&lt;=TODAY()+13),"À venir","Autre"))))</f>
        <v>Autre</v>
      </c>
      <c r="V61" s="8" cm="1" t="n">
        <f t="array" ref="V61">IF(C61&lt;&gt;"",1,0)</f>
        <v>1</v>
      </c>
      <c r="W61" s="8">
</c>
      <c r="X61" s="8">
</c>
      <c r="Y61" s="8">
</c>
      <c r="Z61" s="8">
</c>
      <c r="AA61" s="8">
</c>
      <c r="AB61" s="8">
</c>
      <c r="AC61" s="8">
</c>
      <c r="AD61" s="8">
</c>
      <c r="AE61" s="8">
</c>
      <c r="AF61" s="8">
</c>
      <c r="AG61" s="8">
</c>
      <c r="AH61" s="8">
</c>
      <c r="AI61" s="8">
</c>
      <c r="AJ61" s="8">
</c>
      <c r="AK61" s="8">
</c>
    </row>
    <row r="62" ht="76.5" customHeight="1">
      <c r="A62" s="9" t="s">
        <v>23</v>
      </c>
      <c r="B62" s="9" t="s">
        <v>24</v>
      </c>
      <c r="C62" s="12" t="s">
        <v>238</v>
      </c>
      <c r="D62" s="12" t="s">
        <v>239</v>
      </c>
      <c r="E62" s="9" t="s">
        <v>27</v>
      </c>
      <c r="F62" s="8" t="s">
        <v>240</v>
      </c>
      <c r="G62" s="13" cm="1" t="str">
        <f t="array" ref="G62">IF(F62="","",SUBSTITUTE(SUBSTITUTE(SUBSTITUTE(SUBSTITUTE(F62,"&lt;li&gt;",CHAR(10)),"&lt;/li&gt;",""),"&lt;br&gt;",CHAR(10)),"&lt;strong&gt;",""))</f>
        <v>&lt;p&gt;Aucune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récentes.&lt;/p&gt;</v>
      </c>
      <c r="H62" s="13" cm="1" t="str">
        <f t="array" ref="H62">IF(G62="","",SUBSTITUTE(SUBSTITUTE(SUBSTITUTE(SUBSTITUTE(SUBSTITUTE(G62,"&lt;p&gt;",""),"&lt;/p&gt;",""),"&lt;ul&gt;",""),"&lt;/ul&gt;",""),"&lt;/strong&gt;",""))</f>
        <v>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v>
      </c>
      <c r="I62" s="14" cm="1" t="str">
        <f t="array" ref="I62">IF(C62="","",IF(OR(H62="",H62=0,H62=FALSE),"-",H62))</f>
        <v>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v>
      </c>
      <c r="J62" s="8">
</c>
      <c r="K62" s="8" t="s">
        <v>157</v>
      </c>
      <c r="L62" s="9" cm="1" t="str">
        <f t="array" ref="L62">IF(C62="","",IF(K62="Mort / Plus rien à faire","KO","OK"))</f>
        <v>OK</v>
      </c>
      <c r="M62" s="15">
        <v>46087.71902777778</v>
      </c>
      <c r="N62" s="15" cm="1" t="n">
        <f t="array" ref="N62">IF(OR(C62="",M62="",M62=0),"",M62)</f>
        <v>46087.71902777778</v>
      </c>
      <c r="O62" s="15">
</c>
      <c r="P62" s="15" cm="1" t="str">
        <f t="array" ref="P62">IF(C62="","",IF(OR(O62="",O62=0),"-",O62))</f>
        <v>-</v>
      </c>
      <c r="Q62" s="16">
        <v>0</v>
      </c>
      <c r="R62" s="16" cm="1" t="str">
        <f t="array" ref="R62">IF(C62="","",ROUND(Q62/1000000,3)&amp;" M€")</f>
        <v>0 M€</v>
      </c>
      <c r="S62" s="12" t="s">
        <v>134</v>
      </c>
      <c r="T62" s="9" cm="1" t="str">
        <f t="array" ref="T62">IF(C62="","",SUBSTITUTE(S62,"","")&amp;"%")</f>
        <v>10%</v>
      </c>
      <c r="U62" s="9" cm="1" t="str">
        <f t="array" ref="U62">IF(($N62="")*($P62=""),"",IF(($N62&lt;&gt;"")*($N62&gt;TODAY()-9)*($N62&lt;TODAY()+1)*($P62&lt;&gt;"")*($P62&gt;=TODAY())*($P62&lt;=TODAY()+13),"Semaine passée &amp; à venir",IF(($N62&lt;&gt;"")*($N62&gt;TODAY()-9)*($N62&lt;TODAY()+1),"Semaine passée",IF(($P62&lt;&gt;"")*($P62&gt;=TODAY())*($P62&lt;=TODAY()+13),"À venir","Autre"))))</f>
        <v>Semaine passée</v>
      </c>
      <c r="V62" s="8" cm="1" t="n">
        <f t="array" ref="V62">IF(C62&lt;&gt;"",1,0)</f>
        <v>1</v>
      </c>
      <c r="W62" s="8">
</c>
      <c r="X62" s="8">
</c>
      <c r="Y62" s="8">
</c>
      <c r="Z62" s="8">
</c>
      <c r="AA62" s="8">
</c>
      <c r="AB62" s="8">
</c>
      <c r="AC62" s="8">
</c>
      <c r="AD62" s="8">
</c>
      <c r="AE62" s="8">
</c>
      <c r="AF62" s="8">
</c>
      <c r="AG62" s="8">
</c>
      <c r="AH62" s="8">
</c>
      <c r="AI62" s="8">
</c>
      <c r="AJ62" s="8">
</c>
      <c r="AK62" s="8">
</c>
    </row>
    <row r="63" ht="76.5" customHeight="1">
      <c r="A63" s="9" t="s">
        <v>23</v>
      </c>
      <c r="B63" s="9" t="s">
        <v>241</v>
      </c>
      <c r="C63" s="12" t="s">
        <v>242</v>
      </c>
      <c r="D63" s="12" t="s">
        <v>243</v>
      </c>
      <c r="E63" s="9" t="s">
        <v>27</v>
      </c>
      <c r="F63" s="8" t="s">
        <v>244</v>
      </c>
      <c r="G63" s="13" cm="1" t="str">
        <f t="array" ref="G63">IF(F63="","",SUBSTITUTE(SUBSTITUTE(SUBSTITUTE(SUBSTITUTE(F63,"&lt;li&gt;",CHAR(10)),"&lt;/li&gt;",""),"&lt;br&gt;",CHAR(10)),"&lt;strong&gt;",""))</f>
        <v>&lt;p&gt;Nouvelle piste créée pour équipe Ventes par Romain Andrieu le 06/01/2026. Aucun échange, activité ou action de suivi enregistrés depuis la création. Pas de retour prospect, pas de prochaine étape planifiée, aucune interaction significative à ce jour.&lt;/p&gt;</v>
      </c>
      <c r="H63" s="13" cm="1" t="str">
        <f t="array" ref="H63">IF(G63="","",SUBSTITUTE(SUBSTITUTE(SUBSTITUTE(SUBSTITUTE(SUBSTITUTE(G63,"&lt;p&gt;",""),"&lt;/p&gt;",""),"&lt;ul&gt;",""),"&lt;/ul&gt;",""),"&lt;/strong&gt;",""))</f>
        <v>Nouvelle piste créée pour équipe Ventes par Romain Andrieu le 06/01/2026. Aucun échange, activité ou action de suivi enregistrés depuis la création. Pas de retour prospect, pas de prochaine étape planifiée, aucune interaction significative à ce jour.</v>
      </c>
      <c r="I63" s="14" cm="1" t="str">
        <f t="array" ref="I63">IF(C63="","",IF(OR(H63="",H63=0,H63=FALSE),"-",H63))</f>
        <v>Nouvelle piste créée pour équipe Ventes par Romain Andrieu le 06/01/2026. Aucun échange, activité ou action de suivi enregistrés depuis la création. Pas de retour prospect, pas de prochaine étape planifiée, aucune interaction significative à ce jour.</v>
      </c>
      <c r="J63" s="8">
</c>
      <c r="K63" s="8" t="s">
        <v>35</v>
      </c>
      <c r="L63" s="9" cm="1" t="str">
        <f t="array" ref="L63">IF(C63="","",IF(K63="Mort / Plus rien à faire","KO","OK"))</f>
        <v>OK</v>
      </c>
      <c r="M63" s="15">
        <v>46028.81208333333</v>
      </c>
      <c r="N63" s="15" cm="1" t="n">
        <f t="array" ref="N63">IF(OR(C63="",M63="",M63=0),"",M63)</f>
        <v>46028.81208333333</v>
      </c>
      <c r="O63" s="15">
</c>
      <c r="P63" s="15" cm="1" t="str">
        <f t="array" ref="P63">IF(C63="","",IF(OR(O63="",O63=0),"-",O63))</f>
        <v>-</v>
      </c>
      <c r="Q63" s="16">
        <v>10000000</v>
      </c>
      <c r="R63" s="16" cm="1" t="str">
        <f t="array" ref="R63">IF(C63="","",ROUND(Q63/1000000,3)&amp;" M€")</f>
        <v>10 M€</v>
      </c>
      <c r="S63" s="12" t="s">
        <v>134</v>
      </c>
      <c r="T63" s="9" cm="1" t="str">
        <f t="array" ref="T63">IF(C63="","",SUBSTITUTE(S63,"","")&amp;"%")</f>
        <v>10%</v>
      </c>
      <c r="U63" s="9" cm="1" t="str">
        <f t="array" ref="U63">IF(($N63="")*($P63=""),"",IF(($N63&lt;&gt;"")*($N63&gt;TODAY()-9)*($N63&lt;TODAY()+1)*($P63&lt;&gt;"")*($P63&gt;=TODAY())*($P63&lt;=TODAY()+13),"Semaine passée &amp; à venir",IF(($N63&lt;&gt;"")*($N63&gt;TODAY()-9)*($N63&lt;TODAY()+1),"Semaine passée",IF(($P63&lt;&gt;"")*($P63&gt;=TODAY())*($P63&lt;=TODAY()+13),"À venir","Autre"))))</f>
        <v>Autre</v>
      </c>
      <c r="V63" s="8" cm="1" t="n">
        <f t="array" ref="V63">IF(C63&lt;&gt;"",1,0)</f>
        <v>1</v>
      </c>
      <c r="W63" s="8">
</c>
      <c r="X63" s="8">
</c>
      <c r="Y63" s="8">
</c>
      <c r="Z63" s="8">
</c>
      <c r="AA63" s="8">
</c>
      <c r="AB63" s="8">
</c>
      <c r="AC63" s="8">
</c>
      <c r="AD63" s="8">
</c>
      <c r="AE63" s="8">
</c>
      <c r="AF63" s="8">
</c>
      <c r="AG63" s="8">
</c>
      <c r="AH63" s="8">
</c>
      <c r="AI63" s="8">
</c>
      <c r="AJ63" s="8">
</c>
      <c r="AK63" s="8">
</c>
    </row>
    <row r="64" ht="76.5" customHeight="1">
      <c r="A64" s="9" t="s">
        <v>23</v>
      </c>
      <c r="B64" s="9" t="s">
        <v>245</v>
      </c>
      <c r="C64" s="12" t="s">
        <v>246</v>
      </c>
      <c r="D64" s="12" t="s">
        <v>247</v>
      </c>
      <c r="E64" s="9" t="s">
        <v>53</v>
      </c>
      <c r="F64" s="8" t="s">
        <v>248</v>
      </c>
      <c r="G64" s="13" cm="1" t="str">
        <f t="array" ref="G64">IF(F64="","",SUBSTITUTE(SUBSTITUTE(SUBSTITUTE(SUBSTITUTE(F64,"&lt;li&gt;",CHAR(10)),"&lt;/li&gt;",""),"&lt;br&gt;",CHAR(10)),"&lt;strong&gt;",""))</f>
        <v>&lt;p&gt;03/02/2026: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notés.&lt;/p&gt;</v>
      </c>
      <c r="H64" s="13" cm="1" t="str">
        <f t="array" ref="H64">IF(G64="","",SUBSTITUTE(SUBSTITUTE(SUBSTITUTE(SUBSTITUTE(SUBSTITUTE(G64,"&lt;p&gt;",""),"&lt;/p&gt;",""),"&lt;ul&gt;",""),"&lt;/ul&gt;",""),"&lt;/strong&gt;",""))</f>
        <v>03/02/2026: Point offre remploi. 28/01: Préparation petit déjeuner sur fonds remploi et deeptech. Enrichissement lead impossible (email invalide). Nouvelle piste créée équipe Ventes. Prochaine étape: organiser petit déjeuner thématique. Pas d'autres actions ou retours prospects notés.</v>
      </c>
      <c r="I64" s="14" cm="1" t="str">
        <f t="array" ref="I64">IF(C64="","",IF(OR(H64="",H64=0,H64=FALSE),"-",H64))</f>
        <v>03/02/2026: Point offre remploi. 28/01: Préparation petit déjeuner sur fonds remploi et deeptech. Enrichissement lead impossible (email invalide). Nouvelle piste créée équipe Ventes. Prochaine étape: organiser petit déjeuner thématique. Pas d'autres actions ou retours prospects notés.</v>
      </c>
      <c r="J64" s="8">
</c>
      <c r="K64" s="8" t="s">
        <v>35</v>
      </c>
      <c r="L64" s="9" cm="1" t="str">
        <f t="array" ref="L64">IF(C64="","",IF(K64="Mort / Plus rien à faire","KO","OK"))</f>
        <v>OK</v>
      </c>
      <c r="M64" s="15">
        <v>46063.47023148148</v>
      </c>
      <c r="N64" s="15" cm="1" t="n">
        <f t="array" ref="N64">IF(OR(C64="",M64="",M64=0),"",M64)</f>
        <v>46063.47023148148</v>
      </c>
      <c r="O64" s="15">
</c>
      <c r="P64" s="15" cm="1" t="str">
        <f t="array" ref="P64">IF(C64="","",IF(OR(O64="",O64=0),"-",O64))</f>
        <v>-</v>
      </c>
      <c r="Q64" s="16">
        <v>0</v>
      </c>
      <c r="R64" s="16" cm="1" t="str">
        <f t="array" ref="R64">IF(C64="","",ROUND(Q64/1000000,3)&amp;" M€")</f>
        <v>0 M€</v>
      </c>
      <c r="S64" s="12" t="s">
        <v>134</v>
      </c>
      <c r="T64" s="9" cm="1" t="str">
        <f t="array" ref="T64">IF(C64="","",SUBSTITUTE(S64,"","")&amp;"%")</f>
        <v>10%</v>
      </c>
      <c r="U64" s="9" cm="1" t="str">
        <f t="array" ref="U64">IF(($N64="")*($P64=""),"",IF(($N64&lt;&gt;"")*($N64&gt;TODAY()-9)*($N64&lt;TODAY()+1)*($P64&lt;&gt;"")*($P64&gt;=TODAY())*($P64&lt;=TODAY()+13),"Semaine passée &amp; à venir",IF(($N64&lt;&gt;"")*($N64&gt;TODAY()-9)*($N64&lt;TODAY()+1),"Semaine passée",IF(($P64&lt;&gt;"")*($P64&gt;=TODAY())*($P64&lt;=TODAY()+13),"À venir","Autre"))))</f>
        <v>Autre</v>
      </c>
      <c r="V64" s="8" cm="1" t="n">
        <f t="array" ref="V64">IF(C64&lt;&gt;"",1,0)</f>
        <v>1</v>
      </c>
      <c r="W64" s="8">
</c>
      <c r="X64" s="8">
</c>
      <c r="Y64" s="8">
</c>
      <c r="Z64" s="8">
</c>
      <c r="AA64" s="8">
</c>
      <c r="AB64" s="8">
</c>
      <c r="AC64" s="8">
</c>
      <c r="AD64" s="8">
</c>
      <c r="AE64" s="8">
</c>
      <c r="AF64" s="8">
</c>
      <c r="AG64" s="8">
</c>
      <c r="AH64" s="8">
</c>
      <c r="AI64" s="8">
</c>
      <c r="AJ64" s="8">
</c>
      <c r="AK64" s="8">
</c>
    </row>
    <row r="65" ht="76.5" customHeight="1">
      <c r="A65" s="9" t="s">
        <v>23</v>
      </c>
      <c r="B65" s="9" t="s">
        <v>77</v>
      </c>
      <c r="C65" s="12" t="s">
        <v>249</v>
      </c>
      <c r="D65" s="12" t="s">
        <v>250</v>
      </c>
      <c r="E65" s="9" t="s">
        <v>53</v>
      </c>
      <c r="F65" s="8" t="s">
        <v>251</v>
      </c>
      <c r="G65" s="13" cm="1" t="str">
        <f t="array" ref="G65">IF(F65="","",SUBSTITUTE(SUBSTITUTE(SUBSTITUTE(SUBSTITUTE(F65,"&lt;li&gt;",CHAR(10)),"&lt;/li&gt;",""),"&lt;br&gt;",CHAR(10)),"&lt;strong&gt;",""))</f>
        <v>&lt;p&gt;Intérêt souverain noté le 28/01, création piste pour équipe Ventes. Tentative d'enrichissement lead échouée (email invalide). Aucune activité ou action supplémentaire enregistrée, pas de prochaine étape identifiée à ce jour.&lt;/p&gt;</v>
      </c>
      <c r="H65" s="13" cm="1" t="str">
        <f t="array" ref="H65">IF(G65="","",SUBSTITUTE(SUBSTITUTE(SUBSTITUTE(SUBSTITUTE(SUBSTITUTE(G65,"&lt;p&gt;",""),"&lt;/p&gt;",""),"&lt;ul&gt;",""),"&lt;/ul&gt;",""),"&lt;/strong&gt;",""))</f>
        <v>Intérêt souverain noté le 28/01, création piste pour équipe Ventes. Tentative d'enrichissement lead échouée (email invalide). Aucune activité ou action supplémentaire enregistrée, pas de prochaine étape identifiée à ce jour.</v>
      </c>
      <c r="I65" s="14" cm="1" t="str">
        <f t="array" ref="I65">IF(C65="","",IF(OR(H65="",H65=0,H65=FALSE),"-",H65))</f>
        <v>Intérêt souverain noté le 28/01, création piste pour équipe Ventes. Tentative d'enrichissement lead échouée (email invalide). Aucune activité ou action supplémentaire enregistrée, pas de prochaine étape identifiée à ce jour.</v>
      </c>
      <c r="J65" s="8">
</c>
      <c r="K65" s="8" t="s">
        <v>35</v>
      </c>
      <c r="L65" s="9" cm="1" t="str">
        <f t="array" ref="L65">IF(C65="","",IF(K65="Mort / Plus rien à faire","KO","OK"))</f>
        <v>OK</v>
      </c>
      <c r="M65" s="15">
        <v>46050.68548611111</v>
      </c>
      <c r="N65" s="15" cm="1" t="n">
        <f t="array" ref="N65">IF(OR(C65="",M65="",M65=0),"",M65)</f>
        <v>46050.68548611111</v>
      </c>
      <c r="O65" s="15">
</c>
      <c r="P65" s="15" cm="1" t="str">
        <f t="array" ref="P65">IF(C65="","",IF(OR(O65="",O65=0),"-",O65))</f>
        <v>-</v>
      </c>
      <c r="Q65" s="16">
        <v>0</v>
      </c>
      <c r="R65" s="16" cm="1" t="str">
        <f t="array" ref="R65">IF(C65="","",ROUND(Q65/1000000,3)&amp;" M€")</f>
        <v>0 M€</v>
      </c>
      <c r="S65" s="12" t="s">
        <v>134</v>
      </c>
      <c r="T65" s="9" cm="1" t="str">
        <f t="array" ref="T65">IF(C65="","",SUBSTITUTE(S65,"","")&amp;"%")</f>
        <v>10%</v>
      </c>
      <c r="U65" s="9" cm="1" t="str">
        <f t="array" ref="U65">IF(($N65="")*($P65=""),"",IF(($N65&lt;&gt;"")*($N65&gt;TODAY()-9)*($N65&lt;TODAY()+1)*($P65&lt;&gt;"")*($P65&gt;=TODAY())*($P65&lt;=TODAY()+13),"Semaine passée &amp; à venir",IF(($N65&lt;&gt;"")*($N65&gt;TODAY()-9)*($N65&lt;TODAY()+1),"Semaine passée",IF(($P65&lt;&gt;"")*($P65&gt;=TODAY())*($P65&lt;=TODAY()+13),"À venir","Autre"))))</f>
        <v>Autre</v>
      </c>
      <c r="V65" s="8" cm="1" t="n">
        <f t="array" ref="V65">IF(C65&lt;&gt;"",1,0)</f>
        <v>1</v>
      </c>
      <c r="W65" s="8">
</c>
      <c r="X65" s="8">
</c>
      <c r="Y65" s="8">
</c>
      <c r="Z65" s="8">
</c>
      <c r="AA65" s="8">
</c>
      <c r="AB65" s="8">
</c>
      <c r="AC65" s="8">
</c>
      <c r="AD65" s="8">
</c>
      <c r="AE65" s="8">
</c>
      <c r="AF65" s="8">
</c>
      <c r="AG65" s="8">
</c>
      <c r="AH65" s="8">
</c>
      <c r="AI65" s="8">
</c>
      <c r="AJ65" s="8">
</c>
      <c r="AK65" s="8">
</c>
    </row>
    <row r="66" ht="76.5" customHeight="1">
      <c r="A66" s="9" t="s">
        <v>23</v>
      </c>
      <c r="B66" s="9" t="s">
        <v>24</v>
      </c>
      <c r="C66" s="12" t="s">
        <v>252</v>
      </c>
      <c r="D66" s="12" t="s">
        <v>253</v>
      </c>
      <c r="E66" s="9" t="s">
        <v>27</v>
      </c>
      <c r="F66" s="8" t="s">
        <v>254</v>
      </c>
      <c r="G66" s="13" cm="1" t="str">
        <f t="array" ref="G66">IF(F66="","",SUBSTITUTE(SUBSTITUTE(SUBSTITUTE(SUBSTITUTE(F66,"&lt;li&gt;",CHAR(10)),"&lt;/li&gt;",""),"&lt;br&gt;",CHAR(10)),"&lt;strong&gt;",""))</f>
        <v>&lt;p&gt;RDV physique réalisé avec Aurélie Dumont pour fonds XXXX, échanges synthétisés, prochaines étapes définies (détails non précisés). Nouvelle piste créée pour équipe Ventes. Pas d'autres activités ou retours prospect détaillés. Suivi à poursuivre selon plan établi.&lt;/p&gt;</v>
      </c>
      <c r="H66" s="13" cm="1" t="str">
        <f t="array" ref="H66">IF(G66="","",SUBSTITUTE(SUBSTITUTE(SUBSTITUTE(SUBSTITUTE(SUBSTITUTE(G66,"&lt;p&gt;",""),"&lt;/p&gt;",""),"&lt;ul&gt;",""),"&lt;/ul&gt;",""),"&lt;/strong&gt;",""))</f>
        <v>RDV physique réalisé avec Aurélie Dumont pour fonds XXXX, échanges synthétisés, prochaines étapes définies (détails non précisés). Nouvelle piste créée pour équipe Ventes. Pas d'autres activités ou retours prospect détaillés. Suivi à poursuivre selon plan établi.</v>
      </c>
      <c r="I66" s="14" cm="1" t="str">
        <f t="array" ref="I66">IF(C66="","",IF(OR(H66="",H66=0,H66=FALSE),"-",H66))</f>
        <v>RDV physique réalisé avec Aurélie Dumont pour fonds XXXX, échanges synthétisés, prochaines étapes définies (détails non précisés). Nouvelle piste créée pour équipe Ventes. Pas d'autres activités ou retours prospect détaillés. Suivi à poursuivre selon plan établi.</v>
      </c>
      <c r="J66" s="8">
</c>
      <c r="K66" s="8" t="s">
        <v>157</v>
      </c>
      <c r="L66" s="9" cm="1" t="str">
        <f t="array" ref="L66">IF(C66="","",IF(K66="Mort / Plus rien à faire","KO","OK"))</f>
        <v>OK</v>
      </c>
      <c r="M66" s="15">
        <v>46087.71896990741</v>
      </c>
      <c r="N66" s="15" cm="1" t="n">
        <f t="array" ref="N66">IF(OR(C66="",M66="",M66=0),"",M66)</f>
        <v>46087.71896990741</v>
      </c>
      <c r="O66" s="15">
</c>
      <c r="P66" s="15" cm="1" t="str">
        <f t="array" ref="P66">IF(C66="","",IF(OR(O66="",O66=0),"-",O66))</f>
        <v>-</v>
      </c>
      <c r="Q66" s="16">
        <v>0</v>
      </c>
      <c r="R66" s="16" cm="1" t="str">
        <f t="array" ref="R66">IF(C66="","",ROUND(Q66/1000000,3)&amp;" M€")</f>
        <v>0 M€</v>
      </c>
      <c r="S66" s="12" t="s">
        <v>134</v>
      </c>
      <c r="T66" s="9" cm="1" t="str">
        <f t="array" ref="T66">IF(C66="","",SUBSTITUTE(S66,"","")&amp;"%")</f>
        <v>10%</v>
      </c>
      <c r="U66" s="9" cm="1" t="str">
        <f t="array" ref="U66">IF(($N66="")*($P66=""),"",IF(($N66&lt;&gt;"")*($N66&gt;TODAY()-9)*($N66&lt;TODAY()+1)*($P66&lt;&gt;"")*($P66&gt;=TODAY())*($P66&lt;=TODAY()+13),"Semaine passée &amp; à venir",IF(($N66&lt;&gt;"")*($N66&gt;TODAY()-9)*($N66&lt;TODAY()+1),"Semaine passée",IF(($P66&lt;&gt;"")*($P66&gt;=TODAY())*($P66&lt;=TODAY()+13),"À venir","Autre"))))</f>
        <v>Semaine passée</v>
      </c>
      <c r="V66" s="8" cm="1" t="n">
        <f t="array" ref="V66">IF(C66&lt;&gt;"",1,0)</f>
        <v>1</v>
      </c>
      <c r="W66" s="8">
</c>
      <c r="X66" s="8">
</c>
      <c r="Y66" s="8">
</c>
      <c r="Z66" s="8">
</c>
      <c r="AA66" s="8">
</c>
      <c r="AB66" s="8">
</c>
      <c r="AC66" s="8">
</c>
      <c r="AD66" s="8">
</c>
      <c r="AE66" s="8">
</c>
      <c r="AF66" s="8">
</c>
      <c r="AG66" s="8">
</c>
      <c r="AH66" s="8">
</c>
      <c r="AI66" s="8">
</c>
      <c r="AJ66" s="8">
</c>
      <c r="AK66" s="8">
</c>
    </row>
    <row r="67" ht="76.5" customHeight="1">
      <c r="A67" s="9" t="s">
        <v>23</v>
      </c>
      <c r="B67" s="9" t="s">
        <v>60</v>
      </c>
      <c r="C67" s="12" t="s">
        <v>255</v>
      </c>
      <c r="D67" s="12" t="s">
        <v>255</v>
      </c>
      <c r="E67" s="9" t="s">
        <v>27</v>
      </c>
      <c r="F67" s="8" t="s">
        <v>256</v>
      </c>
      <c r="G67" s="13" cm="1" t="str">
        <f t="array" ref="G67">IF(F67="","",SUBSTITUTE(SUBSTITUTE(SUBSTITUTE(SUBSTITUTE(F67,"&lt;li&gt;",CHAR(10)),"&lt;/li&gt;",""),"&lt;br&gt;",CHAR(10)),"&lt;strong&gt;",""))</f>
        <v>&lt;p&gt;Aucune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prospect.&lt;/p&gt;</v>
      </c>
      <c r="H67" s="13" cm="1" t="str">
        <f t="array" ref="H67">IF(G67="","",SUBSTITUTE(SUBSTITUTE(SUBSTITUTE(SUBSTITUTE(SUBSTITUTE(G67,"&lt;p&gt;",""),"&lt;/p&gt;",""),"&lt;ul&gt;",""),"&lt;/ul&gt;",""),"&lt;/strong&gt;",""))</f>
        <v>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v>
      </c>
      <c r="I67" s="14" cm="1" t="str">
        <f t="array" ref="I67">IF(C67="","",IF(OR(H67="",H67=0,H67=FALSE),"-",H67))</f>
        <v>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v>
      </c>
      <c r="J67" s="8">
</c>
      <c r="K67" s="8" t="s">
        <v>157</v>
      </c>
      <c r="L67" s="9" cm="1" t="str">
        <f t="array" ref="L67">IF(C67="","",IF(K67="Mort / Plus rien à faire","KO","OK"))</f>
        <v>OK</v>
      </c>
      <c r="M67" s="15">
        <v>46028.549733796295</v>
      </c>
      <c r="N67" s="15" cm="1" t="n">
        <f t="array" ref="N67">IF(OR(C67="",M67="",M67=0),"",M67)</f>
        <v>46028.549733796295</v>
      </c>
      <c r="O67" s="15">
</c>
      <c r="P67" s="15" cm="1" t="str">
        <f t="array" ref="P67">IF(C67="","",IF(OR(O67="",O67=0),"-",O67))</f>
        <v>-</v>
      </c>
      <c r="Q67" s="16">
        <v>100000</v>
      </c>
      <c r="R67" s="16" cm="1" t="str">
        <f t="array" ref="R67">IF(C67="","",ROUND(Q67/1000000,3)&amp;" M€")</f>
        <v>0.1 M€</v>
      </c>
      <c r="S67" s="12" t="s">
        <v>134</v>
      </c>
      <c r="T67" s="9" cm="1" t="str">
        <f t="array" ref="T67">IF(C67="","",SUBSTITUTE(S67,"","")&amp;"%")</f>
        <v>10%</v>
      </c>
      <c r="U67" s="9" cm="1" t="str">
        <f t="array" ref="U67">IF(($N67="")*($P67=""),"",IF(($N67&lt;&gt;"")*($N67&gt;TODAY()-9)*($N67&lt;TODAY()+1)*($P67&lt;&gt;"")*($P67&gt;=TODAY())*($P67&lt;=TODAY()+13),"Semaine passée &amp; à venir",IF(($N67&lt;&gt;"")*($N67&gt;TODAY()-9)*($N67&lt;TODAY()+1),"Semaine passée",IF(($P67&lt;&gt;"")*($P67&gt;=TODAY())*($P67&lt;=TODAY()+13),"À venir","Autre"))))</f>
        <v>Autre</v>
      </c>
      <c r="V67" s="8" cm="1" t="n">
        <f t="array" ref="V67">IF(C67&lt;&gt;"",1,0)</f>
        <v>1</v>
      </c>
      <c r="W67" s="8">
</c>
      <c r="X67" s="8">
</c>
      <c r="Y67" s="8">
</c>
      <c r="Z67" s="8">
</c>
      <c r="AA67" s="8">
</c>
      <c r="AB67" s="8">
</c>
      <c r="AC67" s="8">
</c>
      <c r="AD67" s="8">
</c>
      <c r="AE67" s="8">
</c>
      <c r="AF67" s="8">
</c>
      <c r="AG67" s="8">
</c>
      <c r="AH67" s="8">
</c>
      <c r="AI67" s="8">
</c>
      <c r="AJ67" s="8">
</c>
      <c r="AK67" s="8">
</c>
    </row>
    <row r="68" ht="76.5" customHeight="1">
      <c r="A68" s="9" t="s">
        <v>23</v>
      </c>
      <c r="B68" s="9" t="s">
        <v>85</v>
      </c>
      <c r="C68" s="12" t="s">
        <v>257</v>
      </c>
      <c r="D68" s="12" t="s">
        <v>258</v>
      </c>
      <c r="E68" s="9" t="s">
        <v>27</v>
      </c>
      <c r="F68" s="8" t="s">
        <v>259</v>
      </c>
      <c r="G68" s="13" cm="1" t="str">
        <f t="array" ref="G68">IF(F68="","",SUBSTITUTE(SUBSTITUTE(SUBSTITUTE(SUBSTITUTE(F68,"&lt;li&gt;",CHAR(10)),"&lt;/li&gt;",""),"&lt;br&gt;",CHAR(10)),"&lt;strong&gt;",""))</f>
        <v>&lt;p&gt;Aucune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disponibles.&lt;/p&gt;</v>
      </c>
      <c r="H68" s="13" cm="1" t="str">
        <f t="array" ref="H68">IF(G68="","",SUBSTITUTE(SUBSTITUTE(SUBSTITUTE(SUBSTITUTE(SUBSTITUTE(G68,"&lt;p&gt;",""),"&lt;/p&gt;",""),"&lt;ul&gt;",""),"&lt;/ul&gt;",""),"&lt;/strong&gt;",""))</f>
        <v>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v>
      </c>
      <c r="I68" s="14" cm="1" t="str">
        <f t="array" ref="I68">IF(C68="","",IF(OR(H68="",H68=0,H68=FALSE),"-",H68))</f>
        <v>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v>
      </c>
      <c r="J68" s="8">
</c>
      <c r="K68" s="8" t="s">
        <v>157</v>
      </c>
      <c r="L68" s="9" cm="1" t="str">
        <f t="array" ref="L68">IF(C68="","",IF(K68="Mort / Plus rien à faire","KO","OK"))</f>
        <v>OK</v>
      </c>
      <c r="M68" s="15">
        <v>45992.44721064815</v>
      </c>
      <c r="N68" s="15" cm="1" t="n">
        <f t="array" ref="N68">IF(OR(C68="",M68="",M68=0),"",M68)</f>
        <v>45992.44721064815</v>
      </c>
      <c r="O68" s="15">
</c>
      <c r="P68" s="15" cm="1" t="str">
        <f t="array" ref="P68">IF(C68="","",IF(OR(O68="",O68=0),"-",O68))</f>
        <v>-</v>
      </c>
      <c r="Q68" s="16">
        <v>0</v>
      </c>
      <c r="R68" s="16" cm="1" t="str">
        <f t="array" ref="R68">IF(C68="","",ROUND(Q68/1000000,3)&amp;" M€")</f>
        <v>0 M€</v>
      </c>
      <c r="S68" s="12" t="s">
        <v>134</v>
      </c>
      <c r="T68" s="9" cm="1" t="str">
        <f t="array" ref="T68">IF(C68="","",SUBSTITUTE(S68,"","")&amp;"%")</f>
        <v>10%</v>
      </c>
      <c r="U68" s="9" cm="1" t="str">
        <f t="array" ref="U68">IF(($N68="")*($P68=""),"",IF(($N68&lt;&gt;"")*($N68&gt;TODAY()-9)*($N68&lt;TODAY()+1)*($P68&lt;&gt;"")*($P68&gt;=TODAY())*($P68&lt;=TODAY()+13),"Semaine passée &amp; à venir",IF(($N68&lt;&gt;"")*($N68&gt;TODAY()-9)*($N68&lt;TODAY()+1),"Semaine passée",IF(($P68&lt;&gt;"")*($P68&gt;=TODAY())*($P68&lt;=TODAY()+13),"À venir","Autre"))))</f>
        <v>Autre</v>
      </c>
      <c r="V68" s="8" cm="1" t="n">
        <f t="array" ref="V68">IF(C68&lt;&gt;"",1,0)</f>
        <v>1</v>
      </c>
      <c r="W68" s="8">
</c>
      <c r="X68" s="8">
</c>
      <c r="Y68" s="8">
</c>
      <c r="Z68" s="8">
</c>
      <c r="AA68" s="8">
</c>
      <c r="AB68" s="8">
</c>
      <c r="AC68" s="8">
</c>
      <c r="AD68" s="8">
</c>
      <c r="AE68" s="8">
</c>
      <c r="AF68" s="8">
</c>
      <c r="AG68" s="8">
</c>
      <c r="AH68" s="8">
</c>
      <c r="AI68" s="8">
</c>
      <c r="AJ68" s="8">
</c>
      <c r="AK68" s="8">
</c>
    </row>
    <row r="69" ht="76.5" customHeight="1">
      <c r="A69" s="9" t="s">
        <v>23</v>
      </c>
      <c r="B69" s="9" t="s">
        <v>85</v>
      </c>
      <c r="C69" s="12" t="s">
        <v>260</v>
      </c>
      <c r="D69" s="12" t="s">
        <v>261</v>
      </c>
      <c r="E69" s="9" t="s">
        <v>27</v>
      </c>
      <c r="F69" s="8" t="s">
        <v>262</v>
      </c>
      <c r="G69" s="13" cm="1" t="str">
        <f t="array" ref="G69">IF(F69="","",SUBSTITUTE(SUBSTITUTE(SUBSTITUTE(SUBSTITUTE(F69,"&lt;li&gt;",CHAR(10)),"&lt;/li&gt;",""),"&lt;br&gt;",CHAR(10)),"&lt;strong&gt;",""))</f>
        <v>&lt;p&gt;RDV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2027.&lt;/p&gt;</v>
      </c>
      <c r="H69" s="13" cm="1" t="str">
        <f t="array" ref="H69">IF(G69="","",SUBSTITUTE(SUBSTITUTE(SUBSTITUTE(SUBSTITUTE(SUBSTITUTE(G69,"&lt;p&gt;",""),"&lt;/p&gt;",""),"&lt;ul&gt;",""),"&lt;/ul&gt;",""),"&lt;/strong&gt;",""))</f>
        <v>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v>
      </c>
      <c r="I69" s="14" cm="1" t="str">
        <f t="array" ref="I69">IF(C69="","",IF(OR(H69="",H69=0,H69=FALSE),"-",H69))</f>
        <v>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v>
      </c>
      <c r="J69" s="8" t="s">
        <v>263</v>
      </c>
      <c r="K69" s="8" t="s">
        <v>65</v>
      </c>
      <c r="L69" s="9" cm="1" t="str">
        <f t="array" ref="L69">IF(C69="","",IF(K69="Mort / Plus rien à faire","KO","OK"))</f>
        <v>OK</v>
      </c>
      <c r="M69" s="15">
        <v>46028.52925925926</v>
      </c>
      <c r="N69" s="15" cm="1" t="n">
        <f t="array" ref="N69">IF(OR(C69="",M69="",M69=0),"",M69)</f>
        <v>46028.52925925926</v>
      </c>
      <c r="O69" s="15">
        <v>46203.083333333336</v>
      </c>
      <c r="P69" s="15" cm="1" t="n">
        <f t="array" ref="P69">IF(C69="","",IF(OR(O69="",O69=0),"-",O69))</f>
        <v>46203.083333333336</v>
      </c>
      <c r="Q69" s="16">
        <v>0</v>
      </c>
      <c r="R69" s="16" cm="1" t="str">
        <f t="array" ref="R69">IF(C69="","",ROUND(Q69/1000000,3)&amp;" M€")</f>
        <v>0 M€</v>
      </c>
      <c r="S69" s="12" t="s">
        <v>134</v>
      </c>
      <c r="T69" s="9" cm="1" t="str">
        <f t="array" ref="T69">IF(C69="","",SUBSTITUTE(S69,"","")&amp;"%")</f>
        <v>10%</v>
      </c>
      <c r="U69" s="9" cm="1" t="str">
        <f t="array" ref="U69">IF(($N69="")*($P69=""),"",IF(($N69&lt;&gt;"")*($N69&gt;TODAY()-9)*($N69&lt;TODAY()+1)*($P69&lt;&gt;"")*($P69&gt;=TODAY())*($P69&lt;=TODAY()+13),"Semaine passée &amp; à venir",IF(($N69&lt;&gt;"")*($N69&gt;TODAY()-9)*($N69&lt;TODAY()+1),"Semaine passée",IF(($P69&lt;&gt;"")*($P69&gt;=TODAY())*($P69&lt;=TODAY()+13),"À venir","Autre"))))</f>
        <v>Autre</v>
      </c>
      <c r="V69" s="8" cm="1" t="n">
        <f t="array" ref="V69">IF(C69&lt;&gt;"",1,0)</f>
        <v>1</v>
      </c>
      <c r="W69" s="8">
</c>
      <c r="X69" s="8">
</c>
      <c r="Y69" s="8">
</c>
      <c r="Z69" s="8">
</c>
      <c r="AA69" s="8">
</c>
      <c r="AB69" s="8">
</c>
      <c r="AC69" s="8">
</c>
      <c r="AD69" s="8">
</c>
      <c r="AE69" s="8">
</c>
      <c r="AF69" s="8">
</c>
      <c r="AG69" s="8">
</c>
      <c r="AH69" s="8">
</c>
      <c r="AI69" s="8">
</c>
      <c r="AJ69" s="8">
</c>
      <c r="AK69" s="8">
</c>
    </row>
    <row r="70" ht="76.5" customHeight="1">
      <c r="A70" s="9" t="s">
        <v>23</v>
      </c>
      <c r="B70" s="9" t="s">
        <v>66</v>
      </c>
      <c r="C70" s="12" t="s">
        <v>264</v>
      </c>
      <c r="D70" s="12" t="s">
        <v>265</v>
      </c>
      <c r="E70" s="9" t="s">
        <v>27</v>
      </c>
      <c r="F70" s="8">
</c>
      <c r="G70" s="13" cm="1" t="str">
        <f t="array" ref="G70">IF(F70="","",SUBSTITUTE(SUBSTITUTE(SUBSTITUTE(SUBSTITUTE(F70,"&lt;li&gt;",CHAR(10)),"&lt;/li&gt;",""),"&lt;br&gt;",CHAR(10)),"&lt;strong&gt;",""))</f>
        <v/>
      </c>
      <c r="H70" s="13" cm="1" t="str">
        <f t="array" ref="H70">IF(G70="","",SUBSTITUTE(SUBSTITUTE(SUBSTITUTE(SUBSTITUTE(SUBSTITUTE(G70,"&lt;p&gt;",""),"&lt;/p&gt;",""),"&lt;ul&gt;",""),"&lt;/ul&gt;",""),"&lt;/strong&gt;",""))</f>
        <v/>
      </c>
      <c r="I70" s="14" cm="1" t="str">
        <f t="array" ref="I70">IF(C70="","",IF(OR(H70="",H70=0,H70=FALSE),"-",H70))</f>
        <v>-</v>
      </c>
      <c r="J70" s="8" t="s">
        <v>266</v>
      </c>
      <c r="K70" s="8" t="s">
        <v>35</v>
      </c>
      <c r="L70" s="9" cm="1" t="str">
        <f t="array" ref="L70">IF(C70="","",IF(K70="Mort / Plus rien à faire","KO","OK"))</f>
        <v>OK</v>
      </c>
      <c r="M70" s="15">
        <v>46087.7187962963</v>
      </c>
      <c r="N70" s="15" cm="1" t="n">
        <f t="array" ref="N70">IF(OR(C70="",M70="",M70=0),"",M70)</f>
        <v>46087.7187962963</v>
      </c>
      <c r="O70" s="15">
        <v>46094.041666666664</v>
      </c>
      <c r="P70" s="15" cm="1" t="n">
        <f t="array" ref="P70">IF(C70="","",IF(OR(O70="",O70=0),"-",O70))</f>
        <v>46094.041666666664</v>
      </c>
      <c r="Q70" s="16">
        <v>0</v>
      </c>
      <c r="R70" s="16" cm="1" t="str">
        <f t="array" ref="R70">IF(C70="","",ROUND(Q70/1000000,3)&amp;" M€")</f>
        <v>0 M€</v>
      </c>
      <c r="S70" s="12" t="s">
        <v>134</v>
      </c>
      <c r="T70" s="9" cm="1" t="str">
        <f t="array" ref="T70">IF(C70="","",SUBSTITUTE(S70,"","")&amp;"%")</f>
        <v>10%</v>
      </c>
      <c r="U70" s="9" cm="1" t="str">
        <f t="array" ref="U70">IF(($N70="")*($P70=""),"",IF(($N70&lt;&gt;"")*($N70&gt;TODAY()-9)*($N70&lt;TODAY()+1)*($P70&lt;&gt;"")*($P70&gt;=TODAY())*($P70&lt;=TODAY()+13),"Semaine passée &amp; à venir",IF(($N70&lt;&gt;"")*($N70&gt;TODAY()-9)*($N70&lt;TODAY()+1),"Semaine passée",IF(($P70&lt;&gt;"")*($P70&gt;=TODAY())*($P70&lt;=TODAY()+13),"À venir","Autre"))))</f>
        <v>Semaine passée &amp; à venir</v>
      </c>
      <c r="V70" s="8" cm="1" t="n">
        <f t="array" ref="V70">IF(C70&lt;&gt;"",1,0)</f>
        <v>1</v>
      </c>
      <c r="W70" s="8">
</c>
      <c r="X70" s="8">
</c>
      <c r="Y70" s="8">
</c>
      <c r="Z70" s="8">
</c>
      <c r="AA70" s="8">
</c>
      <c r="AB70" s="8">
</c>
      <c r="AC70" s="8">
</c>
      <c r="AD70" s="8">
</c>
      <c r="AE70" s="8">
</c>
      <c r="AF70" s="8">
</c>
      <c r="AG70" s="8">
</c>
      <c r="AH70" s="8">
</c>
      <c r="AI70" s="8">
</c>
      <c r="AJ70" s="8">
</c>
      <c r="AK70" s="8">
</c>
    </row>
    <row r="71" ht="76.5" customHeight="1">
      <c r="A71" s="9" t="s">
        <v>23</v>
      </c>
      <c r="B71" s="9" t="s">
        <v>245</v>
      </c>
      <c r="C71" s="12" t="s">
        <v>267</v>
      </c>
      <c r="D71" s="12" t="s">
        <v>268</v>
      </c>
      <c r="E71" s="9" t="s">
        <v>27</v>
      </c>
      <c r="F71" s="8" t="s">
        <v>269</v>
      </c>
      <c r="G71" s="13" cm="1" t="str">
        <f t="array" ref="G71">IF(F71="","",SUBSTITUTE(SUBSTITUTE(SUBSTITUTE(SUBSTITUTE(F71,"&lt;li&gt;",CHAR(10)),"&lt;/li&gt;",""),"&lt;br&gt;",CHAR(10)),"&lt;strong&gt;",""))</f>
        <v>&lt;p&gt;Mail présentation Straton envoyé 10/02, attribution initiale Romain Andrieu. Enrichissement lead impossible (email non valide). Nouvelle piste créée pour équipe Ventes. Pas d'activité ou retour prospect, prochaines étapes non définies. Suivi à relancer si besoin.&lt;/p&gt;</v>
      </c>
      <c r="H71" s="13" cm="1" t="str">
        <f t="array" ref="H71">IF(G71="","",SUBSTITUTE(SUBSTITUTE(SUBSTITUTE(SUBSTITUTE(SUBSTITUTE(G71,"&lt;p&gt;",""),"&lt;/p&gt;",""),"&lt;ul&gt;",""),"&lt;/ul&gt;",""),"&lt;/strong&gt;",""))</f>
        <v>Mail présentation Straton envoyé 10/02, attribution initiale Romain Andrieu. Enrichissement lead impossible (email non valide). Nouvelle piste créée pour équipe Ventes. Pas d'activité ou retour prospect, prochaines étapes non définies. Suivi à relancer si besoin.</v>
      </c>
      <c r="I71" s="14" cm="1" t="str">
        <f t="array" ref="I71">IF(C71="","",IF(OR(H71="",H71=0,H71=FALSE),"-",H71))</f>
        <v>Mail présentation Straton envoyé 10/02, attribution initiale Romain Andrieu. Enrichissement lead impossible (email non valide). Nouvelle piste créée pour équipe Ventes. Pas d'activité ou retour prospect, prochaines étapes non définies. Suivi à relancer si besoin.</v>
      </c>
      <c r="J71" s="8">
</c>
      <c r="K71" s="8" t="s">
        <v>157</v>
      </c>
      <c r="L71" s="9" cm="1" t="str">
        <f t="array" ref="L71">IF(C71="","",IF(K71="Mort / Plus rien à faire","KO","OK"))</f>
        <v>OK</v>
      </c>
      <c r="M71" s="15">
        <v>46063.629016203704</v>
      </c>
      <c r="N71" s="15" cm="1" t="n">
        <f t="array" ref="N71">IF(OR(C71="",M71="",M71=0),"",M71)</f>
        <v>46063.629016203704</v>
      </c>
      <c r="O71" s="15">
</c>
      <c r="P71" s="15" cm="1" t="str">
        <f t="array" ref="P71">IF(C71="","",IF(OR(O71="",O71=0),"-",O71))</f>
        <v>-</v>
      </c>
      <c r="Q71" s="16">
        <v>0</v>
      </c>
      <c r="R71" s="16" cm="1" t="str">
        <f t="array" ref="R71">IF(C71="","",ROUND(Q71/1000000,3)&amp;" M€")</f>
        <v>0 M€</v>
      </c>
      <c r="S71" s="12" t="s">
        <v>134</v>
      </c>
      <c r="T71" s="9" cm="1" t="str">
        <f t="array" ref="T71">IF(C71="","",SUBSTITUTE(S71,"","")&amp;"%")</f>
        <v>10%</v>
      </c>
      <c r="U71" s="9" cm="1" t="str">
        <f t="array" ref="U71">IF(($N71="")*($P71=""),"",IF(($N71&lt;&gt;"")*($N71&gt;TODAY()-9)*($N71&lt;TODAY()+1)*($P71&lt;&gt;"")*($P71&gt;=TODAY())*($P71&lt;=TODAY()+13),"Semaine passée &amp; à venir",IF(($N71&lt;&gt;"")*($N71&gt;TODAY()-9)*($N71&lt;TODAY()+1),"Semaine passée",IF(($P71&lt;&gt;"")*($P71&gt;=TODAY())*($P71&lt;=TODAY()+13),"À venir","Autre"))))</f>
        <v>Autre</v>
      </c>
      <c r="V71" s="8" cm="1" t="n">
        <f t="array" ref="V71">IF(C71&lt;&gt;"",1,0)</f>
        <v>1</v>
      </c>
      <c r="W71" s="8">
</c>
      <c r="X71" s="8">
</c>
      <c r="Y71" s="8">
</c>
      <c r="Z71" s="8">
</c>
      <c r="AA71" s="8">
</c>
      <c r="AB71" s="8">
</c>
      <c r="AC71" s="8">
</c>
      <c r="AD71" s="8">
</c>
      <c r="AE71" s="8">
</c>
      <c r="AF71" s="8">
</c>
      <c r="AG71" s="8">
</c>
      <c r="AH71" s="8">
</c>
      <c r="AI71" s="8">
</c>
      <c r="AJ71" s="8">
</c>
      <c r="AK71" s="8">
</c>
    </row>
    <row r="72" ht="76.5" customHeight="1">
      <c r="A72" s="9" t="s">
        <v>23</v>
      </c>
      <c r="B72" s="9" t="s">
        <v>77</v>
      </c>
      <c r="C72" s="12" t="s">
        <v>270</v>
      </c>
      <c r="D72" s="12" t="s">
        <v>271</v>
      </c>
      <c r="E72" s="9" t="s">
        <v>53</v>
      </c>
      <c r="F72" s="8" t="s">
        <v>272</v>
      </c>
      <c r="G72" s="13" cm="1" t="str">
        <f t="array" ref="G72">IF(F72="","",SUBSTITUTE(SUBSTITUTE(SUBSTITUTE(SUBSTITUTE(F72,"&lt;li&gt;",CHAR(10)),"&lt;/li&gt;",""),"&lt;br&gt;",CHAR(10)),"&lt;strong&gt;",""))</f>
        <v>&lt;p&gt;Présentation fonds Audacia au prospect pour étudier un partenariat et envoi de dossiers. Aucun retour du prospect sur l'intérêt ou les suites à donner. Tentative d'enrichissement lead échouée (email invalide). Pas d'autres actions ou activités planifiées à ce jour.&lt;/p&gt;</v>
      </c>
      <c r="H72" s="13" cm="1" t="str">
        <f t="array" ref="H72">IF(G72="","",SUBSTITUTE(SUBSTITUTE(SUBSTITUTE(SUBSTITUTE(SUBSTITUTE(G72,"&lt;p&gt;",""),"&lt;/p&gt;",""),"&lt;ul&gt;",""),"&lt;/ul&gt;",""),"&lt;/strong&gt;",""))</f>
        <v>Présentation fonds Audacia au prospect pour étudier un partenariat et envoi de dossiers. Aucun retour du prospect sur l'intérêt ou les suites à donner. Tentative d'enrichissement lead échouée (email invalide). Pas d'autres actions ou activités planifiées à ce jour.</v>
      </c>
      <c r="I72" s="14" cm="1" t="str">
        <f t="array" ref="I72">IF(C72="","",IF(OR(H72="",H72=0,H72=FALSE),"-",H72))</f>
        <v>Présentation fonds Audacia au prospect pour étudier un partenariat et envoi de dossiers. Aucun retour du prospect sur l'intérêt ou les suites à donner. Tentative d'enrichissement lead échouée (email invalide). Pas d'autres actions ou activités planifiées à ce jour.</v>
      </c>
      <c r="J72" s="8">
</c>
      <c r="K72" s="8" t="s">
        <v>35</v>
      </c>
      <c r="L72" s="9" cm="1" t="str">
        <f t="array" ref="L72">IF(C72="","",IF(K72="Mort / Plus rien à faire","KO","OK"))</f>
        <v>OK</v>
      </c>
      <c r="M72" s="15">
        <v>46050.736030092594</v>
      </c>
      <c r="N72" s="15" cm="1" t="n">
        <f t="array" ref="N72">IF(OR(C72="",M72="",M72=0),"",M72)</f>
        <v>46050.736030092594</v>
      </c>
      <c r="O72" s="15">
</c>
      <c r="P72" s="15" cm="1" t="str">
        <f t="array" ref="P72">IF(C72="","",IF(OR(O72="",O72=0),"-",O72))</f>
        <v>-</v>
      </c>
      <c r="Q72" s="16">
        <v>0</v>
      </c>
      <c r="R72" s="16" cm="1" t="str">
        <f t="array" ref="R72">IF(C72="","",ROUND(Q72/1000000,3)&amp;" M€")</f>
        <v>0 M€</v>
      </c>
      <c r="S72" s="12" t="s">
        <v>134</v>
      </c>
      <c r="T72" s="9" cm="1" t="str">
        <f t="array" ref="T72">IF(C72="","",SUBSTITUTE(S72,"","")&amp;"%")</f>
        <v>10%</v>
      </c>
      <c r="U72" s="9" cm="1" t="str">
        <f t="array" ref="U72">IF(($N72="")*($P72=""),"",IF(($N72&lt;&gt;"")*($N72&gt;TODAY()-9)*($N72&lt;TODAY()+1)*($P72&lt;&gt;"")*($P72&gt;=TODAY())*($P72&lt;=TODAY()+13),"Semaine passée &amp; à venir",IF(($N72&lt;&gt;"")*($N72&gt;TODAY()-9)*($N72&lt;TODAY()+1),"Semaine passée",IF(($P72&lt;&gt;"")*($P72&gt;=TODAY())*($P72&lt;=TODAY()+13),"À venir","Autre"))))</f>
        <v>Autre</v>
      </c>
      <c r="V72" s="8" cm="1" t="n">
        <f t="array" ref="V72">IF(C72&lt;&gt;"",1,0)</f>
        <v>1</v>
      </c>
      <c r="W72" s="8">
</c>
      <c r="X72" s="8">
</c>
      <c r="Y72" s="8">
</c>
      <c r="Z72" s="8">
</c>
      <c r="AA72" s="8">
</c>
      <c r="AB72" s="8">
</c>
      <c r="AC72" s="8">
</c>
      <c r="AD72" s="8">
</c>
      <c r="AE72" s="8">
</c>
      <c r="AF72" s="8">
</c>
      <c r="AG72" s="8">
</c>
      <c r="AH72" s="8">
</c>
      <c r="AI72" s="8">
</c>
      <c r="AJ72" s="8">
</c>
      <c r="AK72" s="8">
</c>
    </row>
    <row r="73" ht="76.5" customHeight="1">
      <c r="A73" s="9" t="s">
        <v>23</v>
      </c>
      <c r="B73" s="9" t="s">
        <v>24</v>
      </c>
      <c r="C73" s="12" t="s">
        <v>273</v>
      </c>
      <c r="D73" s="12" t="s">
        <v>274</v>
      </c>
      <c r="E73" s="9" t="s">
        <v>27</v>
      </c>
      <c r="F73" s="8" t="s">
        <v>275</v>
      </c>
      <c r="G73" s="13" cm="1" t="str">
        <f t="array" ref="G73">IF(F73="","",SUBSTITUTE(SUBSTITUTE(SUBSTITUTE(SUBSTITUTE(F73,"&lt;li&gt;",CHAR(10)),"&lt;/li&gt;",""),"&lt;br&gt;",CHAR(10)),"&lt;strong&gt;",""))</f>
        <v>&lt;p&gt;RDV physique réalisé : prospect pas intéressé par le fonds coté à ce stade, taux jugés peu attractifs. Walid Sanna : allocation en réflexion, à alimenter. Déjeuner prévu février pour relance. Prochaine action : relancer pour déjeuner, suivi à maintenir.&lt;/p&gt;</v>
      </c>
      <c r="H73" s="13" cm="1" t="str">
        <f t="array" ref="H73">IF(G73="","",SUBSTITUTE(SUBSTITUTE(SUBSTITUTE(SUBSTITUTE(SUBSTITUTE(G73,"&lt;p&gt;",""),"&lt;/p&gt;",""),"&lt;ul&gt;",""),"&lt;/ul&gt;",""),"&lt;/strong&gt;",""))</f>
        <v>RDV physique réalisé : prospect pas intéressé par le fonds coté à ce stade, taux jugés peu attractifs. Walid Sanna : allocation en réflexion, à alimenter. Déjeuner prévu février pour relance. Prochaine action : relancer pour déjeuner, suivi à maintenir.</v>
      </c>
      <c r="I73" s="14" cm="1" t="str">
        <f t="array" ref="I73">IF(C73="","",IF(OR(H73="",H73=0,H73=FALSE),"-",H73))</f>
        <v>RDV physique réalisé : prospect pas intéressé par le fonds coté à ce stade, taux jugés peu attractifs. Walid Sanna : allocation en réflexion, à alimenter. Déjeuner prévu février pour relance. Prochaine action : relancer pour déjeuner, suivi à maintenir.</v>
      </c>
      <c r="J73" s="8" t="s">
        <v>276</v>
      </c>
      <c r="K73" s="8" t="s">
        <v>65</v>
      </c>
      <c r="L73" s="9" cm="1" t="str">
        <f t="array" ref="L73">IF(C73="","",IF(K73="Mort / Plus rien à faire","KO","OK"))</f>
        <v>OK</v>
      </c>
      <c r="M73" s="15">
        <v>46035.69532407408</v>
      </c>
      <c r="N73" s="15" cm="1" t="n">
        <f t="array" ref="N73">IF(OR(C73="",M73="",M73=0),"",M73)</f>
        <v>46035.69532407408</v>
      </c>
      <c r="O73" s="15">
</c>
      <c r="P73" s="15" cm="1" t="str">
        <f t="array" ref="P73">IF(C73="","",IF(OR(O73="",O73=0),"-",O73))</f>
        <v>-</v>
      </c>
      <c r="Q73" s="16">
        <v>5000000</v>
      </c>
      <c r="R73" s="16" cm="1" t="str">
        <f t="array" ref="R73">IF(C73="","",ROUND(Q73/1000000,3)&amp;" M€")</f>
        <v>5 M€</v>
      </c>
      <c r="S73" s="12" t="s">
        <v>134</v>
      </c>
      <c r="T73" s="9" cm="1" t="str">
        <f t="array" ref="T73">IF(C73="","",SUBSTITUTE(S73,"","")&amp;"%")</f>
        <v>10%</v>
      </c>
      <c r="U73" s="9" cm="1" t="str">
        <f t="array" ref="U73">IF(($N73="")*($P73=""),"",IF(($N73&lt;&gt;"")*($N73&gt;TODAY()-9)*($N73&lt;TODAY()+1)*($P73&lt;&gt;"")*($P73&gt;=TODAY())*($P73&lt;=TODAY()+13),"Semaine passée &amp; à venir",IF(($N73&lt;&gt;"")*($N73&gt;TODAY()-9)*($N73&lt;TODAY()+1),"Semaine passée",IF(($P73&lt;&gt;"")*($P73&gt;=TODAY())*($P73&lt;=TODAY()+13),"À venir","Autre"))))</f>
        <v>Autre</v>
      </c>
      <c r="V73" s="8" cm="1" t="n">
        <f t="array" ref="V73">IF(C73&lt;&gt;"",1,0)</f>
        <v>1</v>
      </c>
      <c r="W73" s="8">
</c>
      <c r="X73" s="8">
</c>
      <c r="Y73" s="8">
</c>
      <c r="Z73" s="8">
</c>
      <c r="AA73" s="8">
</c>
      <c r="AB73" s="8">
</c>
      <c r="AC73" s="8">
</c>
      <c r="AD73" s="8">
</c>
      <c r="AE73" s="8">
</c>
      <c r="AF73" s="8">
</c>
      <c r="AG73" s="8">
</c>
      <c r="AH73" s="8">
</c>
      <c r="AI73" s="8">
</c>
      <c r="AJ73" s="8">
</c>
      <c r="AK73" s="8">
</c>
    </row>
    <row r="74" ht="76.5" customHeight="1">
      <c r="A74" s="9" t="s">
        <v>23</v>
      </c>
      <c r="B74" s="9" t="s">
        <v>37</v>
      </c>
      <c r="C74" s="12" t="s">
        <v>277</v>
      </c>
      <c r="D74" s="12" t="s">
        <v>278</v>
      </c>
      <c r="E74" s="9" t="s">
        <v>27</v>
      </c>
      <c r="F74" s="8" t="s">
        <v>279</v>
      </c>
      <c r="G74" s="13" cm="1" t="str">
        <f t="array" ref="G74">IF(F74="","",SUBSTITUTE(SUBSTITUTE(SUBSTITUTE(SUBSTITUTE(F74,"&lt;li&gt;",CHAR(10)),"&lt;/li&gt;",""),"&lt;br&gt;",CHAR(10)),"&lt;strong&gt;",""))</f>
        <v>&lt;p&gt;Appel intro 10/02 avec Véronique Dubois (DG). MIE : 15M€ AUM, inv. annuel 0,8M€, 100% cotés, 4 partenaires historiques (Crédit Coopératif, BRED, courtier). Gestion directe. Prochaine étape : Commission des placements le 25/03/2026. Pas d'autres actions ni retours prospect mentionnés.&lt;/p&gt;</v>
      </c>
      <c r="H74" s="13" cm="1" t="str">
        <f t="array" ref="H74">IF(G74="","",SUBSTITUTE(SUBSTITUTE(SUBSTITUTE(SUBSTITUTE(SUBSTITUTE(G74,"&lt;p&gt;",""),"&lt;/p&gt;",""),"&lt;ul&gt;",""),"&lt;/ul&gt;",""),"&lt;/strong&gt;",""))</f>
        <v>Appel intro 10/02 avec Véronique Dubois (DG). MIE : 15M€ AUM, inv. annuel 0,8M€, 100% cotés, 4 partenaires historiques (Crédit Coopératif, BRED, courtier). Gestion directe. Prochaine étape : Commission des placements le 25/03/2026. Pas d'autres actions ni retours prospect mentionnés.</v>
      </c>
      <c r="I74" s="14" cm="1" t="str">
        <f t="array" ref="I74">IF(C74="","",IF(OR(H74="",H74=0,H74=FALSE),"-",H74))</f>
        <v>Appel intro 10/02 avec Véronique Dubois (DG). MIE : 15M€ AUM, inv. annuel 0,8M€, 100% cotés, 4 partenaires historiques (Crédit Coopératif, BRED, courtier). Gestion directe. Prochaine étape : Commission des placements le 25/03/2026. Pas d'autres actions ni retours prospect mentionnés.</v>
      </c>
      <c r="J74" s="8">
</c>
      <c r="K74" s="8" t="s">
        <v>35</v>
      </c>
      <c r="L74" s="9" cm="1" t="str">
        <f t="array" ref="L74">IF(C74="","",IF(K74="Mort / Plus rien à faire","KO","OK"))</f>
        <v>OK</v>
      </c>
      <c r="M74" s="15">
        <v>46063.69739583333</v>
      </c>
      <c r="N74" s="15" cm="1" t="n">
        <f t="array" ref="N74">IF(OR(C74="",M74="",M74=0),"",M74)</f>
        <v>46063.69739583333</v>
      </c>
      <c r="O74" s="15">
</c>
      <c r="P74" s="15" cm="1" t="str">
        <f t="array" ref="P74">IF(C74="","",IF(OR(O74="",O74=0),"-",O74))</f>
        <v>-</v>
      </c>
      <c r="Q74" s="16">
        <v>0</v>
      </c>
      <c r="R74" s="16" cm="1" t="str">
        <f t="array" ref="R74">IF(C74="","",ROUND(Q74/1000000,3)&amp;" M€")</f>
        <v>0 M€</v>
      </c>
      <c r="S74" s="12" t="s">
        <v>134</v>
      </c>
      <c r="T74" s="9" cm="1" t="str">
        <f t="array" ref="T74">IF(C74="","",SUBSTITUTE(S74,"","")&amp;"%")</f>
        <v>10%</v>
      </c>
      <c r="U74" s="9" cm="1" t="str">
        <f t="array" ref="U74">IF(($N74="")*($P74=""),"",IF(($N74&lt;&gt;"")*($N74&gt;TODAY()-9)*($N74&lt;TODAY()+1)*($P74&lt;&gt;"")*($P74&gt;=TODAY())*($P74&lt;=TODAY()+13),"Semaine passée &amp; à venir",IF(($N74&lt;&gt;"")*($N74&gt;TODAY()-9)*($N74&lt;TODAY()+1),"Semaine passée",IF(($P74&lt;&gt;"")*($P74&gt;=TODAY())*($P74&lt;=TODAY()+13),"À venir","Autre"))))</f>
        <v>Autre</v>
      </c>
      <c r="V74" s="8" cm="1" t="n">
        <f t="array" ref="V74">IF(C74&lt;&gt;"",1,0)</f>
        <v>1</v>
      </c>
      <c r="W74" s="8">
</c>
      <c r="X74" s="8">
</c>
      <c r="Y74" s="8">
</c>
      <c r="Z74" s="8">
</c>
      <c r="AA74" s="8">
</c>
      <c r="AB74" s="8">
</c>
      <c r="AC74" s="8">
</c>
      <c r="AD74" s="8">
</c>
      <c r="AE74" s="8">
</c>
      <c r="AF74" s="8">
</c>
      <c r="AG74" s="8">
</c>
      <c r="AH74" s="8">
</c>
      <c r="AI74" s="8">
</c>
      <c r="AJ74" s="8">
</c>
      <c r="AK74" s="8">
</c>
    </row>
    <row r="75" ht="76.5" customHeight="1">
      <c r="A75" s="9" t="s">
        <v>23</v>
      </c>
      <c r="B75" s="9" t="s">
        <v>280</v>
      </c>
      <c r="C75" s="12" t="s">
        <v>281</v>
      </c>
      <c r="D75" s="12" t="s">
        <v>282</v>
      </c>
      <c r="E75" s="9" t="s">
        <v>53</v>
      </c>
      <c r="F75" s="8" t="s">
        <v>283</v>
      </c>
      <c r="G75" s="13" cm="1" t="str">
        <f t="array" ref="G75">IF(F75="","",SUBSTITUTE(SUBSTITUTE(SUBSTITUTE(SUBSTITUTE(F75,"&lt;li&gt;",CHAR(10)),"&lt;/li&gt;",""),"&lt;br&gt;",CHAR(10)),"&lt;strong&gt;",""))</f>
        <v>&lt;p&gt;Présentation fonds remploi Audacia, prospect intéressé mais très occupé (études expatriation). Relances : café Arkwood Avocats 25/02, appel 06/03, toujours en attente retour. Prochaine action : prise de news prévue le 18/03. Pas de conclusion prospect sur fonds à ce stade.&lt;/p&gt;</v>
      </c>
      <c r="H75" s="13" cm="1" t="str">
        <f t="array" ref="H75">IF(G75="","",SUBSTITUTE(SUBSTITUTE(SUBSTITUTE(SUBSTITUTE(SUBSTITUTE(G75,"&lt;p&gt;",""),"&lt;/p&gt;",""),"&lt;ul&gt;",""),"&lt;/ul&gt;",""),"&lt;/strong&gt;",""))</f>
        <v>Présentation fonds remploi Audacia, prospect intéressé mais très occupé (études expatriation). Relances : café Arkwood Avocats 25/02, appel 06/03, toujours en attente retour. Prochaine action : prise de news prévue le 18/03. Pas de conclusion prospect sur fonds à ce stade.</v>
      </c>
      <c r="I75" s="14" cm="1" t="str">
        <f t="array" ref="I75">IF(C75="","",IF(OR(H75="",H75=0,H75=FALSE),"-",H75))</f>
        <v>Présentation fonds remploi Audacia, prospect intéressé mais très occupé (études expatriation). Relances : café Arkwood Avocats 25/02, appel 06/03, toujours en attente retour. Prochaine action : prise de news prévue le 18/03. Pas de conclusion prospect sur fonds à ce stade.</v>
      </c>
      <c r="J75" s="8" t="s">
        <v>284</v>
      </c>
      <c r="K75" s="8" t="s">
        <v>35</v>
      </c>
      <c r="L75" s="9" cm="1" t="str">
        <f t="array" ref="L75">IF(C75="","",IF(K75="Mort / Plus rien à faire","KO","OK"))</f>
        <v>OK</v>
      </c>
      <c r="M75" s="15">
        <v>46086.70446759259</v>
      </c>
      <c r="N75" s="15" cm="1" t="n">
        <f t="array" ref="N75">IF(OR(C75="",M75="",M75=0),"",M75)</f>
        <v>46086.70446759259</v>
      </c>
      <c r="O75" s="15">
        <v>46099.041666666664</v>
      </c>
      <c r="P75" s="15" cm="1" t="n">
        <f t="array" ref="P75">IF(C75="","",IF(OR(O75="",O75=0),"-",O75))</f>
        <v>46099.041666666664</v>
      </c>
      <c r="Q75" s="16">
        <v>0</v>
      </c>
      <c r="R75" s="16" cm="1" t="str">
        <f t="array" ref="R75">IF(C75="","",ROUND(Q75/1000000,3)&amp;" M€")</f>
        <v>0 M€</v>
      </c>
      <c r="S75" s="12" t="s">
        <v>134</v>
      </c>
      <c r="T75" s="9" cm="1" t="str">
        <f t="array" ref="T75">IF(C75="","",SUBSTITUTE(S75,"","")&amp;"%")</f>
        <v>10%</v>
      </c>
      <c r="U75" s="9" cm="1" t="str">
        <f t="array" ref="U75">IF(($N75="")*($P75=""),"",IF(($N75&lt;&gt;"")*($N75&gt;TODAY()-9)*($N75&lt;TODAY()+1)*($P75&lt;&gt;"")*($P75&gt;=TODAY())*($P75&lt;=TODAY()+13),"Semaine passée &amp; à venir",IF(($N75&lt;&gt;"")*($N75&gt;TODAY()-9)*($N75&lt;TODAY()+1),"Semaine passée",IF(($P75&lt;&gt;"")*($P75&gt;=TODAY())*($P75&lt;=TODAY()+13),"À venir","Autre"))))</f>
        <v>Semaine passée &amp; à venir</v>
      </c>
      <c r="V75" s="8" cm="1" t="n">
        <f t="array" ref="V75">IF(C75&lt;&gt;"",1,0)</f>
        <v>1</v>
      </c>
      <c r="W75" s="8">
</c>
      <c r="X75" s="8">
</c>
      <c r="Y75" s="8">
</c>
      <c r="Z75" s="8">
</c>
      <c r="AA75" s="8">
</c>
      <c r="AB75" s="8">
</c>
      <c r="AC75" s="8">
</c>
      <c r="AD75" s="8">
</c>
      <c r="AE75" s="8">
</c>
      <c r="AF75" s="8">
</c>
      <c r="AG75" s="8">
</c>
      <c r="AH75" s="8">
</c>
      <c r="AI75" s="8">
</c>
      <c r="AJ75" s="8">
</c>
      <c r="AK75" s="8">
</c>
    </row>
    <row r="76" ht="76.5" customHeight="1">
      <c r="A76" s="9" t="s">
        <v>23</v>
      </c>
      <c r="B76" s="9" t="s">
        <v>50</v>
      </c>
      <c r="C76" s="12" t="s">
        <v>285</v>
      </c>
      <c r="D76" s="12" t="s">
        <v>286</v>
      </c>
      <c r="E76" s="9" t="s">
        <v>27</v>
      </c>
      <c r="F76" s="8" t="s">
        <v>287</v>
      </c>
      <c r="G76" s="13" cm="1" t="str">
        <f t="array" ref="G76">IF(F76="","",SUBSTITUTE(SUBSTITUTE(SUBSTITUTE(SUBSTITUTE(F76,"&lt;li&gt;",CHAR(10)),"&lt;/li&gt;",""),"&lt;br&gt;",CHAR(10)),"&lt;strong&gt;",""))</f>
        <v>&lt;p&gt;Aucune activité menée sur le prospect. Dernière action prévue&amp;nbsp;: relancer sur Straton (échéance 29/11/2025). Type d’activité récente&amp;nbsp;: appel à passer. Aucun message nécessitant une action. Peu d’infos détaillées sur le prospect ou ses activités. Pas de données chiffrées ni conclusion prospect.&lt;/p&gt;</v>
      </c>
      <c r="H76" s="13" cm="1" t="str">
        <f t="array" ref="H76">IF(G76="","",SUBSTITUTE(SUBSTITUTE(SUBSTITUTE(SUBSTITUTE(SUBSTITUTE(G76,"&lt;p&gt;",""),"&lt;/p&gt;",""),"&lt;ul&gt;",""),"&lt;/ul&gt;",""),"&lt;/strong&gt;",""))</f>
        <v>Aucune activité menée sur le prospect. Dernière action prévue&amp;nbsp;: relancer sur Straton (échéance 29/11/2025). Type d’activité récente&amp;nbsp;: appel à passer. Aucun message nécessitant une action. Peu d’infos détaillées sur le prospect ou ses activités. Pas de données chiffrées ni conclusion prospect.</v>
      </c>
      <c r="I76" s="14" cm="1" t="str">
        <f t="array" ref="I76">IF(C76="","",IF(OR(H76="",H76=0,H76=FALSE),"-",H76))</f>
        <v>Aucune activité menée sur le prospect. Dernière action prévue&amp;nbsp;: relancer sur Straton (échéance 29/11/2025). Type d’activité récente&amp;nbsp;: appel à passer. Aucun message nécessitant une action. Peu d’infos détaillées sur le prospect ou ses activités. Pas de données chiffrées ni conclusion prospect.</v>
      </c>
      <c r="J76" s="8">
</c>
      <c r="K76" s="8" t="s">
        <v>157</v>
      </c>
      <c r="L76" s="9" cm="1" t="str">
        <f t="array" ref="L76">IF(C76="","",IF(K76="Mort / Plus rien à faire","KO","OK"))</f>
        <v>OK</v>
      </c>
      <c r="M76" s="15">
        <v>46028.562268518515</v>
      </c>
      <c r="N76" s="15" cm="1" t="n">
        <f t="array" ref="N76">IF(OR(C76="",M76="",M76=0),"",M76)</f>
        <v>46028.562268518515</v>
      </c>
      <c r="O76" s="15">
</c>
      <c r="P76" s="15" cm="1" t="str">
        <f t="array" ref="P76">IF(C76="","",IF(OR(O76="",O76=0),"-",O76))</f>
        <v>-</v>
      </c>
      <c r="Q76" s="16">
        <v>500000</v>
      </c>
      <c r="R76" s="16" cm="1" t="str">
        <f t="array" ref="R76">IF(C76="","",ROUND(Q76/1000000,3)&amp;" M€")</f>
        <v>0.5 M€</v>
      </c>
      <c r="S76" s="12" t="s">
        <v>134</v>
      </c>
      <c r="T76" s="9" cm="1" t="str">
        <f t="array" ref="T76">IF(C76="","",SUBSTITUTE(S76,"","")&amp;"%")</f>
        <v>10%</v>
      </c>
      <c r="U76" s="9" cm="1" t="str">
        <f t="array" ref="U76">IF(($N76="")*($P76=""),"",IF(($N76&lt;&gt;"")*($N76&gt;TODAY()-9)*($N76&lt;TODAY()+1)*($P76&lt;&gt;"")*($P76&gt;=TODAY())*($P76&lt;=TODAY()+13),"Semaine passée &amp; à venir",IF(($N76&lt;&gt;"")*($N76&gt;TODAY()-9)*($N76&lt;TODAY()+1),"Semaine passée",IF(($P76&lt;&gt;"")*($P76&gt;=TODAY())*($P76&lt;=TODAY()+13),"À venir","Autre"))))</f>
        <v>Autre</v>
      </c>
      <c r="V76" s="8" cm="1" t="n">
        <f t="array" ref="V76">IF(C76&lt;&gt;"",1,0)</f>
        <v>1</v>
      </c>
      <c r="W76" s="8">
</c>
      <c r="X76" s="8">
</c>
      <c r="Y76" s="8">
</c>
      <c r="Z76" s="8">
</c>
      <c r="AA76" s="8">
</c>
      <c r="AB76" s="8">
</c>
      <c r="AC76" s="8">
</c>
      <c r="AD76" s="8">
</c>
      <c r="AE76" s="8">
</c>
      <c r="AF76" s="8">
</c>
      <c r="AG76" s="8">
</c>
      <c r="AH76" s="8">
</c>
      <c r="AI76" s="8">
</c>
      <c r="AJ76" s="8">
</c>
      <c r="AK76" s="8">
</c>
    </row>
    <row r="77" ht="76.5" customHeight="1">
      <c r="A77" s="9" t="s">
        <v>23</v>
      </c>
      <c r="B77" s="9" t="s">
        <v>37</v>
      </c>
      <c r="C77" s="12" t="s">
        <v>288</v>
      </c>
      <c r="D77" s="12" t="s">
        <v>289</v>
      </c>
      <c r="E77" s="9" t="s">
        <v>27</v>
      </c>
      <c r="F77" s="8" t="s">
        <v>290</v>
      </c>
      <c r="G77" s="13" cm="1" t="str">
        <f t="array" ref="G77">IF(F77="","",SUBSTITUTE(SUBSTITUTE(SUBSTITUTE(SUBSTITUTE(F77,"&lt;li&gt;",CHAR(10)),"&lt;/li&gt;",""),"&lt;br&gt;",CHAR(10)),"&lt;strong&gt;",""))</f>
        <v>&lt;p&gt;Aucune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notés.&lt;/p&gt;</v>
      </c>
      <c r="H77" s="13" cm="1" t="str">
        <f t="array" ref="H77">IF(G77="","",SUBSTITUTE(SUBSTITUTE(SUBSTITUTE(SUBSTITUTE(SUBSTITUTE(G77,"&lt;p&gt;",""),"&lt;/p&gt;",""),"&lt;ul&gt;",""),"&lt;/ul&gt;",""),"&lt;/strong&gt;",""))</f>
        <v>Aucune activité menée sur le prospect. Infos : CARCDSF, caisse de retraite obligatoire pour chirurgiens-dentistes en France, structure reconnue, gère la retraite de milliers de professionnels de santé. Nouvelle piste créée pour équipe Ventes, pas d'autres actions ou retours notés.</v>
      </c>
      <c r="I77" s="14" cm="1" t="str">
        <f t="array" ref="I77">IF(C77="","",IF(OR(H77="",H77=0,H77=FALSE),"-",H77))</f>
        <v>Aucune activité menée sur le prospect. Infos : CARCDSF, caisse de retraite obligatoire pour chirurgiens-dentistes en France, structure reconnue, gère la retraite de milliers de professionnels de santé. Nouvelle piste créée pour équipe Ventes, pas d'autres actions ou retours notés.</v>
      </c>
      <c r="J77" s="8">
</c>
      <c r="K77" s="8" t="s">
        <v>157</v>
      </c>
      <c r="L77" s="9" cm="1" t="str">
        <f t="array" ref="L77">IF(C77="","",IF(K77="Mort / Plus rien à faire","KO","OK"))</f>
        <v>OK</v>
      </c>
      <c r="M77" s="15">
        <v>45989.60396990741</v>
      </c>
      <c r="N77" s="15" cm="1" t="n">
        <f t="array" ref="N77">IF(OR(C77="",M77="",M77=0),"",M77)</f>
        <v>45989.60396990741</v>
      </c>
      <c r="O77" s="15">
</c>
      <c r="P77" s="15" cm="1" t="str">
        <f t="array" ref="P77">IF(C77="","",IF(OR(O77="",O77=0),"-",O77))</f>
        <v>-</v>
      </c>
      <c r="Q77" s="16">
        <v>0</v>
      </c>
      <c r="R77" s="16" cm="1" t="str">
        <f t="array" ref="R77">IF(C77="","",ROUND(Q77/1000000,3)&amp;" M€")</f>
        <v>0 M€</v>
      </c>
      <c r="S77" s="12" t="s">
        <v>134</v>
      </c>
      <c r="T77" s="9" cm="1" t="str">
        <f t="array" ref="T77">IF(C77="","",SUBSTITUTE(S77,"","")&amp;"%")</f>
        <v>10%</v>
      </c>
      <c r="U77" s="9" cm="1" t="str">
        <f t="array" ref="U77">IF(($N77="")*($P77=""),"",IF(($N77&lt;&gt;"")*($N77&gt;TODAY()-9)*($N77&lt;TODAY()+1)*($P77&lt;&gt;"")*($P77&gt;=TODAY())*($P77&lt;=TODAY()+13),"Semaine passée &amp; à venir",IF(($N77&lt;&gt;"")*($N77&gt;TODAY()-9)*($N77&lt;TODAY()+1),"Semaine passée",IF(($P77&lt;&gt;"")*($P77&gt;=TODAY())*($P77&lt;=TODAY()+13),"À venir","Autre"))))</f>
        <v>Autre</v>
      </c>
      <c r="V77" s="8" cm="1" t="n">
        <f t="array" ref="V77">IF(C77&lt;&gt;"",1,0)</f>
        <v>1</v>
      </c>
      <c r="W77" s="8">
</c>
      <c r="X77" s="8">
</c>
      <c r="Y77" s="8">
</c>
      <c r="Z77" s="8">
</c>
      <c r="AA77" s="8">
</c>
      <c r="AB77" s="8">
</c>
      <c r="AC77" s="8">
</c>
      <c r="AD77" s="8">
</c>
      <c r="AE77" s="8">
</c>
      <c r="AF77" s="8">
</c>
      <c r="AG77" s="8">
</c>
      <c r="AH77" s="8">
</c>
      <c r="AI77" s="8">
</c>
      <c r="AJ77" s="8">
</c>
      <c r="AK77" s="8">
</c>
    </row>
    <row r="78" ht="76.5" customHeight="1">
      <c r="A78" s="9" t="s">
        <v>23</v>
      </c>
      <c r="B78" s="9" t="s">
        <v>24</v>
      </c>
      <c r="C78" s="12" t="s">
        <v>291</v>
      </c>
      <c r="D78" s="12" t="s">
        <v>292</v>
      </c>
      <c r="E78" s="9" t="s">
        <v>27</v>
      </c>
      <c r="F78" s="8" t="s">
        <v>293</v>
      </c>
      <c r="G78" s="13" cm="1" t="str">
        <f t="array" ref="G78">IF(F78="","",SUBSTITUTE(SUBSTITUTE(SUBSTITUTE(SUBSTITUTE(F78,"&lt;li&gt;",CHAR(10)),"&lt;/li&gt;",""),"&lt;br&gt;",CHAR(10)),"&lt;strong&gt;",""))</f>
        <v>&lt;p&gt;29/01/2025: COVEA FINANCE a investi 15M€ dans Weinberg, satisfait du rythme du fonds mais préoccupé par l'exit, croit à la thèse européenne. Nombreux fonds vus pour la Défense. Deck envoyé après déjeuner, relance effectuée, retour prospect neutre. Pas d'action future planifiée.&lt;/p&gt;</v>
      </c>
      <c r="H78" s="13" cm="1" t="str">
        <f t="array" ref="H78">IF(G78="","",SUBSTITUTE(SUBSTITUTE(SUBSTITUTE(SUBSTITUTE(SUBSTITUTE(G78,"&lt;p&gt;",""),"&lt;/p&gt;",""),"&lt;ul&gt;",""),"&lt;/ul&gt;",""),"&lt;/strong&gt;",""))</f>
        <v>29/01/2025: COVEA FINANCE a investi 15M€ dans Weinberg, satisfait du rythme du fonds mais préoccupé par l'exit, croit à la thèse européenne. Nombreux fonds vus pour la Défense. Deck envoyé après déjeuner, relance effectuée, retour prospect neutre. Pas d'action future planifiée.</v>
      </c>
      <c r="I78" s="14" cm="1" t="str">
        <f t="array" ref="I78">IF(C78="","",IF(OR(H78="",H78=0,H78=FALSE),"-",H78))</f>
        <v>29/01/2025: COVEA FINANCE a investi 15M€ dans Weinberg, satisfait du rythme du fonds mais préoccupé par l'exit, croit à la thèse européenne. Nombreux fonds vus pour la Défense. Deck envoyé après déjeuner, relance effectuée, retour prospect neutre. Pas d'action future planifiée.</v>
      </c>
      <c r="J78" s="8">
</c>
      <c r="K78" s="8" t="s">
        <v>35</v>
      </c>
      <c r="L78" s="9" cm="1" t="str">
        <f t="array" ref="L78">IF(C78="","",IF(K78="Mort / Plus rien à faire","KO","OK"))</f>
        <v>OK</v>
      </c>
      <c r="M78" s="15">
        <v>46064.51322916667</v>
      </c>
      <c r="N78" s="15" cm="1" t="n">
        <f t="array" ref="N78">IF(OR(C78="",M78="",M78=0),"",M78)</f>
        <v>46064.51322916667</v>
      </c>
      <c r="O78" s="15">
</c>
      <c r="P78" s="15" cm="1" t="str">
        <f t="array" ref="P78">IF(C78="","",IF(OR(O78="",O78=0),"-",O78))</f>
        <v>-</v>
      </c>
      <c r="Q78" s="16">
        <v>5000000</v>
      </c>
      <c r="R78" s="16" cm="1" t="str">
        <f t="array" ref="R78">IF(C78="","",ROUND(Q78/1000000,3)&amp;" M€")</f>
        <v>5 M€</v>
      </c>
      <c r="S78" s="12" t="s">
        <v>134</v>
      </c>
      <c r="T78" s="9" cm="1" t="str">
        <f t="array" ref="T78">IF(C78="","",SUBSTITUTE(S78,"","")&amp;"%")</f>
        <v>10%</v>
      </c>
      <c r="U78" s="9" cm="1" t="str">
        <f t="array" ref="U78">IF(($N78="")*($P78=""),"",IF(($N78&lt;&gt;"")*($N78&gt;TODAY()-9)*($N78&lt;TODAY()+1)*($P78&lt;&gt;"")*($P78&gt;=TODAY())*($P78&lt;=TODAY()+13),"Semaine passée &amp; à venir",IF(($N78&lt;&gt;"")*($N78&gt;TODAY()-9)*($N78&lt;TODAY()+1),"Semaine passée",IF(($P78&lt;&gt;"")*($P78&gt;=TODAY())*($P78&lt;=TODAY()+13),"À venir","Autre"))))</f>
        <v>Autre</v>
      </c>
      <c r="V78" s="8" cm="1" t="n">
        <f t="array" ref="V78">IF(C78&lt;&gt;"",1,0)</f>
        <v>1</v>
      </c>
      <c r="W78" s="8">
</c>
      <c r="X78" s="8">
</c>
      <c r="Y78" s="8">
</c>
      <c r="Z78" s="8">
</c>
      <c r="AA78" s="8">
</c>
      <c r="AB78" s="8">
</c>
      <c r="AC78" s="8">
</c>
      <c r="AD78" s="8">
</c>
      <c r="AE78" s="8">
</c>
      <c r="AF78" s="8">
</c>
      <c r="AG78" s="8">
</c>
      <c r="AH78" s="8">
</c>
      <c r="AI78" s="8">
</c>
      <c r="AJ78" s="8">
</c>
      <c r="AK78" s="8">
</c>
    </row>
    <row r="79" ht="76.5" customHeight="1">
      <c r="A79" s="9" t="s">
        <v>23</v>
      </c>
      <c r="B79" s="9" t="s">
        <v>146</v>
      </c>
      <c r="C79" s="12" t="s">
        <v>294</v>
      </c>
      <c r="D79" s="12" t="s">
        <v>295</v>
      </c>
      <c r="E79" s="9" t="s">
        <v>27</v>
      </c>
      <c r="F79" s="8" t="s">
        <v>296</v>
      </c>
      <c r="G79" s="13" cm="1" t="str">
        <f t="array" ref="G79">IF(F79="","",SUBSTITUTE(SUBSTITUTE(SUBSTITUTE(SUBSTITUTE(F79,"&lt;li&gt;",CHAR(10)),"&lt;/li&gt;",""),"&lt;br&gt;",CHAR(10)),"&lt;strong&gt;",""))</f>
        <v>&lt;p&gt;Multiples RDV avec Desjardins Capital (Pierre Tessier, Danielle Filistin) depuis sept 2023. Intérêt marqué pour quantique, IA, infras énergétiques, mais priorité à retombées québécoises et co-investissement, gérant local requis. Discussions en cours sur fonds transatlantique, mapping envoyé, suivi à faire sur HealthTech/Energy. Prochain RDV fixé.&lt;/p&gt;</v>
      </c>
      <c r="H79" s="13" cm="1" t="str">
        <f t="array" ref="H79">IF(G79="","",SUBSTITUTE(SUBSTITUTE(SUBSTITUTE(SUBSTITUTE(SUBSTITUTE(G79,"&lt;p&gt;",""),"&lt;/p&gt;",""),"&lt;ul&gt;",""),"&lt;/ul&gt;",""),"&lt;/strong&gt;",""))</f>
        <v>Multiples RDV avec Desjardins Capital (Pierre Tessier, Danielle Filistin) depuis sept 2023. Intérêt marqué pour quantique, IA, infras énergétiques, mais priorité à retombées québécoises et co-investissement, gérant local requis. Discussions en cours sur fonds transatlantique, mapping envoyé, suivi à faire sur HealthTech/Energy. Prochain RDV fixé.</v>
      </c>
      <c r="I79" s="14" cm="1" t="str">
        <f t="array" ref="I79">IF(C79="","",IF(OR(H79="",H79=0,H79=FALSE),"-",H79))</f>
        <v>Multiples RDV avec Desjardins Capital (Pierre Tessier, Danielle Filistin) depuis sept 2023. Intérêt marqué pour quantique, IA, infras énergétiques, mais priorité à retombées québécoises et co-investissement, gérant local requis. Discussions en cours sur fonds transatlantique, mapping envoyé, suivi à faire sur HealthTech/Energy. Prochain RDV fixé.</v>
      </c>
      <c r="J79" s="8" t="s">
        <v>297</v>
      </c>
      <c r="K79" s="8" t="s">
        <v>35</v>
      </c>
      <c r="L79" s="9" cm="1" t="str">
        <f t="array" ref="L79">IF(C79="","",IF(K79="Mort / Plus rien à faire","KO","OK"))</f>
        <v>OK</v>
      </c>
      <c r="M79" s="15">
        <v>46087.68090277778</v>
      </c>
      <c r="N79" s="15" cm="1" t="n">
        <f t="array" ref="N79">IF(OR(C79="",M79="",M79=0),"",M79)</f>
        <v>46087.68090277778</v>
      </c>
      <c r="O79" s="15">
        <v>46087.041666666664</v>
      </c>
      <c r="P79" s="15" cm="1" t="n">
        <f t="array" ref="P79">IF(C79="","",IF(OR(O79="",O79=0),"-",O79))</f>
        <v>46087.041666666664</v>
      </c>
      <c r="Q79" s="16">
        <v>0</v>
      </c>
      <c r="R79" s="16" cm="1" t="str">
        <f t="array" ref="R79">IF(C79="","",ROUND(Q79/1000000,3)&amp;" M€")</f>
        <v>0 M€</v>
      </c>
      <c r="S79" s="12" t="s">
        <v>134</v>
      </c>
      <c r="T79" s="9" cm="1" t="str">
        <f t="array" ref="T79">IF(C79="","",SUBSTITUTE(S79,"","")&amp;"%")</f>
        <v>10%</v>
      </c>
      <c r="U79" s="9" cm="1" t="str">
        <f t="array" ref="U79">IF(($N79="")*($P79=""),"",IF(($N79&lt;&gt;"")*($N79&gt;TODAY()-9)*($N79&lt;TODAY()+1)*($P79&lt;&gt;"")*($P79&gt;=TODAY())*($P79&lt;=TODAY()+13),"Semaine passée &amp; à venir",IF(($N79&lt;&gt;"")*($N79&gt;TODAY()-9)*($N79&lt;TODAY()+1),"Semaine passée",IF(($P79&lt;&gt;"")*($P79&gt;=TODAY())*($P79&lt;=TODAY()+13),"À venir","Autre"))))</f>
        <v>Semaine passée &amp; à venir</v>
      </c>
      <c r="V79" s="8" cm="1" t="n">
        <f t="array" ref="V79">IF(C79&lt;&gt;"",1,0)</f>
        <v>1</v>
      </c>
      <c r="W79" s="8">
</c>
      <c r="X79" s="8">
</c>
      <c r="Y79" s="8">
</c>
      <c r="Z79" s="8">
</c>
      <c r="AA79" s="8">
</c>
      <c r="AB79" s="8">
</c>
      <c r="AC79" s="8">
</c>
      <c r="AD79" s="8">
</c>
      <c r="AE79" s="8">
</c>
      <c r="AF79" s="8">
</c>
      <c r="AG79" s="8">
</c>
      <c r="AH79" s="8">
</c>
      <c r="AI79" s="8">
</c>
      <c r="AJ79" s="8">
</c>
      <c r="AK79" s="8">
</c>
    </row>
    <row r="80" ht="76.5" customHeight="1">
      <c r="A80" s="9" t="s">
        <v>23</v>
      </c>
      <c r="B80" s="9" t="s">
        <v>85</v>
      </c>
      <c r="C80" s="12" t="s">
        <v>298</v>
      </c>
      <c r="D80" s="12" t="s">
        <v>299</v>
      </c>
      <c r="E80" s="9" t="s">
        <v>27</v>
      </c>
      <c r="F80" s="8" t="s">
        <v>300</v>
      </c>
      <c r="G80" s="13" cm="1" t="str">
        <f t="array" ref="G80">IF(F80="","",SUBSTITUTE(SUBSTITUTE(SUBSTITUTE(SUBSTITUTE(F80,"&lt;li&gt;",CHAR(10)),"&lt;/li&gt;",""),"&lt;br&gt;",CHAR(10)),"&lt;strong&gt;",""))</f>
        <v>&lt;p&gt;Appel terminé avec Delphine Kerabuam : elle couvre le LCR, le non coté géré par le DGD Bruno Pain. Demande de RDV effectuée avec le DGD. Prochaine étape : organiser RDV avec Bruno Pain. Pas d'autres retours ou actions notables à ce jour. Suivi assuré par Romain Andrieu.&lt;/p&gt;</v>
      </c>
      <c r="H80" s="13" cm="1" t="str">
        <f t="array" ref="H80">IF(G80="","",SUBSTITUTE(SUBSTITUTE(SUBSTITUTE(SUBSTITUTE(SUBSTITUTE(G80,"&lt;p&gt;",""),"&lt;/p&gt;",""),"&lt;ul&gt;",""),"&lt;/ul&gt;",""),"&lt;/strong&gt;",""))</f>
        <v>Appel terminé avec Delphine Kerabuam : elle couvre le LCR, le non coté géré par le DGD Bruno Pain. Demande de RDV effectuée avec le DGD. Prochaine étape : organiser RDV avec Bruno Pain. Pas d'autres retours ou actions notables à ce jour. Suivi assuré par Romain Andrieu.</v>
      </c>
      <c r="I80" s="14" cm="1" t="str">
        <f t="array" ref="I80">IF(C80="","",IF(OR(H80="",H80=0,H80=FALSE),"-",H80))</f>
        <v>Appel terminé avec Delphine Kerabuam : elle couvre le LCR, le non coté géré par le DGD Bruno Pain. Demande de RDV effectuée avec le DGD. Prochaine étape : organiser RDV avec Bruno Pain. Pas d'autres retours ou actions notables à ce jour. Suivi assuré par Romain Andrieu.</v>
      </c>
      <c r="J80" s="8" t="s">
        <v>301</v>
      </c>
      <c r="K80" s="8" t="s">
        <v>157</v>
      </c>
      <c r="L80" s="9" cm="1" t="str">
        <f t="array" ref="L80">IF(C80="","",IF(K80="Mort / Plus rien à faire","KO","OK"))</f>
        <v>OK</v>
      </c>
      <c r="M80" s="15">
        <v>46087.71844907408</v>
      </c>
      <c r="N80" s="15" cm="1" t="n">
        <f t="array" ref="N80">IF(OR(C80="",M80="",M80=0),"",M80)</f>
        <v>46087.71844907408</v>
      </c>
      <c r="O80" s="15">
</c>
      <c r="P80" s="15" cm="1" t="str">
        <f t="array" ref="P80">IF(C80="","",IF(OR(O80="",O80=0),"-",O80))</f>
        <v>-</v>
      </c>
      <c r="Q80" s="16">
        <v>0</v>
      </c>
      <c r="R80" s="16" cm="1" t="str">
        <f t="array" ref="R80">IF(C80="","",ROUND(Q80/1000000,3)&amp;" M€")</f>
        <v>0 M€</v>
      </c>
      <c r="S80" s="12" t="s">
        <v>134</v>
      </c>
      <c r="T80" s="9" cm="1" t="str">
        <f t="array" ref="T80">IF(C80="","",SUBSTITUTE(S80,"","")&amp;"%")</f>
        <v>10%</v>
      </c>
      <c r="U80" s="9" cm="1" t="str">
        <f t="array" ref="U80">IF(($N80="")*($P80=""),"",IF(($N80&lt;&gt;"")*($N80&gt;TODAY()-9)*($N80&lt;TODAY()+1)*($P80&lt;&gt;"")*($P80&gt;=TODAY())*($P80&lt;=TODAY()+13),"Semaine passée &amp; à venir",IF(($N80&lt;&gt;"")*($N80&gt;TODAY()-9)*($N80&lt;TODAY()+1),"Semaine passée",IF(($P80&lt;&gt;"")*($P80&gt;=TODAY())*($P80&lt;=TODAY()+13),"À venir","Autre"))))</f>
        <v>Semaine passée</v>
      </c>
      <c r="V80" s="8" cm="1" t="n">
        <f t="array" ref="V80">IF(C80&lt;&gt;"",1,0)</f>
        <v>1</v>
      </c>
      <c r="W80" s="8">
</c>
      <c r="X80" s="8">
</c>
      <c r="Y80" s="8">
</c>
      <c r="Z80" s="8">
</c>
      <c r="AA80" s="8">
</c>
      <c r="AB80" s="8">
</c>
      <c r="AC80" s="8">
</c>
      <c r="AD80" s="8">
</c>
      <c r="AE80" s="8">
</c>
      <c r="AF80" s="8">
</c>
      <c r="AG80" s="8">
</c>
      <c r="AH80" s="8">
</c>
      <c r="AI80" s="8">
</c>
      <c r="AJ80" s="8">
</c>
      <c r="AK80" s="8">
</c>
    </row>
    <row r="81" ht="76.5" customHeight="1">
      <c r="A81" s="9" t="s">
        <v>23</v>
      </c>
      <c r="B81" s="9" t="s">
        <v>24</v>
      </c>
      <c r="C81" s="12" t="s">
        <v>302</v>
      </c>
      <c r="D81" s="12" t="s">
        <v>303</v>
      </c>
      <c r="E81" s="9" t="s">
        <v>27</v>
      </c>
      <c r="F81" s="8" t="s">
        <v>304</v>
      </c>
      <c r="G81" s="13" cm="1" t="str">
        <f t="array" ref="G81">IF(F81="","",SUBSTITUTE(SUBSTITUTE(SUBSTITUTE(SUBSTITUTE(F81,"&lt;li&gt;",CHAR(10)),"&lt;/li&gt;",""),"&lt;br&gt;",CHAR(10)),"&lt;strong&gt;",""))</f>
        <v>&lt;p&gt;Aucune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planifiées.&lt;/p&gt;</v>
      </c>
      <c r="H81" s="13" cm="1" t="str">
        <f t="array" ref="H81">IF(G81="","",SUBSTITUTE(SUBSTITUTE(SUBSTITUTE(SUBSTITUTE(SUBSTITUTE(G81,"&lt;p&gt;",""),"&lt;/p&gt;",""),"&lt;ul&gt;",""),"&lt;/ul&gt;",""),"&lt;/strong&gt;",""))</f>
        <v>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v>
      </c>
      <c r="I81" s="14" cm="1" t="str">
        <f t="array" ref="I81">IF(C81="","",IF(OR(H81="",H81=0,H81=FALSE),"-",H81))</f>
        <v>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v>
      </c>
      <c r="J81" s="8">
</c>
      <c r="K81" s="8" t="s">
        <v>157</v>
      </c>
      <c r="L81" s="9" cm="1" t="str">
        <f t="array" ref="L81">IF(C81="","",IF(K81="Mort / Plus rien à faire","KO","OK"))</f>
        <v>OK</v>
      </c>
      <c r="M81" s="15">
        <v>46087.71891203704</v>
      </c>
      <c r="N81" s="15" cm="1" t="n">
        <f t="array" ref="N81">IF(OR(C81="",M81="",M81=0),"",M81)</f>
        <v>46087.71891203704</v>
      </c>
      <c r="O81" s="15">
</c>
      <c r="P81" s="15" cm="1" t="str">
        <f t="array" ref="P81">IF(C81="","",IF(OR(O81="",O81=0),"-",O81))</f>
        <v>-</v>
      </c>
      <c r="Q81" s="16">
        <v>0</v>
      </c>
      <c r="R81" s="16" cm="1" t="str">
        <f t="array" ref="R81">IF(C81="","",ROUND(Q81/1000000,3)&amp;" M€")</f>
        <v>0 M€</v>
      </c>
      <c r="S81" s="12" t="s">
        <v>134</v>
      </c>
      <c r="T81" s="9" cm="1" t="str">
        <f t="array" ref="T81">IF(C81="","",SUBSTITUTE(S81,"","")&amp;"%")</f>
        <v>10%</v>
      </c>
      <c r="U81" s="9" cm="1" t="str">
        <f t="array" ref="U81">IF(($N81="")*($P81=""),"",IF(($N81&lt;&gt;"")*($N81&gt;TODAY()-9)*($N81&lt;TODAY()+1)*($P81&lt;&gt;"")*($P81&gt;=TODAY())*($P81&lt;=TODAY()+13),"Semaine passée &amp; à venir",IF(($N81&lt;&gt;"")*($N81&gt;TODAY()-9)*($N81&lt;TODAY()+1),"Semaine passée",IF(($P81&lt;&gt;"")*($P81&gt;=TODAY())*($P81&lt;=TODAY()+13),"À venir","Autre"))))</f>
        <v>Semaine passée</v>
      </c>
      <c r="V81" s="8" cm="1" t="n">
        <f t="array" ref="V81">IF(C81&lt;&gt;"",1,0)</f>
        <v>1</v>
      </c>
      <c r="W81" s="8">
</c>
      <c r="X81" s="8">
</c>
      <c r="Y81" s="8">
</c>
      <c r="Z81" s="8">
</c>
      <c r="AA81" s="8">
</c>
      <c r="AB81" s="8">
</c>
      <c r="AC81" s="8">
</c>
      <c r="AD81" s="8">
</c>
      <c r="AE81" s="8">
</c>
      <c r="AF81" s="8">
</c>
      <c r="AG81" s="8">
</c>
      <c r="AH81" s="8">
</c>
      <c r="AI81" s="8">
</c>
      <c r="AJ81" s="8">
</c>
      <c r="AK81" s="8">
</c>
    </row>
    <row r="82" ht="76.5" customHeight="1">
      <c r="A82" s="9" t="s">
        <v>23</v>
      </c>
      <c r="B82" s="9" t="s">
        <v>77</v>
      </c>
      <c r="C82" s="12" t="s">
        <v>305</v>
      </c>
      <c r="D82" s="12" t="s">
        <v>306</v>
      </c>
      <c r="E82" s="9" t="s">
        <v>53</v>
      </c>
      <c r="F82" s="8" t="s">
        <v>307</v>
      </c>
      <c r="G82" s="13" cm="1" t="str">
        <f t="array" ref="G82">IF(F82="","",SUBSTITUTE(SUBSTITUTE(SUBSTITUTE(SUBSTITUTE(F82,"&lt;li&gt;",CHAR(10)),"&lt;/li&gt;",""),"&lt;br&gt;",CHAR(10)),"&lt;strong&gt;",""))</f>
        <v>&lt;p&gt;Nouvelle piste créée pour équipe Ventes. Tentative d'enrichissement lead échouée (email invalide). Action prévue : organiser petit déjeuner avec clients. Aucune activité supplémentaire ni retour prospect sur fonds présentés. Prochaine étape : planification du rendez-vous.&lt;/p&gt;</v>
      </c>
      <c r="H82" s="13" cm="1" t="str">
        <f t="array" ref="H82">IF(G82="","",SUBSTITUTE(SUBSTITUTE(SUBSTITUTE(SUBSTITUTE(SUBSTITUTE(G82,"&lt;p&gt;",""),"&lt;/p&gt;",""),"&lt;ul&gt;",""),"&lt;/ul&gt;",""),"&lt;/strong&gt;",""))</f>
        <v>Nouvelle piste créée pour équipe Ventes. Tentative d'enrichissement lead échouée (email invalide). Action prévue : organiser petit déjeuner avec clients. Aucune activité supplémentaire ni retour prospect sur fonds présentés. Prochaine étape : planification du rendez-vous.</v>
      </c>
      <c r="I82" s="14" cm="1" t="str">
        <f t="array" ref="I82">IF(C82="","",IF(OR(H82="",H82=0,H82=FALSE),"-",H82))</f>
        <v>Nouvelle piste créée pour équipe Ventes. Tentative d'enrichissement lead échouée (email invalide). Action prévue : organiser petit déjeuner avec clients. Aucune activité supplémentaire ni retour prospect sur fonds présentés. Prochaine étape : planification du rendez-vous.</v>
      </c>
      <c r="J82" s="8">
</c>
      <c r="K82" s="8" t="s">
        <v>35</v>
      </c>
      <c r="L82" s="9" cm="1" t="str">
        <f t="array" ref="L82">IF(C82="","",IF(K82="Mort / Plus rien à faire","KO","OK"))</f>
        <v>OK</v>
      </c>
      <c r="M82" s="15">
        <v>46050.699953703705</v>
      </c>
      <c r="N82" s="15" cm="1" t="n">
        <f t="array" ref="N82">IF(OR(C82="",M82="",M82=0),"",M82)</f>
        <v>46050.699953703705</v>
      </c>
      <c r="O82" s="15">
</c>
      <c r="P82" s="15" cm="1" t="str">
        <f t="array" ref="P82">IF(C82="","",IF(OR(O82="",O82=0),"-",O82))</f>
        <v>-</v>
      </c>
      <c r="Q82" s="16">
        <v>0</v>
      </c>
      <c r="R82" s="16" cm="1" t="str">
        <f t="array" ref="R82">IF(C82="","",ROUND(Q82/1000000,3)&amp;" M€")</f>
        <v>0 M€</v>
      </c>
      <c r="S82" s="12" t="s">
        <v>134</v>
      </c>
      <c r="T82" s="9" cm="1" t="str">
        <f t="array" ref="T82">IF(C82="","",SUBSTITUTE(S82,"","")&amp;"%")</f>
        <v>10%</v>
      </c>
      <c r="U82" s="9" cm="1" t="str">
        <f t="array" ref="U82">IF(($N82="")*($P82=""),"",IF(($N82&lt;&gt;"")*($N82&gt;TODAY()-9)*($N82&lt;TODAY()+1)*($P82&lt;&gt;"")*($P82&gt;=TODAY())*($P82&lt;=TODAY()+13),"Semaine passée &amp; à venir",IF(($N82&lt;&gt;"")*($N82&gt;TODAY()-9)*($N82&lt;TODAY()+1),"Semaine passée",IF(($P82&lt;&gt;"")*($P82&gt;=TODAY())*($P82&lt;=TODAY()+13),"À venir","Autre"))))</f>
        <v>Autre</v>
      </c>
      <c r="V82" s="8" cm="1" t="n">
        <f t="array" ref="V82">IF(C82&lt;&gt;"",1,0)</f>
        <v>1</v>
      </c>
      <c r="W82" s="8">
</c>
      <c r="X82" s="8">
</c>
      <c r="Y82" s="8">
</c>
      <c r="Z82" s="8">
</c>
      <c r="AA82" s="8">
</c>
      <c r="AB82" s="8">
</c>
      <c r="AC82" s="8">
</c>
      <c r="AD82" s="8">
</c>
      <c r="AE82" s="8">
</c>
      <c r="AF82" s="8">
</c>
      <c r="AG82" s="8">
</c>
      <c r="AH82" s="8">
</c>
      <c r="AI82" s="8">
</c>
      <c r="AJ82" s="8">
</c>
      <c r="AK82" s="8">
</c>
    </row>
    <row r="83" ht="76.5" customHeight="1">
      <c r="A83" s="9" t="s">
        <v>23</v>
      </c>
      <c r="B83" s="9" t="s">
        <v>37</v>
      </c>
      <c r="C83" s="12" t="s">
        <v>308</v>
      </c>
      <c r="D83" s="12" t="s">
        <v>144</v>
      </c>
      <c r="E83" s="9" t="s">
        <v>27</v>
      </c>
      <c r="F83" s="8" t="s">
        <v>309</v>
      </c>
      <c r="G83" s="13" cm="1" t="str">
        <f t="array" ref="G83">IF(F83="","",SUBSTITUTE(SUBSTITUTE(SUBSTITUTE(SUBSTITUTE(F83,"&lt;li&gt;",CHAR(10)),"&lt;/li&gt;",""),"&lt;br&gt;",CHAR(10)),"&lt;strong&gt;",""))</f>
        <v>&lt;p&gt;RDV physique 21/01/2025 : David Boyer ouvert à discuter défense, pas d'intérêt pour fonds Tourisme, PE non coté exclu, dette possible, investissements 2026 axés souveraineté/défense. Prochaine étape : caler déjeuner présentation STRATON avec David Boyer avant 02/03/2026. Aucun échange récent détecté.&lt;/p&gt;</v>
      </c>
      <c r="H83" s="13" cm="1" t="str">
        <f t="array" ref="H83">IF(G83="","",SUBSTITUTE(SUBSTITUTE(SUBSTITUTE(SUBSTITUTE(SUBSTITUTE(G83,"&lt;p&gt;",""),"&lt;/p&gt;",""),"&lt;ul&gt;",""),"&lt;/ul&gt;",""),"&lt;/strong&gt;",""))</f>
        <v>RDV physique 21/01/2025 : David Boyer ouvert à discuter défense, pas d'intérêt pour fonds Tourisme, PE non coté exclu, dette possible, investissements 2026 axés souveraineté/défense. Prochaine étape : caler déjeuner présentation STRATON avec David Boyer avant 02/03/2026. Aucun échange récent détecté.</v>
      </c>
      <c r="I83" s="14" cm="1" t="str">
        <f t="array" ref="I83">IF(C83="","",IF(OR(H83="",H83=0,H83=FALSE),"-",H83))</f>
        <v>RDV physique 21/01/2025 : David Boyer ouvert à discuter défense, pas d'intérêt pour fonds Tourisme, PE non coté exclu, dette possible, investissements 2026 axés souveraineté/défense. Prochaine étape : caler déjeuner présentation STRATON avec David Boyer avant 02/03/2026. Aucun échange récent détecté.</v>
      </c>
      <c r="J83" s="8" t="s">
        <v>310</v>
      </c>
      <c r="K83" s="8" t="s">
        <v>35</v>
      </c>
      <c r="L83" s="9" cm="1" t="str">
        <f t="array" ref="L83">IF(C83="","",IF(K83="Mort / Plus rien à faire","KO","OK"))</f>
        <v>OK</v>
      </c>
      <c r="M83" s="15">
        <v>46043.74285879629</v>
      </c>
      <c r="N83" s="15" cm="1" t="n">
        <f t="array" ref="N83">IF(OR(C83="",M83="",M83=0),"",M83)</f>
        <v>46043.74285879629</v>
      </c>
      <c r="O83" s="15">
</c>
      <c r="P83" s="15" cm="1" t="str">
        <f t="array" ref="P83">IF(C83="","",IF(OR(O83="",O83=0),"-",O83))</f>
        <v>-</v>
      </c>
      <c r="Q83" s="16">
        <v>0</v>
      </c>
      <c r="R83" s="16" cm="1" t="str">
        <f t="array" ref="R83">IF(C83="","",ROUND(Q83/1000000,3)&amp;" M€")</f>
        <v>0 M€</v>
      </c>
      <c r="S83" s="12" t="s">
        <v>134</v>
      </c>
      <c r="T83" s="9" cm="1" t="str">
        <f t="array" ref="T83">IF(C83="","",SUBSTITUTE(S83,"","")&amp;"%")</f>
        <v>10%</v>
      </c>
      <c r="U83" s="9" cm="1" t="str">
        <f t="array" ref="U83">IF(($N83="")*($P83=""),"",IF(($N83&lt;&gt;"")*($N83&gt;TODAY()-9)*($N83&lt;TODAY()+1)*($P83&lt;&gt;"")*($P83&gt;=TODAY())*($P83&lt;=TODAY()+13),"Semaine passée &amp; à venir",IF(($N83&lt;&gt;"")*($N83&gt;TODAY()-9)*($N83&lt;TODAY()+1),"Semaine passée",IF(($P83&lt;&gt;"")*($P83&gt;=TODAY())*($P83&lt;=TODAY()+13),"À venir","Autre"))))</f>
        <v>Autre</v>
      </c>
      <c r="V83" s="8" cm="1" t="n">
        <f t="array" ref="V83">IF(C83&lt;&gt;"",1,0)</f>
        <v>1</v>
      </c>
      <c r="W83" s="8">
</c>
      <c r="X83" s="8">
</c>
      <c r="Y83" s="8">
</c>
      <c r="Z83" s="8">
</c>
      <c r="AA83" s="8">
</c>
      <c r="AB83" s="8">
</c>
      <c r="AC83" s="8">
</c>
      <c r="AD83" s="8">
</c>
      <c r="AE83" s="8">
</c>
      <c r="AF83" s="8">
</c>
      <c r="AG83" s="8">
</c>
      <c r="AH83" s="8">
</c>
      <c r="AI83" s="8">
</c>
      <c r="AJ83" s="8">
</c>
      <c r="AK83" s="8">
</c>
    </row>
    <row r="84" ht="76.5" customHeight="1">
      <c r="A84" s="9" t="s">
        <v>23</v>
      </c>
      <c r="B84" s="9" t="s">
        <v>50</v>
      </c>
      <c r="C84" s="12" t="s">
        <v>311</v>
      </c>
      <c r="D84" s="12" t="s">
        <v>312</v>
      </c>
      <c r="E84" s="9" t="s">
        <v>53</v>
      </c>
      <c r="F84" s="8" t="s">
        <v>313</v>
      </c>
      <c r="G84" s="13" cm="1" t="str">
        <f t="array" ref="G84">IF(F84="","",SUBSTITUTE(SUBSTITUTE(SUBSTITUTE(SUBSTITUTE(F84,"&lt;li&gt;",CHAR(10)),"&lt;/li&gt;",""),"&lt;br&gt;",CHAR(10)),"&lt;strong&gt;",""))</f>
        <v>&lt;p&gt;05/02/2026: Intérêt prospect pour solutions diversification, peu de dossiers remploi, prise de contact pour fixer RDV avec Charles. Lead créé pour équipe Ventes. Enrichissement lead impossible (email invalide). Prochaine étape : trouver date RDV avec Charles. Pas d'autres actions récentes.&lt;/p&gt;</v>
      </c>
      <c r="H84" s="13" cm="1" t="str">
        <f t="array" ref="H84">IF(G84="","",SUBSTITUTE(SUBSTITUTE(SUBSTITUTE(SUBSTITUTE(SUBSTITUTE(G84,"&lt;p&gt;",""),"&lt;/p&gt;",""),"&lt;ul&gt;",""),"&lt;/ul&gt;",""),"&lt;/strong&gt;",""))</f>
        <v>05/02/2026: Intérêt prospect pour solutions diversification, peu de dossiers remploi, prise de contact pour fixer RDV avec Charles. Lead créé pour équipe Ventes. Enrichissement lead impossible (email invalide). Prochaine étape : trouver date RDV avec Charles. Pas d'autres actions récentes.</v>
      </c>
      <c r="I84" s="14" cm="1" t="str">
        <f t="array" ref="I84">IF(C84="","",IF(OR(H84="",H84=0,H84=FALSE),"-",H84))</f>
        <v>05/02/2026: Intérêt prospect pour solutions diversification, peu de dossiers remploi, prise de contact pour fixer RDV avec Charles. Lead créé pour équipe Ventes. Enrichissement lead impossible (email invalide). Prochaine étape : trouver date RDV avec Charles. Pas d'autres actions récentes.</v>
      </c>
      <c r="J84" s="8">
</c>
      <c r="K84" s="8" t="s">
        <v>35</v>
      </c>
      <c r="L84" s="9" cm="1" t="str">
        <f t="array" ref="L84">IF(C84="","",IF(K84="Mort / Plus rien à faire","KO","OK"))</f>
        <v>OK</v>
      </c>
      <c r="M84" s="15">
        <v>46063.5884375</v>
      </c>
      <c r="N84" s="15" cm="1" t="n">
        <f t="array" ref="N84">IF(OR(C84="",M84="",M84=0),"",M84)</f>
        <v>46063.5884375</v>
      </c>
      <c r="O84" s="15">
</c>
      <c r="P84" s="15" cm="1" t="str">
        <f t="array" ref="P84">IF(C84="","",IF(OR(O84="",O84=0),"-",O84))</f>
        <v>-</v>
      </c>
      <c r="Q84" s="16">
        <v>0</v>
      </c>
      <c r="R84" s="16" cm="1" t="str">
        <f t="array" ref="R84">IF(C84="","",ROUND(Q84/1000000,3)&amp;" M€")</f>
        <v>0 M€</v>
      </c>
      <c r="S84" s="12" t="s">
        <v>134</v>
      </c>
      <c r="T84" s="9" cm="1" t="str">
        <f t="array" ref="T84">IF(C84="","",SUBSTITUTE(S84,"","")&amp;"%")</f>
        <v>10%</v>
      </c>
      <c r="U84" s="9" cm="1" t="str">
        <f t="array" ref="U84">IF(($N84="")*($P84=""),"",IF(($N84&lt;&gt;"")*($N84&gt;TODAY()-9)*($N84&lt;TODAY()+1)*($P84&lt;&gt;"")*($P84&gt;=TODAY())*($P84&lt;=TODAY()+13),"Semaine passée &amp; à venir",IF(($N84&lt;&gt;"")*($N84&gt;TODAY()-9)*($N84&lt;TODAY()+1),"Semaine passée",IF(($P84&lt;&gt;"")*($P84&gt;=TODAY())*($P84&lt;=TODAY()+13),"À venir","Autre"))))</f>
        <v>Autre</v>
      </c>
      <c r="V84" s="8" cm="1" t="n">
        <f t="array" ref="V84">IF(C84&lt;&gt;"",1,0)</f>
        <v>1</v>
      </c>
      <c r="W84" s="8">
</c>
      <c r="X84" s="8">
</c>
      <c r="Y84" s="8">
</c>
      <c r="Z84" s="8">
</c>
      <c r="AA84" s="8">
</c>
      <c r="AB84" s="8">
</c>
      <c r="AC84" s="8">
</c>
      <c r="AD84" s="8">
</c>
      <c r="AE84" s="8">
</c>
      <c r="AF84" s="8">
</c>
      <c r="AG84" s="8">
</c>
      <c r="AH84" s="8">
</c>
      <c r="AI84" s="8">
</c>
      <c r="AJ84" s="8">
</c>
      <c r="AK84" s="8">
</c>
    </row>
    <row r="85" ht="76.5" customHeight="1">
      <c r="A85" s="9" t="s">
        <v>23</v>
      </c>
      <c r="B85" s="9" t="s">
        <v>77</v>
      </c>
      <c r="C85" s="12" t="s">
        <v>314</v>
      </c>
      <c r="D85" s="12" t="s">
        <v>315</v>
      </c>
      <c r="E85" s="9" t="s">
        <v>53</v>
      </c>
      <c r="F85" s="8" t="s">
        <v>316</v>
      </c>
      <c r="G85" s="13" cm="1" t="str">
        <f t="array" ref="G85">IF(F85="","",SUBSTITUTE(SUBSTITUTE(SUBSTITUTE(SUBSTITUTE(F85,"&lt;li&gt;",CHAR(10)),"&lt;/li&gt;",""),"&lt;br&gt;",CHAR(10)),"&lt;strong&gt;",""))</f>
        <v>&lt;p&gt;25/02/2026 : RDV café Paris 16 avec Directeur Cheval Blanc Patrimoine CGP, présentation offre globale. Intérêt mais pas de suite, préfère fonds de dette privés, réticent sur fonds fiscaux (mauvaise réputation). 28/01/2026 : call vœux, collecte FCPI Wind. Pas d'action future prévue à ce stade.&lt;/p&gt;</v>
      </c>
      <c r="H85" s="13" cm="1" t="str">
        <f t="array" ref="H85">IF(G85="","",SUBSTITUTE(SUBSTITUTE(SUBSTITUTE(SUBSTITUTE(SUBSTITUTE(G85,"&lt;p&gt;",""),"&lt;/p&gt;",""),"&lt;ul&gt;",""),"&lt;/ul&gt;",""),"&lt;/strong&gt;",""))</f>
        <v>25/02/2026 : RDV café Paris 16 avec Directeur Cheval Blanc Patrimoine CGP, présentation offre globale. Intérêt mais pas de suite, préfère fonds de dette privés, réticent sur fonds fiscaux (mauvaise réputation). 28/01/2026 : call vœux, collecte FCPI Wind. Pas d'action future prévue à ce stade.</v>
      </c>
      <c r="I85" s="14" cm="1" t="str">
        <f t="array" ref="I85">IF(C85="","",IF(OR(H85="",H85=0,H85=FALSE),"-",H85))</f>
        <v>25/02/2026 : RDV café Paris 16 avec Directeur Cheval Blanc Patrimoine CGP, présentation offre globale. Intérêt mais pas de suite, préfère fonds de dette privés, réticent sur fonds fiscaux (mauvaise réputation). 28/01/2026 : call vœux, collecte FCPI Wind. Pas d'action future prévue à ce stade.</v>
      </c>
      <c r="J85" s="8">
</c>
      <c r="K85" s="8" t="s">
        <v>35</v>
      </c>
      <c r="L85" s="9" cm="1" t="str">
        <f t="array" ref="L85">IF(C85="","",IF(K85="Mort / Plus rien à faire","KO","OK"))</f>
        <v>OK</v>
      </c>
      <c r="M85" s="15">
        <v>46083.46741898148</v>
      </c>
      <c r="N85" s="15" cm="1" t="n">
        <f t="array" ref="N85">IF(OR(C85="",M85="",M85=0),"",M85)</f>
        <v>46083.46741898148</v>
      </c>
      <c r="O85" s="15">
</c>
      <c r="P85" s="15" cm="1" t="str">
        <f t="array" ref="P85">IF(C85="","",IF(OR(O85="",O85=0),"-",O85))</f>
        <v>-</v>
      </c>
      <c r="Q85" s="16">
        <v>0</v>
      </c>
      <c r="R85" s="16" cm="1" t="str">
        <f t="array" ref="R85">IF(C85="","",ROUND(Q85/1000000,3)&amp;" M€")</f>
        <v>0 M€</v>
      </c>
      <c r="S85" s="12" t="s">
        <v>134</v>
      </c>
      <c r="T85" s="9" cm="1" t="str">
        <f t="array" ref="T85">IF(C85="","",SUBSTITUTE(S85,"","")&amp;"%")</f>
        <v>10%</v>
      </c>
      <c r="U85" s="9" cm="1" t="str">
        <f t="array" ref="U85">IF(($N85="")*($P85=""),"",IF(($N85&lt;&gt;"")*($N85&gt;TODAY()-9)*($N85&lt;TODAY()+1)*($P85&lt;&gt;"")*($P85&gt;=TODAY())*($P85&lt;=TODAY()+13),"Semaine passée &amp; à venir",IF(($N85&lt;&gt;"")*($N85&gt;TODAY()-9)*($N85&lt;TODAY()+1),"Semaine passée",IF(($P85&lt;&gt;"")*($P85&gt;=TODAY())*($P85&lt;=TODAY()+13),"À venir","Autre"))))</f>
        <v>Semaine passée</v>
      </c>
      <c r="V85" s="8" cm="1" t="n">
        <f t="array" ref="V85">IF(C85&lt;&gt;"",1,0)</f>
        <v>1</v>
      </c>
      <c r="W85" s="8">
</c>
      <c r="X85" s="8">
</c>
      <c r="Y85" s="8">
</c>
      <c r="Z85" s="8">
</c>
      <c r="AA85" s="8">
</c>
      <c r="AB85" s="8">
</c>
      <c r="AC85" s="8">
</c>
      <c r="AD85" s="8">
</c>
      <c r="AE85" s="8">
</c>
      <c r="AF85" s="8">
</c>
      <c r="AG85" s="8">
</c>
      <c r="AH85" s="8">
</c>
      <c r="AI85" s="8">
</c>
      <c r="AJ85" s="8">
</c>
      <c r="AK85" s="8">
</c>
    </row>
    <row r="86" ht="76.5" customHeight="1">
      <c r="A86" s="9" t="s">
        <v>23</v>
      </c>
      <c r="B86" s="9" t="s">
        <v>60</v>
      </c>
      <c r="C86" s="12" t="s">
        <v>317</v>
      </c>
      <c r="D86" s="12" t="s">
        <v>318</v>
      </c>
      <c r="E86" s="9" t="s">
        <v>53</v>
      </c>
      <c r="F86" s="8" t="s">
        <v>319</v>
      </c>
      <c r="G86" s="13" cm="1" t="str">
        <f t="array" ref="G86">IF(F86="","",SUBSTITUTE(SUBSTITUTE(SUBSTITUTE(SUBSTITUTE(F86,"&lt;li&gt;",CHAR(10)),"&lt;/li&gt;",""),"&lt;br&gt;",CHAR(10)),"&lt;strong&gt;",""))</f>
        <v>&lt;p&gt;Point sur fonds deeptech, docs à envoyer pour alimenter. Enrichissement lead impossible (email non valide). Nouvelle piste créée pour équipe Ventes. Pas d'autres activités ni retours prospects. Prochaine étape : envoi de documentation, attente retour sur fonds présentés.&lt;/p&gt;</v>
      </c>
      <c r="H86" s="13" cm="1" t="str">
        <f t="array" ref="H86">IF(G86="","",SUBSTITUTE(SUBSTITUTE(SUBSTITUTE(SUBSTITUTE(SUBSTITUTE(G86,"&lt;p&gt;",""),"&lt;/p&gt;",""),"&lt;ul&gt;",""),"&lt;/ul&gt;",""),"&lt;/strong&gt;",""))</f>
        <v>Point sur fonds deeptech, docs à envoyer pour alimenter. Enrichissement lead impossible (email non valide). Nouvelle piste créée pour équipe Ventes. Pas d'autres activités ni retours prospects. Prochaine étape : envoi de documentation, attente retour sur fonds présentés.</v>
      </c>
      <c r="I86" s="14" cm="1" t="str">
        <f t="array" ref="I86">IF(C86="","",IF(OR(H86="",H86=0,H86=FALSE),"-",H86))</f>
        <v>Point sur fonds deeptech, docs à envoyer pour alimenter. Enrichissement lead impossible (email non valide). Nouvelle piste créée pour équipe Ventes. Pas d'autres activités ni retours prospects. Prochaine étape : envoi de documentation, attente retour sur fonds présentés.</v>
      </c>
      <c r="J86" s="8">
</c>
      <c r="K86" s="8" t="s">
        <v>35</v>
      </c>
      <c r="L86" s="9" cm="1" t="str">
        <f t="array" ref="L86">IF(C86="","",IF(K86="Mort / Plus rien à faire","KO","OK"))</f>
        <v>OK</v>
      </c>
      <c r="M86" s="15">
        <v>46050.69390046296</v>
      </c>
      <c r="N86" s="15" cm="1" t="n">
        <f t="array" ref="N86">IF(OR(C86="",M86="",M86=0),"",M86)</f>
        <v>46050.69390046296</v>
      </c>
      <c r="O86" s="15">
</c>
      <c r="P86" s="15" cm="1" t="str">
        <f t="array" ref="P86">IF(C86="","",IF(OR(O86="",O86=0),"-",O86))</f>
        <v>-</v>
      </c>
      <c r="Q86" s="16">
        <v>0</v>
      </c>
      <c r="R86" s="16" cm="1" t="str">
        <f t="array" ref="R86">IF(C86="","",ROUND(Q86/1000000,3)&amp;" M€")</f>
        <v>0 M€</v>
      </c>
      <c r="S86" s="12" t="s">
        <v>134</v>
      </c>
      <c r="T86" s="9" cm="1" t="str">
        <f t="array" ref="T86">IF(C86="","",SUBSTITUTE(S86,"","")&amp;"%")</f>
        <v>10%</v>
      </c>
      <c r="U86" s="9" cm="1" t="str">
        <f t="array" ref="U86">IF(($N86="")*($P86=""),"",IF(($N86&lt;&gt;"")*($N86&gt;TODAY()-9)*($N86&lt;TODAY()+1)*($P86&lt;&gt;"")*($P86&gt;=TODAY())*($P86&lt;=TODAY()+13),"Semaine passée &amp; à venir",IF(($N86&lt;&gt;"")*($N86&gt;TODAY()-9)*($N86&lt;TODAY()+1),"Semaine passée",IF(($P86&lt;&gt;"")*($P86&gt;=TODAY())*($P86&lt;=TODAY()+13),"À venir","Autre"))))</f>
        <v>Autre</v>
      </c>
      <c r="V86" s="8" cm="1" t="n">
        <f t="array" ref="V86">IF(C86&lt;&gt;"",1,0)</f>
        <v>1</v>
      </c>
      <c r="W86" s="8">
</c>
      <c r="X86" s="8">
</c>
      <c r="Y86" s="8">
</c>
      <c r="Z86" s="8">
</c>
      <c r="AA86" s="8">
</c>
      <c r="AB86" s="8">
</c>
      <c r="AC86" s="8">
</c>
      <c r="AD86" s="8">
</c>
      <c r="AE86" s="8">
</c>
      <c r="AF86" s="8">
</c>
      <c r="AG86" s="8">
</c>
      <c r="AH86" s="8">
</c>
      <c r="AI86" s="8">
</c>
      <c r="AJ86" s="8">
</c>
      <c r="AK86" s="8">
</c>
    </row>
    <row r="87" ht="76.5" customHeight="1">
      <c r="A87" s="9" t="s">
        <v>23</v>
      </c>
      <c r="B87" s="9" t="s">
        <v>37</v>
      </c>
      <c r="C87" s="12" t="s">
        <v>320</v>
      </c>
      <c r="D87" s="12" t="s">
        <v>321</v>
      </c>
      <c r="E87" s="9" t="s">
        <v>27</v>
      </c>
      <c r="F87" s="8" t="s">
        <v>322</v>
      </c>
      <c r="G87" s="13" cm="1" t="str">
        <f t="array" ref="G87">IF(F87="","",SUBSTITUTE(SUBSTITUTE(SUBSTITUTE(SUBSTITUTE(F87,"&lt;li&gt;",CHAR(10)),"&lt;/li&gt;",""),"&lt;br&gt;",CHAR(10)),"&lt;strong&gt;",""))</f>
        <v>&lt;p&gt;RDV physique UNEDIC &amp;lt;&amp;gt; IPEM le 06/02 : UNEDIC gère 60mds€ de dettes, focus liquidité, politiques d'investissement très monétaires, très peu d'intérêt pour PE, ouverture marginale sur fonds obligataires ESG. Pas d'activité ou de suivi supplémentaire identifié à ce jour.&lt;/p&gt;</v>
      </c>
      <c r="H87" s="13" cm="1" t="str">
        <f t="array" ref="H87">IF(G87="","",SUBSTITUTE(SUBSTITUTE(SUBSTITUTE(SUBSTITUTE(SUBSTITUTE(G87,"&lt;p&gt;",""),"&lt;/p&gt;",""),"&lt;ul&gt;",""),"&lt;/ul&gt;",""),"&lt;/strong&gt;",""))</f>
        <v>RDV physique UNEDIC &amp;lt;&amp;gt; IPEM le 06/02 : UNEDIC gère 60mds€ de dettes, focus liquidité, politiques d'investissement très monétaires, très peu d'intérêt pour PE, ouverture marginale sur fonds obligataires ESG. Pas d'activité ou de suivi supplémentaire identifié à ce jour.</v>
      </c>
      <c r="I87" s="14" cm="1" t="str">
        <f t="array" ref="I87">IF(C87="","",IF(OR(H87="",H87=0,H87=FALSE),"-",H87))</f>
        <v>RDV physique UNEDIC &amp;lt;&amp;gt; IPEM le 06/02 : UNEDIC gère 60mds€ de dettes, focus liquidité, politiques d'investissement très monétaires, très peu d'intérêt pour PE, ouverture marginale sur fonds obligataires ESG. Pas d'activité ou de suivi supplémentaire identifié à ce jour.</v>
      </c>
      <c r="J87" s="8">
</c>
      <c r="K87" s="8" t="s">
        <v>225</v>
      </c>
      <c r="L87" s="9" cm="1" t="str">
        <f t="array" ref="L87">IF(C87="","",IF(K87="Mort / Plus rien à faire","KO","OK"))</f>
        <v>OK</v>
      </c>
      <c r="M87" s="15">
        <v>46059.81091435185</v>
      </c>
      <c r="N87" s="15" cm="1" t="n">
        <f t="array" ref="N87">IF(OR(C87="",M87="",M87=0),"",M87)</f>
        <v>46059.81091435185</v>
      </c>
      <c r="O87" s="15">
</c>
      <c r="P87" s="15" cm="1" t="str">
        <f t="array" ref="P87">IF(C87="","",IF(OR(O87="",O87=0),"-",O87))</f>
        <v>-</v>
      </c>
      <c r="Q87" s="16">
        <v>0</v>
      </c>
      <c r="R87" s="16" cm="1" t="str">
        <f t="array" ref="R87">IF(C87="","",ROUND(Q87/1000000,3)&amp;" M€")</f>
        <v>0 M€</v>
      </c>
      <c r="S87" s="12" t="s">
        <v>323</v>
      </c>
      <c r="T87" s="9" cm="1" t="str">
        <f t="array" ref="T87">IF(C87="","",SUBSTITUTE(S87,"","")&amp;"%")</f>
        <v>0%</v>
      </c>
      <c r="U87" s="9" cm="1" t="str">
        <f t="array" ref="U87">IF(($N87="")*($P87=""),"",IF(($N87&lt;&gt;"")*($N87&gt;TODAY()-9)*($N87&lt;TODAY()+1)*($P87&lt;&gt;"")*($P87&gt;=TODAY())*($P87&lt;=TODAY()+13),"Semaine passée &amp; à venir",IF(($N87&lt;&gt;"")*($N87&gt;TODAY()-9)*($N87&lt;TODAY()+1),"Semaine passée",IF(($P87&lt;&gt;"")*($P87&gt;=TODAY())*($P87&lt;=TODAY()+13),"À venir","Autre"))))</f>
        <v>Autre</v>
      </c>
      <c r="V87" s="8" cm="1" t="n">
        <f t="array" ref="V87">IF(C87&lt;&gt;"",1,0)</f>
        <v>1</v>
      </c>
      <c r="W87" s="8">
</c>
      <c r="X87" s="8">
</c>
      <c r="Y87" s="8">
</c>
      <c r="Z87" s="8">
</c>
      <c r="AA87" s="8">
</c>
      <c r="AB87" s="8">
</c>
      <c r="AC87" s="8">
</c>
      <c r="AD87" s="8">
</c>
      <c r="AE87" s="8">
</c>
      <c r="AF87" s="8">
</c>
      <c r="AG87" s="8">
</c>
      <c r="AH87" s="8">
</c>
      <c r="AI87" s="8">
</c>
      <c r="AJ87" s="8">
</c>
      <c r="AK87" s="8">
</c>
    </row>
    <row r="88" ht="76.5" customHeight="1">
      <c r="A88" s="9" t="s">
        <v>23</v>
      </c>
      <c r="B88" s="9" t="s">
        <v>85</v>
      </c>
      <c r="C88" s="12" t="s">
        <v>324</v>
      </c>
      <c r="D88" s="12" t="s">
        <v>325</v>
      </c>
      <c r="E88" s="9" t="s">
        <v>74</v>
      </c>
      <c r="F88" s="8" t="s">
        <v>326</v>
      </c>
      <c r="G88" s="13" cm="1" t="str">
        <f t="array" ref="G88">IF(F88="","",SUBSTITUTE(SUBSTITUTE(SUBSTITUTE(SUBSTITUTE(F88,"&lt;li&gt;",CHAR(10)),"&lt;/li&gt;",""),"&lt;br&gt;",CHAR(10)),"&lt;strong&gt;",""))</f>
        <v>&lt;p&gt;Prospect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notables.&lt;/p&gt;</v>
      </c>
      <c r="H88" s="13" cm="1" t="str">
        <f t="array" ref="H88">IF(G88="","",SUBSTITUTE(SUBSTITUTE(SUBSTITUTE(SUBSTITUTE(SUBSTITUTE(G88,"&lt;p&gt;",""),"&lt;/p&gt;",""),"&lt;ul&gt;",""),"&lt;/ul&gt;",""),"&lt;/strong&gt;",""))</f>
        <v>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v>
      </c>
      <c r="I88" s="14" cm="1" t="str">
        <f t="array" ref="I88">IF(C88="","",IF(OR(H88="",H88=0,H88=FALSE),"-",H88))</f>
        <v>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v>
      </c>
      <c r="J88" s="8" t="s">
        <v>327</v>
      </c>
      <c r="K88" s="8" t="s">
        <v>157</v>
      </c>
      <c r="L88" s="9" cm="1" t="str">
        <f t="array" ref="L88">IF(C88="","",IF(K88="Mort / Plus rien à faire","KO","OK"))</f>
        <v>OK</v>
      </c>
      <c r="M88" s="15">
        <v>46071.49596064815</v>
      </c>
      <c r="N88" s="15" cm="1" t="n">
        <f t="array" ref="N88">IF(OR(C88="",M88="",M88=0),"",M88)</f>
        <v>46071.49596064815</v>
      </c>
      <c r="O88" s="15">
</c>
      <c r="P88" s="15" cm="1" t="str">
        <f t="array" ref="P88">IF(C88="","",IF(OR(O88="",O88=0),"-",O88))</f>
        <v>-</v>
      </c>
      <c r="Q88" s="16">
        <v>0</v>
      </c>
      <c r="R88" s="16" cm="1" t="str">
        <f t="array" ref="R88">IF(C88="","",ROUND(Q88/1000000,3)&amp;" M€")</f>
        <v>0 M€</v>
      </c>
      <c r="S88" s="12" t="s">
        <v>323</v>
      </c>
      <c r="T88" s="9" cm="1" t="str">
        <f t="array" ref="T88">IF(C88="","",SUBSTITUTE(S88,"","")&amp;"%")</f>
        <v>0%</v>
      </c>
      <c r="U88" s="9" cm="1" t="str">
        <f t="array" ref="U88">IF(($N88="")*($P88=""),"",IF(($N88&lt;&gt;"")*($N88&gt;TODAY()-9)*($N88&lt;TODAY()+1)*($P88&lt;&gt;"")*($P88&gt;=TODAY())*($P88&lt;=TODAY()+13),"Semaine passée &amp; à venir",IF(($N88&lt;&gt;"")*($N88&gt;TODAY()-9)*($N88&lt;TODAY()+1),"Semaine passée",IF(($P88&lt;&gt;"")*($P88&gt;=TODAY())*($P88&lt;=TODAY()+13),"À venir","Autre"))))</f>
        <v>Autre</v>
      </c>
      <c r="V88" s="8" cm="1" t="n">
        <f t="array" ref="V88">IF(C88&lt;&gt;"",1,0)</f>
        <v>1</v>
      </c>
      <c r="W88" s="8">
</c>
      <c r="X88" s="8">
</c>
      <c r="Y88" s="8">
</c>
      <c r="Z88" s="8">
</c>
      <c r="AA88" s="8">
</c>
      <c r="AB88" s="8">
</c>
      <c r="AC88" s="8">
</c>
      <c r="AD88" s="8">
</c>
      <c r="AE88" s="8">
</c>
      <c r="AF88" s="8">
</c>
      <c r="AG88" s="8">
</c>
      <c r="AH88" s="8">
</c>
      <c r="AI88" s="8">
</c>
      <c r="AJ88" s="8">
</c>
      <c r="AK88" s="8">
</c>
    </row>
    <row r="89" ht="76.5" customHeight="1">
      <c r="A89" s="9" t="s">
        <v>23</v>
      </c>
      <c r="B89" s="9" t="s">
        <v>241</v>
      </c>
      <c r="C89" s="12" t="s">
        <v>328</v>
      </c>
      <c r="D89" s="12" t="s">
        <v>329</v>
      </c>
      <c r="E89" s="9" t="s">
        <v>27</v>
      </c>
      <c r="F89" s="8" t="s">
        <v>330</v>
      </c>
      <c r="G89" s="13" cm="1" t="str">
        <f t="array" ref="G89">IF(F89="","",SUBSTITUTE(SUBSTITUTE(SUBSTITUTE(SUBSTITUTE(F89,"&lt;li&gt;",CHAR(10)),"&lt;/li&gt;",""),"&lt;br&gt;",CHAR(10)),"&lt;strong&gt;",""))</f>
        <v>&lt;p&gt;Aucune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France.&lt;/p&gt;</v>
      </c>
      <c r="H89" s="13" cm="1" t="str">
        <f t="array" ref="H89">IF(G89="","",SUBSTITUTE(SUBSTITUTE(SUBSTITUTE(SUBSTITUTE(SUBSTITUTE(G89,"&lt;p&gt;",""),"&lt;/p&gt;",""),"&lt;ul&gt;",""),"&lt;/ul&gt;",""),"&lt;/strong&gt;",""))</f>
        <v>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v>
      </c>
      <c r="I89" s="14" cm="1" t="str">
        <f t="array" ref="I89">IF(C89="","",IF(OR(H89="",H89=0,H89=FALSE),"-",H89))</f>
        <v>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v>
      </c>
      <c r="J89" s="8">
</c>
      <c r="K89" s="8" t="s">
        <v>157</v>
      </c>
      <c r="L89" s="9" cm="1" t="str">
        <f t="array" ref="L89">IF(C89="","",IF(K89="Mort / Plus rien à faire","KO","OK"))</f>
        <v>OK</v>
      </c>
      <c r="M89" s="15">
        <v>45992.515023148146</v>
      </c>
      <c r="N89" s="15" cm="1" t="n">
        <f t="array" ref="N89">IF(OR(C89="",M89="",M89=0),"",M89)</f>
        <v>45992.515023148146</v>
      </c>
      <c r="O89" s="15">
</c>
      <c r="P89" s="15" cm="1" t="str">
        <f t="array" ref="P89">IF(C89="","",IF(OR(O89="",O89=0),"-",O89))</f>
        <v>-</v>
      </c>
      <c r="Q89" s="16">
        <v>0</v>
      </c>
      <c r="R89" s="16" cm="1" t="str">
        <f t="array" ref="R89">IF(C89="","",ROUND(Q89/1000000,3)&amp;" M€")</f>
        <v>0 M€</v>
      </c>
      <c r="S89" s="12" t="s">
        <v>323</v>
      </c>
      <c r="T89" s="9" cm="1" t="str">
        <f t="array" ref="T89">IF(C89="","",SUBSTITUTE(S89,"","")&amp;"%")</f>
        <v>0%</v>
      </c>
      <c r="U89" s="9" cm="1" t="str">
        <f t="array" ref="U89">IF(($N89="")*($P89=""),"",IF(($N89&lt;&gt;"")*($N89&gt;TODAY()-9)*($N89&lt;TODAY()+1)*($P89&lt;&gt;"")*($P89&gt;=TODAY())*($P89&lt;=TODAY()+13),"Semaine passée &amp; à venir",IF(($N89&lt;&gt;"")*($N89&gt;TODAY()-9)*($N89&lt;TODAY()+1),"Semaine passée",IF(($P89&lt;&gt;"")*($P89&gt;=TODAY())*($P89&lt;=TODAY()+13),"À venir","Autre"))))</f>
        <v>Autre</v>
      </c>
      <c r="V89" s="8" cm="1" t="n">
        <f t="array" ref="V89">IF(C89&lt;&gt;"",1,0)</f>
        <v>1</v>
      </c>
      <c r="W89" s="8">
</c>
      <c r="X89" s="8">
</c>
      <c r="Y89" s="8">
</c>
      <c r="Z89" s="8">
</c>
      <c r="AA89" s="8">
</c>
      <c r="AB89" s="8">
</c>
      <c r="AC89" s="8">
</c>
      <c r="AD89" s="8">
</c>
      <c r="AE89" s="8">
</c>
      <c r="AF89" s="8">
</c>
      <c r="AG89" s="8">
</c>
      <c r="AH89" s="8">
</c>
      <c r="AI89" s="8">
</c>
      <c r="AJ89" s="8">
</c>
      <c r="AK89" s="8">
</c>
    </row>
    <row r="90" ht="76.5" customHeight="1">
      <c r="A90" s="9" t="s">
        <v>23</v>
      </c>
      <c r="B90" s="9" t="s">
        <v>37</v>
      </c>
      <c r="C90" s="12" t="s">
        <v>331</v>
      </c>
      <c r="D90" s="12" t="s">
        <v>332</v>
      </c>
      <c r="E90" s="9" t="s">
        <v>27</v>
      </c>
      <c r="F90" s="8" t="s">
        <v>333</v>
      </c>
      <c r="G90" s="13" cm="1" t="str">
        <f t="array" ref="G90">IF(F90="","",SUBSTITUTE(SUBSTITUTE(SUBSTITUTE(SUBSTITUTE(F90,"&lt;li&gt;",CHAR(10)),"&lt;/li&gt;",""),"&lt;br&gt;",CHAR(10)),"&lt;strong&gt;",""))</f>
        <v>&lt;p&gt;Olivier Groleau parti début 2025, contact transmis à David Tomi. Relances mails effectuées par Romain Andrieu le 13/01/2026 suite au départ d'Olivier. Pas de retour mentionné de la CRPN. Prochaine étape : attendre réponse de David Tomi ou relancer si besoin. Aucun retour prospect sur fonds présentés.&lt;/p&gt;</v>
      </c>
      <c r="H90" s="13" cm="1" t="str">
        <f t="array" ref="H90">IF(G90="","",SUBSTITUTE(SUBSTITUTE(SUBSTITUTE(SUBSTITUTE(SUBSTITUTE(G90,"&lt;p&gt;",""),"&lt;/p&gt;",""),"&lt;ul&gt;",""),"&lt;/ul&gt;",""),"&lt;/strong&gt;",""))</f>
        <v>Olivier Groleau parti début 2025, contact transmis à David Tomi. Relances mails effectuées par Romain Andrieu le 13/01/2026 suite au départ d'Olivier. Pas de retour mentionné de la CRPN. Prochaine étape : attendre réponse de David Tomi ou relancer si besoin. Aucun retour prospect sur fonds présentés.</v>
      </c>
      <c r="I90" s="14" cm="1" t="str">
        <f t="array" ref="I90">IF(C90="","",IF(OR(H90="",H90=0,H90=FALSE),"-",H90))</f>
        <v>Olivier Groleau parti début 2025, contact transmis à David Tomi. Relances mails effectuées par Romain Andrieu le 13/01/2026 suite au départ d'Olivier. Pas de retour mentionné de la CRPN. Prochaine étape : attendre réponse de David Tomi ou relancer si besoin. Aucun retour prospect sur fonds présentés.</v>
      </c>
      <c r="J90" s="8">
</c>
      <c r="K90" s="8" t="s">
        <v>157</v>
      </c>
      <c r="L90" s="9" cm="1" t="str">
        <f t="array" ref="L90">IF(C90="","",IF(K90="Mort / Plus rien à faire","KO","OK"))</f>
        <v>OK</v>
      </c>
      <c r="M90" s="15">
        <v>45992.36256944444</v>
      </c>
      <c r="N90" s="15" cm="1" t="n">
        <f t="array" ref="N90">IF(OR(C90="",M90="",M90=0),"",M90)</f>
        <v>45992.36256944444</v>
      </c>
      <c r="O90" s="15">
</c>
      <c r="P90" s="15" cm="1" t="str">
        <f t="array" ref="P90">IF(C90="","",IF(OR(O90="",O90=0),"-",O90))</f>
        <v>-</v>
      </c>
      <c r="Q90" s="16">
        <v>0</v>
      </c>
      <c r="R90" s="16" cm="1" t="str">
        <f t="array" ref="R90">IF(C90="","",ROUND(Q90/1000000,3)&amp;" M€")</f>
        <v>0 M€</v>
      </c>
      <c r="S90" s="12" t="s">
        <v>323</v>
      </c>
      <c r="T90" s="9" cm="1" t="str">
        <f t="array" ref="T90">IF(C90="","",SUBSTITUTE(S90,"","")&amp;"%")</f>
        <v>0%</v>
      </c>
      <c r="U90" s="9" cm="1" t="str">
        <f t="array" ref="U90">IF(($N90="")*($P90=""),"",IF(($N90&lt;&gt;"")*($N90&gt;TODAY()-9)*($N90&lt;TODAY()+1)*($P90&lt;&gt;"")*($P90&gt;=TODAY())*($P90&lt;=TODAY()+13),"Semaine passée &amp; à venir",IF(($N90&lt;&gt;"")*($N90&gt;TODAY()-9)*($N90&lt;TODAY()+1),"Semaine passée",IF(($P90&lt;&gt;"")*($P90&gt;=TODAY())*($P90&lt;=TODAY()+13),"À venir","Autre"))))</f>
        <v>Autre</v>
      </c>
      <c r="V90" s="8" cm="1" t="n">
        <f t="array" ref="V90">IF(C90&lt;&gt;"",1,0)</f>
        <v>1</v>
      </c>
      <c r="W90" s="8">
</c>
      <c r="X90" s="8">
</c>
      <c r="Y90" s="8">
</c>
      <c r="Z90" s="8">
</c>
      <c r="AA90" s="8">
</c>
      <c r="AB90" s="8">
</c>
      <c r="AC90" s="8">
</c>
      <c r="AD90" s="8">
</c>
      <c r="AE90" s="8">
</c>
      <c r="AF90" s="8">
</c>
      <c r="AG90" s="8">
</c>
      <c r="AH90" s="8">
</c>
      <c r="AI90" s="8">
</c>
      <c r="AJ90" s="8">
</c>
      <c r="AK90" s="8">
</c>
    </row>
    <row r="91" ht="76.5" customHeight="1">
      <c r="A91" s="9" t="s">
        <v>23</v>
      </c>
      <c r="B91" s="9" t="s">
        <v>85</v>
      </c>
      <c r="C91" s="12" t="s">
        <v>334</v>
      </c>
      <c r="D91" s="12" t="s">
        <v>335</v>
      </c>
      <c r="E91" s="9" t="s">
        <v>27</v>
      </c>
      <c r="F91" s="8" t="s">
        <v>336</v>
      </c>
      <c r="G91" s="13" cm="1" t="str">
        <f t="array" ref="G91">IF(F91="","",SUBSTITUTE(SUBSTITUTE(SUBSTITUTE(SUBSTITUTE(F91,"&lt;li&gt;",CHAR(10)),"&lt;/li&gt;",""),"&lt;br&gt;",CHAR(10)),"&lt;strong&gt;",""))</f>
        <v>&lt;p&gt;RDV physique 23/01/2026 avec CAISSE D'EPARGNE ET DE PREVOYANCE HAUTS DE FRANCE. Entreprise BCorp, aucun intérêt pour la défense. Seule piste possible : fonds de fonds capdev et Tourisme. Pas d'autres actions ou prochaines étapes mentionnées. Nouvelle piste créée équipe Ventes.&lt;/p&gt;</v>
      </c>
      <c r="H91" s="13" cm="1" t="str">
        <f t="array" ref="H91">IF(G91="","",SUBSTITUTE(SUBSTITUTE(SUBSTITUTE(SUBSTITUTE(SUBSTITUTE(G91,"&lt;p&gt;",""),"&lt;/p&gt;",""),"&lt;ul&gt;",""),"&lt;/ul&gt;",""),"&lt;/strong&gt;",""))</f>
        <v>RDV physique 23/01/2026 avec CAISSE D'EPARGNE ET DE PREVOYANCE HAUTS DE FRANCE. Entreprise BCorp, aucun intérêt pour la défense. Seule piste possible : fonds de fonds capdev et Tourisme. Pas d'autres actions ou prochaines étapes mentionnées. Nouvelle piste créée équipe Ventes.</v>
      </c>
      <c r="I91" s="14" cm="1" t="str">
        <f t="array" ref="I91">IF(C91="","",IF(OR(H91="",H91=0,H91=FALSE),"-",H91))</f>
        <v>RDV physique 23/01/2026 avec CAISSE D'EPARGNE ET DE PREVOYANCE HAUTS DE FRANCE. Entreprise BCorp, aucun intérêt pour la défense. Seule piste possible : fonds de fonds capdev et Tourisme. Pas d'autres actions ou prochaines étapes mentionnées. Nouvelle piste créée équipe Ventes.</v>
      </c>
      <c r="J91" s="8" t="s">
        <v>337</v>
      </c>
      <c r="K91" s="8" t="s">
        <v>59</v>
      </c>
      <c r="L91" s="9" cm="1" t="str">
        <f t="array" ref="L91">IF(C91="","",IF(K91="Mort / Plus rien à faire","KO","OK"))</f>
        <v>KO</v>
      </c>
      <c r="M91" s="15">
        <v>46071.47336805556</v>
      </c>
      <c r="N91" s="15" cm="1" t="n">
        <f t="array" ref="N91">IF(OR(C91="",M91="",M91=0),"",M91)</f>
        <v>46071.47336805556</v>
      </c>
      <c r="O91" s="15">
        <v>46391.041666666664</v>
      </c>
      <c r="P91" s="15" cm="1" t="n">
        <f t="array" ref="P91">IF(C91="","",IF(OR(O91="",O91=0),"-",O91))</f>
        <v>46391.041666666664</v>
      </c>
      <c r="Q91" s="16">
        <v>1000000</v>
      </c>
      <c r="R91" s="16" cm="1" t="str">
        <f t="array" ref="R91">IF(C91="","",ROUND(Q91/1000000,3)&amp;" M€")</f>
        <v>1 M€</v>
      </c>
      <c r="S91" s="12" t="s">
        <v>323</v>
      </c>
      <c r="T91" s="9" cm="1" t="str">
        <f t="array" ref="T91">IF(C91="","",SUBSTITUTE(S91,"","")&amp;"%")</f>
        <v>0%</v>
      </c>
      <c r="U91" s="9" cm="1" t="str">
        <f t="array" ref="U91">IF(($N91="")*($P91=""),"",IF(($N91&lt;&gt;"")*($N91&gt;TODAY()-9)*($N91&lt;TODAY()+1)*($P91&lt;&gt;"")*($P91&gt;=TODAY())*($P91&lt;=TODAY()+13),"Semaine passée &amp; à venir",IF(($N91&lt;&gt;"")*($N91&gt;TODAY()-9)*($N91&lt;TODAY()+1),"Semaine passée",IF(($P91&lt;&gt;"")*($P91&gt;=TODAY())*($P91&lt;=TODAY()+13),"À venir","Autre"))))</f>
        <v>Autre</v>
      </c>
      <c r="V91" s="8" cm="1" t="n">
        <f t="array" ref="V91">IF(C91&lt;&gt;"",1,0)</f>
        <v>1</v>
      </c>
      <c r="W91" s="8">
</c>
      <c r="X91" s="8">
</c>
      <c r="Y91" s="8">
</c>
      <c r="Z91" s="8">
</c>
      <c r="AA91" s="8">
</c>
      <c r="AB91" s="8">
</c>
      <c r="AC91" s="8">
</c>
      <c r="AD91" s="8">
</c>
      <c r="AE91" s="8">
</c>
      <c r="AF91" s="8">
</c>
      <c r="AG91" s="8">
</c>
      <c r="AH91" s="8">
</c>
      <c r="AI91" s="8">
</c>
      <c r="AJ91" s="8">
</c>
      <c r="AK91" s="8">
</c>
    </row>
    <row r="92" ht="76.5" customHeight="1">
      <c r="A92" s="9" t="s">
        <v>23</v>
      </c>
      <c r="B92" s="9" t="s">
        <v>37</v>
      </c>
      <c r="C92" s="12" t="s">
        <v>338</v>
      </c>
      <c r="D92" s="12" t="s">
        <v>339</v>
      </c>
      <c r="E92" s="9" t="s">
        <v>27</v>
      </c>
      <c r="F92" s="8" t="s">
        <v>340</v>
      </c>
      <c r="G92" s="13" cm="1" t="str">
        <f t="array" ref="G92">IF(F92="","",SUBSTITUTE(SUBSTITUTE(SUBSTITUTE(SUBSTITUTE(F92,"&lt;li&gt;",CHAR(10)),"&lt;/li&gt;",""),"&lt;br&gt;",CHAR(10)),"&lt;strong&gt;",""))</f>
        <v>&lt;p&gt;Aucune activité menée sur le prospect. ORPHEOPOLIS : acteur majeur protection enfance, gère établissements, accompagne enfants/familles en difficulté, forte implantation nationale, longue histoire. Pas d'interactions, ni retours, ni prochaines étapes identifiées à ce jour.&lt;/p&gt;</v>
      </c>
      <c r="H92" s="13" cm="1" t="str">
        <f t="array" ref="H92">IF(G92="","",SUBSTITUTE(SUBSTITUTE(SUBSTITUTE(SUBSTITUTE(SUBSTITUTE(G92,"&lt;p&gt;",""),"&lt;/p&gt;",""),"&lt;ul&gt;",""),"&lt;/ul&gt;",""),"&lt;/strong&gt;",""))</f>
        <v>Aucune activité menée sur le prospect. ORPHEOPOLIS : acteur majeur protection enfance, gère établissements, accompagne enfants/familles en difficulté, forte implantation nationale, longue histoire. Pas d'interactions, ni retours, ni prochaines étapes identifiées à ce jour.</v>
      </c>
      <c r="I92" s="14" cm="1" t="str">
        <f t="array" ref="I92">IF(C92="","",IF(OR(H92="",H92=0,H92=FALSE),"-",H92))</f>
        <v>Aucune activité menée sur le prospect. ORPHEOPOLIS : acteur majeur protection enfance, gère établissements, accompagne enfants/familles en difficulté, forte implantation nationale, longue histoire. Pas d'interactions, ni retours, ni prochaines étapes identifiées à ce jour.</v>
      </c>
      <c r="J92" s="8">
</c>
      <c r="K92" s="8" t="s">
        <v>157</v>
      </c>
      <c r="L92" s="9" cm="1" t="str">
        <f t="array" ref="L92">IF(C92="","",IF(K92="Mort / Plus rien à faire","KO","OK"))</f>
        <v>OK</v>
      </c>
      <c r="M92" s="15">
        <v>45992.51152777778</v>
      </c>
      <c r="N92" s="15" cm="1" t="n">
        <f t="array" ref="N92">IF(OR(C92="",M92="",M92=0),"",M92)</f>
        <v>45992.51152777778</v>
      </c>
      <c r="O92" s="15">
</c>
      <c r="P92" s="15" cm="1" t="str">
        <f t="array" ref="P92">IF(C92="","",IF(OR(O92="",O92=0),"-",O92))</f>
        <v>-</v>
      </c>
      <c r="Q92" s="16">
        <v>0</v>
      </c>
      <c r="R92" s="16" cm="1" t="str">
        <f t="array" ref="R92">IF(C92="","",ROUND(Q92/1000000,3)&amp;" M€")</f>
        <v>0 M€</v>
      </c>
      <c r="S92" s="12" t="s">
        <v>323</v>
      </c>
      <c r="T92" s="9" cm="1" t="str">
        <f t="array" ref="T92">IF(C92="","",SUBSTITUTE(S92,"","")&amp;"%")</f>
        <v>0%</v>
      </c>
      <c r="U92" s="9" cm="1" t="str">
        <f t="array" ref="U92">IF(($N92="")*($P92=""),"",IF(($N92&lt;&gt;"")*($N92&gt;TODAY()-9)*($N92&lt;TODAY()+1)*($P92&lt;&gt;"")*($P92&gt;=TODAY())*($P92&lt;=TODAY()+13),"Semaine passée &amp; à venir",IF(($N92&lt;&gt;"")*($N92&gt;TODAY()-9)*($N92&lt;TODAY()+1),"Semaine passée",IF(($P92&lt;&gt;"")*($P92&gt;=TODAY())*($P92&lt;=TODAY()+13),"À venir","Autre"))))</f>
        <v>Autre</v>
      </c>
      <c r="V92" s="8" cm="1" t="n">
        <f t="array" ref="V92">IF(C92&lt;&gt;"",1,0)</f>
        <v>1</v>
      </c>
      <c r="W92" s="8">
</c>
      <c r="X92" s="8">
</c>
      <c r="Y92" s="8">
</c>
      <c r="Z92" s="8">
</c>
      <c r="AA92" s="8">
</c>
      <c r="AB92" s="8">
</c>
      <c r="AC92" s="8">
</c>
      <c r="AD92" s="8">
</c>
      <c r="AE92" s="8">
</c>
      <c r="AF92" s="8">
</c>
      <c r="AG92" s="8">
</c>
      <c r="AH92" s="8">
</c>
      <c r="AI92" s="8">
</c>
      <c r="AJ92" s="8">
</c>
      <c r="AK92" s="8">
</c>
    </row>
    <row r="93" ht="76.5" customHeight="1">
      <c r="A93" s="9" t="s">
        <v>23</v>
      </c>
      <c r="B93" s="9" t="s">
        <v>37</v>
      </c>
      <c r="C93" s="12" t="s">
        <v>341</v>
      </c>
      <c r="D93" s="12" t="s">
        <v>342</v>
      </c>
      <c r="E93" s="9" t="s">
        <v>27</v>
      </c>
      <c r="F93" s="8" t="s">
        <v>343</v>
      </c>
      <c r="G93" s="13" cm="1" t="str">
        <f t="array" ref="G93">IF(F93="","",SUBSTITUTE(SUBSTITUTE(SUBSTITUTE(SUBSTITUTE(F93,"&lt;li&gt;",CHAR(10)),"&lt;/li&gt;",""),"&lt;br&gt;",CHAR(10)),"&lt;strong&gt;",""))</f>
        <v>&lt;p&gt;Offre STRATON transmise à la bonne adresse suite au départ de Bretin. Nouvelle piste créée pour équipe Ventes. Aucune activité ou action récente supplémentaire mentionnée. Pas de retour prospect sur l'offre, prochaines étapes non précisées.&lt;/p&gt;</v>
      </c>
      <c r="H93" s="13" cm="1" t="str">
        <f t="array" ref="H93">IF(G93="","",SUBSTITUTE(SUBSTITUTE(SUBSTITUTE(SUBSTITUTE(SUBSTITUTE(G93,"&lt;p&gt;",""),"&lt;/p&gt;",""),"&lt;ul&gt;",""),"&lt;/ul&gt;",""),"&lt;/strong&gt;",""))</f>
        <v>Offre STRATON transmise à la bonne adresse suite au départ de Bretin. Nouvelle piste créée pour équipe Ventes. Aucune activité ou action récente supplémentaire mentionnée. Pas de retour prospect sur l'offre, prochaines étapes non précisées.</v>
      </c>
      <c r="I93" s="14" cm="1" t="str">
        <f t="array" ref="I93">IF(C93="","",IF(OR(H93="",H93=0,H93=FALSE),"-",H93))</f>
        <v>Offre STRATON transmise à la bonne adresse suite au départ de Bretin. Nouvelle piste créée pour équipe Ventes. Aucune activité ou action récente supplémentaire mentionnée. Pas de retour prospect sur l'offre, prochaines étapes non précisées.</v>
      </c>
      <c r="J93" s="8">
</c>
      <c r="K93" s="8" t="s">
        <v>157</v>
      </c>
      <c r="L93" s="9" cm="1" t="str">
        <f t="array" ref="L93">IF(C93="","",IF(K93="Mort / Plus rien à faire","KO","OK"))</f>
        <v>OK</v>
      </c>
      <c r="M93" s="15">
        <v>46036.777025462965</v>
      </c>
      <c r="N93" s="15" cm="1" t="n">
        <f t="array" ref="N93">IF(OR(C93="",M93="",M93=0),"",M93)</f>
        <v>46036.777025462965</v>
      </c>
      <c r="O93" s="15">
</c>
      <c r="P93" s="15" cm="1" t="str">
        <f t="array" ref="P93">IF(C93="","",IF(OR(O93="",O93=0),"-",O93))</f>
        <v>-</v>
      </c>
      <c r="Q93" s="16">
        <v>0</v>
      </c>
      <c r="R93" s="16" cm="1" t="str">
        <f t="array" ref="R93">IF(C93="","",ROUND(Q93/1000000,3)&amp;" M€")</f>
        <v>0 M€</v>
      </c>
      <c r="S93" s="12" t="s">
        <v>323</v>
      </c>
      <c r="T93" s="9" cm="1" t="str">
        <f t="array" ref="T93">IF(C93="","",SUBSTITUTE(S93,"","")&amp;"%")</f>
        <v>0%</v>
      </c>
      <c r="U93" s="9" cm="1" t="str">
        <f t="array" ref="U93">IF(($N93="")*($P93=""),"",IF(($N93&lt;&gt;"")*($N93&gt;TODAY()-9)*($N93&lt;TODAY()+1)*($P93&lt;&gt;"")*($P93&gt;=TODAY())*($P93&lt;=TODAY()+13),"Semaine passée &amp; à venir",IF(($N93&lt;&gt;"")*($N93&gt;TODAY()-9)*($N93&lt;TODAY()+1),"Semaine passée",IF(($P93&lt;&gt;"")*($P93&gt;=TODAY())*($P93&lt;=TODAY()+13),"À venir","Autre"))))</f>
        <v>Autre</v>
      </c>
      <c r="V93" s="8" cm="1" t="n">
        <f t="array" ref="V93">IF(C93&lt;&gt;"",1,0)</f>
        <v>1</v>
      </c>
      <c r="W93" s="8">
</c>
      <c r="X93" s="8">
</c>
      <c r="Y93" s="8">
</c>
      <c r="Z93" s="8">
</c>
      <c r="AA93" s="8">
</c>
      <c r="AB93" s="8">
</c>
      <c r="AC93" s="8">
</c>
      <c r="AD93" s="8">
</c>
      <c r="AE93" s="8">
</c>
      <c r="AF93" s="8">
</c>
      <c r="AG93" s="8">
</c>
      <c r="AH93" s="8">
</c>
      <c r="AI93" s="8">
</c>
      <c r="AJ93" s="8">
</c>
      <c r="AK93" s="8">
</c>
    </row>
    <row r="94" ht="76.5" customHeight="1">
      <c r="A94" s="9" t="s">
        <v>23</v>
      </c>
      <c r="B94" s="9" t="s">
        <v>24</v>
      </c>
      <c r="C94" s="12" t="s">
        <v>344</v>
      </c>
      <c r="D94" s="12" t="s">
        <v>345</v>
      </c>
      <c r="E94" s="9" t="s">
        <v>27</v>
      </c>
      <c r="F94" s="8" t="s">
        <v>346</v>
      </c>
      <c r="G94" s="13" cm="1" t="str">
        <f t="array" ref="G94">IF(F94="","",SUBSTITUTE(SUBSTITUTE(SUBSTITUTE(SUBSTITUTE(F94,"&lt;li&gt;",CHAR(10)),"&lt;/li&gt;",""),"&lt;br&gt;",CHAR(10)),"&lt;strong&gt;",""))</f>
        <v>&lt;p&gt;Aucune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récentes.&lt;/p&gt;</v>
      </c>
      <c r="H94" s="13" cm="1" t="str">
        <f t="array" ref="H94">IF(G94="","",SUBSTITUTE(SUBSTITUTE(SUBSTITUTE(SUBSTITUTE(SUBSTITUTE(G94,"&lt;p&gt;",""),"&lt;/p&gt;",""),"&lt;ul&gt;",""),"&lt;/ul&gt;",""),"&lt;/strong&gt;",""))</f>
        <v>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v>
      </c>
      <c r="I94" s="14" cm="1" t="str">
        <f t="array" ref="I94">IF(C94="","",IF(OR(H94="",H94=0,H94=FALSE),"-",H94))</f>
        <v>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v>
      </c>
      <c r="J94" s="8">
</c>
      <c r="K94" s="8" t="s">
        <v>157</v>
      </c>
      <c r="L94" s="9" cm="1" t="str">
        <f t="array" ref="L94">IF(C94="","",IF(K94="Mort / Plus rien à faire","KO","OK"))</f>
        <v>OK</v>
      </c>
      <c r="M94" s="15">
        <v>45992.5122337963</v>
      </c>
      <c r="N94" s="15" cm="1" t="n">
        <f t="array" ref="N94">IF(OR(C94="",M94="",M94=0),"",M94)</f>
        <v>45992.5122337963</v>
      </c>
      <c r="O94" s="15">
</c>
      <c r="P94" s="15" cm="1" t="str">
        <f t="array" ref="P94">IF(C94="","",IF(OR(O94="",O94=0),"-",O94))</f>
        <v>-</v>
      </c>
      <c r="Q94" s="16">
        <v>0</v>
      </c>
      <c r="R94" s="16" cm="1" t="str">
        <f t="array" ref="R94">IF(C94="","",ROUND(Q94/1000000,3)&amp;" M€")</f>
        <v>0 M€</v>
      </c>
      <c r="S94" s="12" t="s">
        <v>323</v>
      </c>
      <c r="T94" s="9" cm="1" t="str">
        <f t="array" ref="T94">IF(C94="","",SUBSTITUTE(S94,"","")&amp;"%")</f>
        <v>0%</v>
      </c>
      <c r="U94" s="9" cm="1" t="str">
        <f t="array" ref="U94">IF(($N94="")*($P94=""),"",IF(($N94&lt;&gt;"")*($N94&gt;TODAY()-9)*($N94&lt;TODAY()+1)*($P94&lt;&gt;"")*($P94&gt;=TODAY())*($P94&lt;=TODAY()+13),"Semaine passée &amp; à venir",IF(($N94&lt;&gt;"")*($N94&gt;TODAY()-9)*($N94&lt;TODAY()+1),"Semaine passée",IF(($P94&lt;&gt;"")*($P94&gt;=TODAY())*($P94&lt;=TODAY()+13),"À venir","Autre"))))</f>
        <v>Autre</v>
      </c>
      <c r="V94" s="8" cm="1" t="n">
        <f t="array" ref="V94">IF(C94&lt;&gt;"",1,0)</f>
        <v>1</v>
      </c>
      <c r="W94" s="8">
</c>
      <c r="X94" s="8">
</c>
      <c r="Y94" s="8">
</c>
      <c r="Z94" s="8">
</c>
      <c r="AA94" s="8">
</c>
      <c r="AB94" s="8">
</c>
      <c r="AC94" s="8">
</c>
      <c r="AD94" s="8">
</c>
      <c r="AE94" s="8">
</c>
      <c r="AF94" s="8">
</c>
      <c r="AG94" s="8">
</c>
      <c r="AH94" s="8">
</c>
      <c r="AI94" s="8">
</c>
      <c r="AJ94" s="8">
</c>
      <c r="AK94" s="8">
</c>
    </row>
    <row r="95" ht="76.5" customHeight="1">
      <c r="A95" s="9" t="s">
        <v>23</v>
      </c>
      <c r="B95" s="9" t="s">
        <v>85</v>
      </c>
      <c r="C95" s="12" t="s">
        <v>198</v>
      </c>
      <c r="D95" s="12" t="s">
        <v>347</v>
      </c>
      <c r="E95" s="9" t="s">
        <v>27</v>
      </c>
      <c r="F95" s="8" t="s">
        <v>348</v>
      </c>
      <c r="G95" s="13" cm="1" t="str">
        <f t="array" ref="G95">IF(F95="","",SUBSTITUTE(SUBSTITUTE(SUBSTITUTE(SUBSTITUTE(F95,"&lt;li&gt;",CHAR(10)),"&lt;/li&gt;",""),"&lt;br&gt;",CHAR(10)),"&lt;strong&gt;",""))</f>
        <v>&lt;p&gt;Aucune activité menée sur le prospect. Un nouvelle piste a été créée pour l'équipe "Ventes". Aucun échange, action ou retour prospect enregistré à ce jour. Pas d'informations complémentaires sur l'origine ou le contexte de création. Prochaines étapes non définies, aucun suivi ou relance programmés.&lt;/p&gt;</v>
      </c>
      <c r="H95" s="13" cm="1" t="str">
        <f t="array" ref="H95">IF(G95="","",SUBSTITUTE(SUBSTITUTE(SUBSTITUTE(SUBSTITUTE(SUBSTITUTE(G95,"&lt;p&gt;",""),"&lt;/p&gt;",""),"&lt;ul&gt;",""),"&lt;/ul&gt;",""),"&lt;/strong&gt;",""))</f>
        <v>Aucune activité menée sur le prospect. Un nouvelle piste a été créée pour l'équipe "Ventes". Aucun échange, action ou retour prospect enregistré à ce jour. Pas d'informations complémentaires sur l'origine ou le contexte de création. Prochaines étapes non définies, aucun suivi ou relance programmés.</v>
      </c>
      <c r="I95" s="14" cm="1" t="str">
        <f t="array" ref="I95">IF(C95="","",IF(OR(H95="",H95=0,H95=FALSE),"-",H95))</f>
        <v>Aucune activité menée sur le prospect. Un nouvelle piste a été créée pour l'équipe "Ventes". Aucun échange, action ou retour prospect enregistré à ce jour. Pas d'informations complémentaires sur l'origine ou le contexte de création. Prochaines étapes non définies, aucun suivi ou relance programmés.</v>
      </c>
      <c r="J95" s="8" t="s">
        <v>349</v>
      </c>
      <c r="K95" s="8" t="s">
        <v>157</v>
      </c>
      <c r="L95" s="9" cm="1" t="str">
        <f t="array" ref="L95">IF(C95="","",IF(K95="Mort / Plus rien à faire","KO","OK"))</f>
        <v>OK</v>
      </c>
      <c r="M95" s="15">
        <v>46087.71805555555</v>
      </c>
      <c r="N95" s="15" cm="1" t="n">
        <f t="array" ref="N95">IF(OR(C95="",M95="",M95=0),"",M95)</f>
        <v>46087.71805555555</v>
      </c>
      <c r="O95" s="15">
        <v>46391.041666666664</v>
      </c>
      <c r="P95" s="15" cm="1" t="n">
        <f t="array" ref="P95">IF(C95="","",IF(OR(O95="",O95=0),"-",O95))</f>
        <v>46391.041666666664</v>
      </c>
      <c r="Q95" s="16">
        <v>0</v>
      </c>
      <c r="R95" s="16" cm="1" t="str">
        <f t="array" ref="R95">IF(C95="","",ROUND(Q95/1000000,3)&amp;" M€")</f>
        <v>0 M€</v>
      </c>
      <c r="S95" s="12" t="s">
        <v>323</v>
      </c>
      <c r="T95" s="9" cm="1" t="str">
        <f t="array" ref="T95">IF(C95="","",SUBSTITUTE(S95,"","")&amp;"%")</f>
        <v>0%</v>
      </c>
      <c r="U95" s="9" cm="1" t="str">
        <f t="array" ref="U95">IF(($N95="")*($P95=""),"",IF(($N95&lt;&gt;"")*($N95&gt;TODAY()-9)*($N95&lt;TODAY()+1)*($P95&lt;&gt;"")*($P95&gt;=TODAY())*($P95&lt;=TODAY()+13),"Semaine passée &amp; à venir",IF(($N95&lt;&gt;"")*($N95&gt;TODAY()-9)*($N95&lt;TODAY()+1),"Semaine passée",IF(($P95&lt;&gt;"")*($P95&gt;=TODAY())*($P95&lt;=TODAY()+13),"À venir","Autre"))))</f>
        <v>Semaine passée</v>
      </c>
      <c r="V95" s="8" cm="1" t="n">
        <f t="array" ref="V95">IF(C95&lt;&gt;"",1,0)</f>
        <v>1</v>
      </c>
      <c r="W95" s="8">
</c>
      <c r="X95" s="8">
</c>
      <c r="Y95" s="8">
</c>
      <c r="Z95" s="8">
</c>
      <c r="AA95" s="8">
</c>
      <c r="AB95" s="8">
</c>
      <c r="AC95" s="8">
</c>
      <c r="AD95" s="8">
</c>
      <c r="AE95" s="8">
</c>
      <c r="AF95" s="8">
</c>
      <c r="AG95" s="8">
</c>
      <c r="AH95" s="8">
</c>
      <c r="AI95" s="8">
</c>
      <c r="AJ95" s="8">
</c>
      <c r="AK95" s="8">
</c>
    </row>
    <row r="96" ht="76.5" customHeight="1">
      <c r="A96" s="9" t="s">
        <v>23</v>
      </c>
      <c r="B96" s="9" t="s">
        <v>24</v>
      </c>
      <c r="C96" s="12" t="s">
        <v>350</v>
      </c>
      <c r="D96" s="12" t="s">
        <v>351</v>
      </c>
      <c r="E96" s="9" t="s">
        <v>27</v>
      </c>
      <c r="F96" s="8" t="s">
        <v>352</v>
      </c>
      <c r="G96" s="13" cm="1" t="str">
        <f t="array" ref="G96">IF(F96="","",SUBSTITUTE(SUBSTITUTE(SUBSTITUTE(SUBSTITUTE(F96,"&lt;li&gt;",CHAR(10)),"&lt;/li&gt;",""),"&lt;br&gt;",CHAR(10)),"&lt;strong&gt;",""))</f>
        <v>&lt;p&gt;Contact établi avec Caisse de retraite du Sénat, attente de proposition de dates pour RDV physique. Aucun retour prospect sur fonds à ce stade, pas de conclusion exprimée. Dernière action par Romain Andrieu le 06/02/2026. Prochaine étape : fixer un rendez-vous dès réception des disponibilités.&lt;/p&gt;</v>
      </c>
      <c r="H96" s="13" cm="1" t="str">
        <f t="array" ref="H96">IF(G96="","",SUBSTITUTE(SUBSTITUTE(SUBSTITUTE(SUBSTITUTE(SUBSTITUTE(G96,"&lt;p&gt;",""),"&lt;/p&gt;",""),"&lt;ul&gt;",""),"&lt;/ul&gt;",""),"&lt;/strong&gt;",""))</f>
        <v>Contact établi avec Caisse de retraite du Sénat, attente de proposition de dates pour RDV physique. Aucun retour prospect sur fonds à ce stade, pas de conclusion exprimée. Dernière action par Romain Andrieu le 06/02/2026. Prochaine étape : fixer un rendez-vous dès réception des disponibilités.</v>
      </c>
      <c r="I96" s="14" cm="1" t="str">
        <f t="array" ref="I96">IF(C96="","",IF(OR(H96="",H96=0,H96=FALSE),"-",H96))</f>
        <v>Contact établi avec Caisse de retraite du Sénat, attente de proposition de dates pour RDV physique. Aucun retour prospect sur fonds à ce stade, pas de conclusion exprimée. Dernière action par Romain Andrieu le 06/02/2026. Prochaine étape : fixer un rendez-vous dès réception des disponibilités.</v>
      </c>
      <c r="J96" s="8" t="s">
        <v>353</v>
      </c>
      <c r="K96" s="8" t="s">
        <v>157</v>
      </c>
      <c r="L96" s="9" cm="1" t="str">
        <f t="array" ref="L96">IF(C96="","",IF(K96="Mort / Plus rien à faire","KO","OK"))</f>
        <v>OK</v>
      </c>
      <c r="M96" s="15">
        <v>46059.79917824074</v>
      </c>
      <c r="N96" s="15" cm="1" t="n">
        <f t="array" ref="N96">IF(OR(C96="",M96="",M96=0),"",M96)</f>
        <v>46059.79917824074</v>
      </c>
      <c r="O96" s="15">
</c>
      <c r="P96" s="15" cm="1" t="str">
        <f t="array" ref="P96">IF(C96="","",IF(OR(O96="",O96=0),"-",O96))</f>
        <v>-</v>
      </c>
      <c r="Q96" s="16">
        <v>0</v>
      </c>
      <c r="R96" s="16" cm="1" t="str">
        <f t="array" ref="R96">IF(C96="","",ROUND(Q96/1000000,3)&amp;" M€")</f>
        <v>0 M€</v>
      </c>
      <c r="S96" s="12" t="s">
        <v>323</v>
      </c>
      <c r="T96" s="9" cm="1" t="str">
        <f t="array" ref="T96">IF(C96="","",SUBSTITUTE(S96,"","")&amp;"%")</f>
        <v>0%</v>
      </c>
      <c r="U96" s="9" cm="1" t="str">
        <f t="array" ref="U96">IF(($N96="")*($P96=""),"",IF(($N96&lt;&gt;"")*($N96&gt;TODAY()-9)*($N96&lt;TODAY()+1)*($P96&lt;&gt;"")*($P96&gt;=TODAY())*($P96&lt;=TODAY()+13),"Semaine passée &amp; à venir",IF(($N96&lt;&gt;"")*($N96&gt;TODAY()-9)*($N96&lt;TODAY()+1),"Semaine passée",IF(($P96&lt;&gt;"")*($P96&gt;=TODAY())*($P96&lt;=TODAY()+13),"À venir","Autre"))))</f>
        <v>Autre</v>
      </c>
      <c r="V96" s="8" cm="1" t="n">
        <f t="array" ref="V96">IF(C96&lt;&gt;"",1,0)</f>
        <v>1</v>
      </c>
      <c r="W96" s="8">
</c>
      <c r="X96" s="8">
</c>
      <c r="Y96" s="8">
</c>
      <c r="Z96" s="8">
</c>
      <c r="AA96" s="8">
</c>
      <c r="AB96" s="8">
</c>
      <c r="AC96" s="8">
</c>
      <c r="AD96" s="8">
</c>
      <c r="AE96" s="8">
</c>
      <c r="AF96" s="8">
</c>
      <c r="AG96" s="8">
</c>
      <c r="AH96" s="8">
</c>
      <c r="AI96" s="8">
</c>
      <c r="AJ96" s="8">
</c>
      <c r="AK96" s="8">
</c>
    </row>
    <row r="97" ht="76.5" customHeight="1">
      <c r="A97" s="9" t="s">
        <v>23</v>
      </c>
      <c r="B97" s="9">
</c>
      <c r="C97" s="12" t="s">
        <v>354</v>
      </c>
      <c r="D97" s="12" t="s">
        <v>355</v>
      </c>
      <c r="E97" s="9" t="s">
        <v>27</v>
      </c>
      <c r="F97" s="8" t="s">
        <v>356</v>
      </c>
      <c r="G97" s="13" cm="1" t="str">
        <f t="array" ref="G97">IF(F97="","",SUBSTITUTE(SUBSTITUTE(SUBSTITUTE(SUBSTITUTE(F97,"&lt;li&gt;",CHAR(10)),"&lt;/li&gt;",""),"&lt;br&gt;",CHAR(10)),"&lt;strong&gt;",""))</f>
        <v>&lt;p&gt;Aucune activité menée sur le prospect. Nouvelle piste créée pour l'équipe Ventes, pas d'échanges, d'actions ou de retours enregistrés à ce jour. Aucun suivi, aucune interaction ni prochaine étape identifiée dans le dossier.&lt;/p&gt;</v>
      </c>
      <c r="H97" s="13" cm="1" t="str">
        <f t="array" ref="H97">IF(G97="","",SUBSTITUTE(SUBSTITUTE(SUBSTITUTE(SUBSTITUTE(SUBSTITUTE(G97,"&lt;p&gt;",""),"&lt;/p&gt;",""),"&lt;ul&gt;",""),"&lt;/ul&gt;",""),"&lt;/strong&gt;",""))</f>
        <v>Aucune activité menée sur le prospect. Nouvelle piste créée pour l'équipe Ventes, pas d'échanges, d'actions ou de retours enregistrés à ce jour. Aucun suivi, aucune interaction ni prochaine étape identifiée dans le dossier.</v>
      </c>
      <c r="I97" s="14" cm="1" t="str">
        <f t="array" ref="I97">IF(C97="","",IF(OR(H97="",H97=0,H97=FALSE),"-",H97))</f>
        <v>Aucune activité menée sur le prospect. Nouvelle piste créée pour l'équipe Ventes, pas d'échanges, d'actions ou de retours enregistrés à ce jour. Aucun suivi, aucune interaction ni prochaine étape identifiée dans le dossier.</v>
      </c>
      <c r="J97" s="8">
</c>
      <c r="K97" s="8" t="s">
        <v>225</v>
      </c>
      <c r="L97" s="9" cm="1" t="str">
        <f t="array" ref="L97">IF(C97="","",IF(K97="Mort / Plus rien à faire","KO","OK"))</f>
        <v>OK</v>
      </c>
      <c r="M97" s="15">
        <v>46087.69222222222</v>
      </c>
      <c r="N97" s="15" cm="1" t="n">
        <f t="array" ref="N97">IF(OR(C97="",M97="",M97=0),"",M97)</f>
        <v>46087.69222222222</v>
      </c>
      <c r="O97" s="15">
        <v>46101.666666666664</v>
      </c>
      <c r="P97" s="15" cm="1" t="n">
        <f t="array" ref="P97">IF(C97="","",IF(OR(O97="",O97=0),"-",O97))</f>
        <v>46101.666666666664</v>
      </c>
      <c r="Q97" s="16">
        <v>0</v>
      </c>
      <c r="R97" s="16" cm="1" t="str">
        <f t="array" ref="R97">IF(C97="","",ROUND(Q97/1000000,3)&amp;" M€")</f>
        <v>0 M€</v>
      </c>
      <c r="S97" s="12" t="s">
        <v>323</v>
      </c>
      <c r="T97" s="9" cm="1" t="str">
        <f t="array" ref="T97">IF(C97="","",SUBSTITUTE(S97,"","")&amp;"%")</f>
        <v>0%</v>
      </c>
      <c r="U97" s="9" cm="1" t="str">
        <f t="array" ref="U97">IF(($N97="")*($P97=""),"",IF(($N97&lt;&gt;"")*($N97&gt;TODAY()-9)*($N97&lt;TODAY()+1)*($P97&lt;&gt;"")*($P97&gt;=TODAY())*($P97&lt;=TODAY()+13),"Semaine passée &amp; à venir",IF(($N97&lt;&gt;"")*($N97&gt;TODAY()-9)*($N97&lt;TODAY()+1),"Semaine passée",IF(($P97&lt;&gt;"")*($P97&gt;=TODAY())*($P97&lt;=TODAY()+13),"À venir","Autre"))))</f>
        <v>Semaine passée</v>
      </c>
      <c r="V97" s="8" cm="1" t="n">
        <f t="array" ref="V97">IF(C97&lt;&gt;"",1,0)</f>
        <v>1</v>
      </c>
      <c r="W97" s="8">
</c>
      <c r="X97" s="8">
</c>
      <c r="Y97" s="8">
</c>
      <c r="Z97" s="8">
</c>
      <c r="AA97" s="8">
</c>
      <c r="AB97" s="8">
</c>
      <c r="AC97" s="8">
</c>
      <c r="AD97" s="8">
</c>
      <c r="AE97" s="8">
</c>
      <c r="AF97" s="8">
</c>
      <c r="AG97" s="8">
</c>
      <c r="AH97" s="8">
</c>
      <c r="AI97" s="8">
</c>
      <c r="AJ97" s="8">
</c>
      <c r="AK97" s="8">
</c>
    </row>
    <row r="98" ht="76.5" customHeight="1">
      <c r="A98" s="9" t="s">
        <v>23</v>
      </c>
      <c r="B98" s="9">
</c>
      <c r="C98" s="12" t="s">
        <v>357</v>
      </c>
      <c r="D98" s="12" t="s">
        <v>358</v>
      </c>
      <c r="E98" s="9" t="s">
        <v>27</v>
      </c>
      <c r="F98" s="8" t="s">
        <v>359</v>
      </c>
      <c r="G98" s="13" cm="1" t="str">
        <f t="array" ref="G98">IF(F98="","",SUBSTITUTE(SUBSTITUTE(SUBSTITUTE(SUBSTITUTE(F98,"&lt;li&gt;",CHAR(10)),"&lt;/li&gt;",""),"&lt;br&gt;",CHAR(10)),"&lt;strong&gt;",""))</f>
        <v>&lt;p&gt;Aucune activité menée sur le prospect. Nouvelle piste créée pour l'équipe Ventes, aucune interaction, action ou retour enregistré à ce jour. Pas de suivi, pas de compte-rendu, pas de prochaine étape identifiée. Aucun échange ou retour prospect sur les fonds présentés. Situation inchangée.&lt;/p&gt;</v>
      </c>
      <c r="H98" s="13" cm="1" t="str">
        <f t="array" ref="H98">IF(G98="","",SUBSTITUTE(SUBSTITUTE(SUBSTITUTE(SUBSTITUTE(SUBSTITUTE(G98,"&lt;p&gt;",""),"&lt;/p&gt;",""),"&lt;ul&gt;",""),"&lt;/ul&gt;",""),"&lt;/strong&gt;",""))</f>
        <v>Aucune activité menée sur le prospect. Nouvelle piste créée pour l'équipe Ventes, aucune interaction, action ou retour enregistré à ce jour. Pas de suivi, pas de compte-rendu, pas de prochaine étape identifiée. Aucun échange ou retour prospect sur les fonds présentés. Situation inchangée.</v>
      </c>
      <c r="I98" s="14" cm="1" t="str">
        <f t="array" ref="I98">IF(C98="","",IF(OR(H98="",H98=0,H98=FALSE),"-",H98))</f>
        <v>Aucune activité menée sur le prospect. Nouvelle piste créée pour l'équipe Ventes, aucune interaction, action ou retour enregistré à ce jour. Pas de suivi, pas de compte-rendu, pas de prochaine étape identifiée. Aucun échange ou retour prospect sur les fonds présentés. Situation inchangée.</v>
      </c>
      <c r="J98" s="8" t="s">
        <v>360</v>
      </c>
      <c r="K98" s="8" t="s">
        <v>157</v>
      </c>
      <c r="L98" s="9" cm="1" t="str">
        <f t="array" ref="L98">IF(C98="","",IF(K98="Mort / Plus rien à faire","KO","OK"))</f>
        <v>OK</v>
      </c>
      <c r="M98" s="15">
        <v>46087.65193287037</v>
      </c>
      <c r="N98" s="15" cm="1" t="n">
        <f t="array" ref="N98">IF(OR(C98="",M98="",M98=0),"",M98)</f>
        <v>46087.65193287037</v>
      </c>
      <c r="O98" s="15">
        <v>46094.041666666664</v>
      </c>
      <c r="P98" s="15" cm="1" t="n">
        <f t="array" ref="P98">IF(C98="","",IF(OR(O98="",O98=0),"-",O98))</f>
        <v>46094.041666666664</v>
      </c>
      <c r="Q98" s="16">
        <v>0</v>
      </c>
      <c r="R98" s="16" cm="1" t="str">
        <f t="array" ref="R98">IF(C98="","",ROUND(Q98/1000000,3)&amp;" M€")</f>
        <v>0 M€</v>
      </c>
      <c r="S98" s="12" t="s">
        <v>323</v>
      </c>
      <c r="T98" s="9" cm="1" t="str">
        <f t="array" ref="T98">IF(C98="","",SUBSTITUTE(S98,"","")&amp;"%")</f>
        <v>0%</v>
      </c>
      <c r="U98" s="9" cm="1" t="str">
        <f t="array" ref="U98">IF(($N98="")*($P98=""),"",IF(($N98&lt;&gt;"")*($N98&gt;TODAY()-9)*($N98&lt;TODAY()+1)*($P98&lt;&gt;"")*($P98&gt;=TODAY())*($P98&lt;=TODAY()+13),"Semaine passée &amp; à venir",IF(($N98&lt;&gt;"")*($N98&gt;TODAY()-9)*($N98&lt;TODAY()+1),"Semaine passée",IF(($P98&lt;&gt;"")*($P98&gt;=TODAY())*($P98&lt;=TODAY()+13),"À venir","Autre"))))</f>
        <v>Semaine passée &amp; à venir</v>
      </c>
      <c r="V98" s="8" cm="1" t="n">
        <f t="array" ref="V98">IF(C98&lt;&gt;"",1,0)</f>
        <v>1</v>
      </c>
      <c r="W98" s="8">
</c>
      <c r="X98" s="8">
</c>
      <c r="Y98" s="8">
</c>
      <c r="Z98" s="8">
</c>
      <c r="AA98" s="8">
</c>
      <c r="AB98" s="8">
</c>
      <c r="AC98" s="8">
</c>
      <c r="AD98" s="8">
</c>
      <c r="AE98" s="8">
</c>
      <c r="AF98" s="8">
</c>
      <c r="AG98" s="8">
</c>
      <c r="AH98" s="8">
</c>
      <c r="AI98" s="8">
</c>
      <c r="AJ98" s="8">
</c>
      <c r="AK98" s="8">
</c>
    </row>
    <row r="99" ht="76.5" customHeight="1">
      <c r="A99" s="9" t="s">
        <v>23</v>
      </c>
      <c r="B99" s="9" t="s">
        <v>190</v>
      </c>
      <c r="C99" s="12" t="s">
        <v>361</v>
      </c>
      <c r="D99" s="12" t="s">
        <v>362</v>
      </c>
      <c r="E99" s="9" t="s">
        <v>27</v>
      </c>
      <c r="F99" s="8" t="s">
        <v>363</v>
      </c>
      <c r="G99" s="13" cm="1" t="str">
        <f t="array" ref="G99">IF(F99="","",SUBSTITUTE(SUBSTITUTE(SUBSTITUTE(SUBSTITUTE(F99,"&lt;li&gt;",CHAR(10)),"&lt;/li&gt;",""),"&lt;br&gt;",CHAR(10)),"&lt;strong&gt;",""))</f>
        <v>&lt;p&gt;RDV physique 10/02/2026 avec Patrick Bouchindom : prospect indique ne pas avoir d’enveloppe pour investissements non-côtés en 2026, pas de veille active sur l’offre. Aucune prochaine action prévue. Nouvelle piste créée pour équipe Ventes le 28/11/2025. Pas d’autres activités récentes.&lt;/p&gt;</v>
      </c>
      <c r="H99" s="13" cm="1" t="str">
        <f t="array" ref="H99">IF(G99="","",SUBSTITUTE(SUBSTITUTE(SUBSTITUTE(SUBSTITUTE(SUBSTITUTE(G99,"&lt;p&gt;",""),"&lt;/p&gt;",""),"&lt;ul&gt;",""),"&lt;/ul&gt;",""),"&lt;/strong&gt;",""))</f>
        <v>RDV physique 10/02/2026 avec Patrick Bouchindom : prospect indique ne pas avoir d’enveloppe pour investissements non-côtés en 2026, pas de veille active sur l’offre. Aucune prochaine action prévue. Nouvelle piste créée pour équipe Ventes le 28/11/2025. Pas d’autres activités récentes.</v>
      </c>
      <c r="I99" s="14" cm="1" t="str">
        <f t="array" ref="I99">IF(C99="","",IF(OR(H99="",H99=0,H99=FALSE),"-",H99))</f>
        <v>RDV physique 10/02/2026 avec Patrick Bouchindom : prospect indique ne pas avoir d’enveloppe pour investissements non-côtés en 2026, pas de veille active sur l’offre. Aucune prochaine action prévue. Nouvelle piste créée pour équipe Ventes le 28/11/2025. Pas d’autres activités récentes.</v>
      </c>
      <c r="J99" s="8">
</c>
      <c r="K99" s="8" t="s">
        <v>65</v>
      </c>
      <c r="L99" s="9" cm="1" t="str">
        <f t="array" ref="L99">IF(C99="","",IF(K99="Mort / Plus rien à faire","KO","OK"))</f>
        <v>OK</v>
      </c>
      <c r="M99" s="15">
        <v>46063.754837962966</v>
      </c>
      <c r="N99" s="15" cm="1" t="n">
        <f t="array" ref="N99">IF(OR(C99="",M99="",M99=0),"",M99)</f>
        <v>46063.754837962966</v>
      </c>
      <c r="O99" s="15">
</c>
      <c r="P99" s="15" cm="1" t="str">
        <f t="array" ref="P99">IF(C99="","",IF(OR(O99="",O99=0),"-",O99))</f>
        <v>-</v>
      </c>
      <c r="Q99" s="16">
        <v>0</v>
      </c>
      <c r="R99" s="16" cm="1" t="str">
        <f t="array" ref="R99">IF(C99="","",ROUND(Q99/1000000,3)&amp;" M€")</f>
        <v>0 M€</v>
      </c>
      <c r="S99" s="12" t="s">
        <v>323</v>
      </c>
      <c r="T99" s="9" cm="1" t="str">
        <f t="array" ref="T99">IF(C99="","",SUBSTITUTE(S99,"","")&amp;"%")</f>
        <v>0%</v>
      </c>
      <c r="U99" s="9" cm="1" t="str">
        <f t="array" ref="U99">IF(($N99="")*($P99=""),"",IF(($N99&lt;&gt;"")*($N99&gt;TODAY()-9)*($N99&lt;TODAY()+1)*($P99&lt;&gt;"")*($P99&gt;=TODAY())*($P99&lt;=TODAY()+13),"Semaine passée &amp; à venir",IF(($N99&lt;&gt;"")*($N99&gt;TODAY()-9)*($N99&lt;TODAY()+1),"Semaine passée",IF(($P99&lt;&gt;"")*($P99&gt;=TODAY())*($P99&lt;=TODAY()+13),"À venir","Autre"))))</f>
        <v>Autre</v>
      </c>
      <c r="V99" s="8" cm="1" t="n">
        <f t="array" ref="V99">IF(C99&lt;&gt;"",1,0)</f>
        <v>1</v>
      </c>
      <c r="W99" s="8">
</c>
      <c r="X99" s="8">
</c>
      <c r="Y99" s="8">
</c>
      <c r="Z99" s="8">
</c>
      <c r="AA99" s="8">
</c>
      <c r="AB99" s="8">
</c>
      <c r="AC99" s="8">
</c>
      <c r="AD99" s="8">
</c>
      <c r="AE99" s="8">
</c>
      <c r="AF99" s="8">
</c>
      <c r="AG99" s="8">
</c>
      <c r="AH99" s="8">
</c>
      <c r="AI99" s="8">
</c>
      <c r="AJ99" s="8">
</c>
      <c r="AK99" s="8">
</c>
    </row>
    <row r="100" ht="76.5" customHeight="1">
      <c r="A100" s="9" t="s">
        <v>23</v>
      </c>
      <c r="B100" s="9" t="s">
        <v>24</v>
      </c>
      <c r="C100" s="12" t="s">
        <v>364</v>
      </c>
      <c r="D100" s="12" t="s">
        <v>365</v>
      </c>
      <c r="E100" s="9" t="s">
        <v>27</v>
      </c>
      <c r="F100" s="8" t="s">
        <v>366</v>
      </c>
      <c r="G100" s="13" cm="1" t="str">
        <f t="array" ref="G100">IF(F100="","",SUBSTITUTE(SUBSTITUTE(SUBSTITUTE(SUBSTITUTE(F100,"&lt;li&gt;",CHAR(10)),"&lt;/li&gt;",""),"&lt;br&gt;",CHAR(10)),"&lt;strong&gt;",""))</f>
        <v>&lt;p&gt;Relance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récentes.&lt;/p&gt;</v>
      </c>
      <c r="H100" s="13" cm="1" t="str">
        <f t="array" ref="H100">IF(G100="","",SUBSTITUTE(SUBSTITUTE(SUBSTITUTE(SUBSTITUTE(SUBSTITUTE(G100,"&lt;p&gt;",""),"&lt;/p&gt;",""),"&lt;ul&gt;",""),"&lt;/ul&gt;",""),"&lt;/strong&gt;",""))</f>
        <v>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v>
      </c>
      <c r="I100" s="14" cm="1" t="str">
        <f t="array" ref="I100">IF(C100="","",IF(OR(H100="",H100=0,H100=FALSE),"-",H100))</f>
        <v>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v>
      </c>
      <c r="J100" s="8">
</c>
      <c r="K100" s="8" t="s">
        <v>157</v>
      </c>
      <c r="L100" s="9" cm="1" t="str">
        <f t="array" ref="L100">IF(C100="","",IF(K100="Mort / Plus rien à faire","KO","OK"))</f>
        <v>OK</v>
      </c>
      <c r="M100" s="15">
        <v>46035.82430555556</v>
      </c>
      <c r="N100" s="15" cm="1" t="n">
        <f t="array" ref="N100">IF(OR(C100="",M100="",M100=0),"",M100)</f>
        <v>46035.82430555556</v>
      </c>
      <c r="O100" s="15">
</c>
      <c r="P100" s="15" cm="1" t="str">
        <f t="array" ref="P100">IF(C100="","",IF(OR(O100="",O100=0),"-",O100))</f>
        <v>-</v>
      </c>
      <c r="Q100" s="16">
        <v>0</v>
      </c>
      <c r="R100" s="16" cm="1" t="str">
        <f t="array" ref="R100">IF(C100="","",ROUND(Q100/1000000,3)&amp;" M€")</f>
        <v>0 M€</v>
      </c>
      <c r="S100" s="12" t="s">
        <v>323</v>
      </c>
      <c r="T100" s="9" cm="1" t="str">
        <f t="array" ref="T100">IF(C100="","",SUBSTITUTE(S100,"","")&amp;"%")</f>
        <v>0%</v>
      </c>
      <c r="U100" s="9" cm="1" t="str">
        <f t="array" ref="U100">IF(($N100="")*($P100=""),"",IF(($N100&lt;&gt;"")*($N100&gt;TODAY()-9)*($N100&lt;TODAY()+1)*($P100&lt;&gt;"")*($P100&gt;=TODAY())*($P100&lt;=TODAY()+13),"Semaine passée &amp; à venir",IF(($N100&lt;&gt;"")*($N100&gt;TODAY()-9)*($N100&lt;TODAY()+1),"Semaine passée",IF(($P100&lt;&gt;"")*($P100&gt;=TODAY())*($P100&lt;=TODAY()+13),"À venir","Autre"))))</f>
        <v>Autre</v>
      </c>
      <c r="V100" s="8" cm="1" t="n">
        <f t="array" ref="V100">IF(C100&lt;&gt;"",1,0)</f>
        <v>1</v>
      </c>
      <c r="W100" s="8">
</c>
      <c r="X100" s="8">
</c>
      <c r="Y100" s="8">
</c>
      <c r="Z100" s="8">
</c>
      <c r="AA100" s="8">
</c>
      <c r="AB100" s="8">
</c>
      <c r="AC100" s="8">
</c>
      <c r="AD100" s="8">
</c>
      <c r="AE100" s="8">
</c>
      <c r="AF100" s="8">
</c>
      <c r="AG100" s="8">
</c>
      <c r="AH100" s="8">
</c>
      <c r="AI100" s="8">
</c>
      <c r="AJ100" s="8">
</c>
      <c r="AK100" s="8">
</c>
    </row>
    <row r="101" ht="76.5" customHeight="1">
      <c r="A101" s="9" t="s">
        <v>23</v>
      </c>
      <c r="B101" s="9" t="s">
        <v>85</v>
      </c>
      <c r="C101" s="12" t="s">
        <v>367</v>
      </c>
      <c r="D101" s="12" t="s">
        <v>368</v>
      </c>
      <c r="E101" s="9" t="s">
        <v>27</v>
      </c>
      <c r="F101" s="8" t="s">
        <v>369</v>
      </c>
      <c r="G101" s="13" cm="1" t="str">
        <f t="array" ref="G101">IF(F101="","",SUBSTITUTE(SUBSTITUTE(SUBSTITUTE(SUBSTITUTE(F101,"&lt;li&gt;",CHAR(10)),"&lt;/li&gt;",""),"&lt;br&gt;",CHAR(10)),"&lt;strong&gt;",""))</f>
        <v>&lt;p&gt;16/02/2026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piste.&lt;/p&gt;</v>
      </c>
      <c r="H101" s="13" cm="1" t="str">
        <f t="array" ref="H101">IF(G101="","",SUBSTITUTE(SUBSTITUTE(SUBSTITUTE(SUBSTITUTE(SUBSTITUTE(G101,"&lt;p&gt;",""),"&lt;/p&gt;",""),"&lt;ul&gt;",""),"&lt;/ul&gt;",""),"&lt;/strong&gt;",""))</f>
        <v>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v>
      </c>
      <c r="I101" s="14" cm="1" t="str">
        <f t="array" ref="I101">IF(C101="","",IF(OR(H101="",H101=0,H101=FALSE),"-",H101))</f>
        <v>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v>
      </c>
      <c r="J101" s="8" t="s">
        <v>370</v>
      </c>
      <c r="K101" s="8" t="s">
        <v>59</v>
      </c>
      <c r="L101" s="9" cm="1" t="str">
        <f t="array" ref="L101">IF(C101="","",IF(K101="Mort / Plus rien à faire","KO","OK"))</f>
        <v>KO</v>
      </c>
      <c r="M101" s="15">
        <v>46085.627384259256</v>
      </c>
      <c r="N101" s="15" cm="1" t="n">
        <f t="array" ref="N101">IF(OR(C101="",M101="",M101=0),"",M101)</f>
        <v>46085.627384259256</v>
      </c>
      <c r="O101" s="15">
        <v>46391.041666666664</v>
      </c>
      <c r="P101" s="15" cm="1" t="n">
        <f t="array" ref="P101">IF(C101="","",IF(OR(O101="",O101=0),"-",O101))</f>
        <v>46391.041666666664</v>
      </c>
      <c r="Q101" s="16">
        <v>0</v>
      </c>
      <c r="R101" s="16" cm="1" t="str">
        <f t="array" ref="R101">IF(C101="","",ROUND(Q101/1000000,3)&amp;" M€")</f>
        <v>0 M€</v>
      </c>
      <c r="S101" s="12" t="s">
        <v>323</v>
      </c>
      <c r="T101" s="9" cm="1" t="str">
        <f t="array" ref="T101">IF(C101="","",SUBSTITUTE(S101,"","")&amp;"%")</f>
        <v>0%</v>
      </c>
      <c r="U101" s="9" cm="1" t="str">
        <f t="array" ref="U101">IF(($N101="")*($P101=""),"",IF(($N101&lt;&gt;"")*($N101&gt;TODAY()-9)*($N101&lt;TODAY()+1)*($P101&lt;&gt;"")*($P101&gt;=TODAY())*($P101&lt;=TODAY()+13),"Semaine passée &amp; à venir",IF(($N101&lt;&gt;"")*($N101&gt;TODAY()-9)*($N101&lt;TODAY()+1),"Semaine passée",IF(($P101&lt;&gt;"")*($P101&gt;=TODAY())*($P101&lt;=TODAY()+13),"À venir","Autre"))))</f>
        <v>Semaine passée</v>
      </c>
      <c r="V101" s="8" cm="1" t="n">
        <f t="array" ref="V101">IF(C101&lt;&gt;"",1,0)</f>
        <v>1</v>
      </c>
      <c r="W101" s="8">
</c>
      <c r="X101" s="8">
</c>
      <c r="Y101" s="8">
</c>
      <c r="Z101" s="8">
</c>
      <c r="AA101" s="8">
</c>
      <c r="AB101" s="8">
</c>
      <c r="AC101" s="8">
</c>
      <c r="AD101" s="8">
</c>
      <c r="AE101" s="8">
</c>
      <c r="AF101" s="8">
</c>
      <c r="AG101" s="8">
</c>
      <c r="AH101" s="8">
</c>
      <c r="AI101" s="8">
</c>
      <c r="AJ101" s="8">
</c>
      <c r="AK101" s="8">
</c>
    </row>
    <row r="102" ht="76.5" customHeight="1">
      <c r="A102" s="9">
</c>
      <c r="B102" s="9">
</c>
      <c r="C102" s="9">
</c>
      <c r="D102" s="9">
</c>
      <c r="E102" s="9">
</c>
      <c r="F102" s="8">
</c>
      <c r="G102" s="13" cm="1" t="str">
        <f t="array" ref="G102">IF(F102="","",SUBSTITUTE(SUBSTITUTE(SUBSTITUTE(SUBSTITUTE(F102,"&lt;li&gt;",CHAR(10)),"&lt;/li&gt;",""),"&lt;br&gt;",CHAR(10)),"&lt;strong&gt;",""))</f>
        <v/>
      </c>
      <c r="H102" s="13" cm="1" t="str">
        <f t="array" ref="H102">IF(G102="","",SUBSTITUTE(SUBSTITUTE(SUBSTITUTE(SUBSTITUTE(SUBSTITUTE(G102,"&lt;p&gt;",""),"&lt;/p&gt;",""),"&lt;ul&gt;",""),"&lt;/ul&gt;",""),"&lt;/strong&gt;",""))</f>
        <v/>
      </c>
      <c r="I102" s="14" cm="1" t="str">
        <f t="array" ref="I102">IF(C102="","",IF(OR(H102="",H102=0,H102=FALSE),"-",H102))</f>
        <v/>
      </c>
      <c r="J102" s="8">
</c>
      <c r="K102" s="8">
</c>
      <c r="L102" s="9" cm="1" t="str">
        <f t="array" ref="L102">IF(C102="","",IF(K102="Mort / Plus rien à faire","KO","OK"))</f>
        <v/>
      </c>
      <c r="M102" s="15">
</c>
      <c r="N102" s="15" cm="1" t="str">
        <f t="array" ref="N102">IF(OR(C102="",M102="",M102=0),"",M102)</f>
        <v/>
      </c>
      <c r="O102" s="15">
</c>
      <c r="P102" s="15" cm="1" t="str">
        <f t="array" ref="P102">IF(C102="","",IF(OR(O102="",O102=0),"-",O102))</f>
        <v/>
      </c>
      <c r="Q102" s="16">
</c>
      <c r="R102" s="16" cm="1" t="str">
        <f t="array" ref="R102">IF(C102="","",ROUND(Q102/1000000,3)&amp;" M€")</f>
        <v/>
      </c>
      <c r="S102" s="12">
</c>
      <c r="T102" s="9" cm="1" t="str">
        <f t="array" ref="T102">IF(C102="","",SUBSTITUTE(S102,"","")&amp;"%")</f>
        <v/>
      </c>
      <c r="U102" s="9" cm="1" t="str">
        <f t="array" ref="U102">IF(($N102="")*($P102=""),"",IF(($N102&lt;&gt;"")*($N102&gt;TODAY()-9)*($N102&lt;TODAY()+1)*($P102&lt;&gt;"")*($P102&gt;=TODAY())*($P102&lt;=TODAY()+13),"Semaine passée &amp; à venir",IF(($N102&lt;&gt;"")*($N102&gt;TODAY()-9)*($N102&lt;TODAY()+1),"Semaine passée",IF(($P102&lt;&gt;"")*($P102&gt;=TODAY())*($P102&lt;=TODAY()+13),"À venir","Autre"))))</f>
        <v/>
      </c>
      <c r="V102" s="8" cm="1" t="n">
        <f t="array" ref="V102">IF(C102&lt;&gt;"",1,0)</f>
        <v>0</v>
      </c>
      <c r="W102" s="8">
</c>
      <c r="X102" s="8">
</c>
      <c r="Y102" s="8">
</c>
      <c r="Z102" s="8">
</c>
      <c r="AA102" s="8">
</c>
      <c r="AB102" s="8">
</c>
      <c r="AC102" s="8">
</c>
      <c r="AD102" s="8">
</c>
      <c r="AE102" s="8">
</c>
      <c r="AF102" s="8">
</c>
      <c r="AG102" s="8">
</c>
      <c r="AH102" s="8">
</c>
      <c r="AI102" s="8">
</c>
      <c r="AJ102" s="8">
</c>
      <c r="AK102" s="8">
</c>
    </row>
    <row r="103" ht="76.5" customHeight="1">
      <c r="A103" s="8">
</c>
      <c r="B103" s="8">
</c>
      <c r="C103" s="8">
</c>
      <c r="D103" s="8">
</c>
      <c r="E103" s="8">
</c>
      <c r="F103" s="8">
</c>
      <c r="G103" s="13" cm="1" t="str">
        <f t="array" ref="G103">IF(F103="","",SUBSTITUTE(SUBSTITUTE(SUBSTITUTE(SUBSTITUTE(F103,"&lt;li&gt;",CHAR(10)),"&lt;/li&gt;",""),"&lt;br&gt;",CHAR(10)),"&lt;strong&gt;",""))</f>
        <v/>
      </c>
      <c r="H103" s="13" cm="1" t="str">
        <f t="array" ref="H103">IF(G103="","",SUBSTITUTE(SUBSTITUTE(SUBSTITUTE(SUBSTITUTE(SUBSTITUTE(G103,"&lt;p&gt;",""),"&lt;/p&gt;",""),"&lt;ul&gt;",""),"&lt;/ul&gt;",""),"&lt;/strong&gt;",""))</f>
        <v/>
      </c>
      <c r="I103" s="14" cm="1" t="str">
        <f t="array" ref="I103">IF(C103="","",IF(OR(H103="",H103=0,H103=FALSE),"-",H103))</f>
        <v/>
      </c>
      <c r="J103" s="8">
</c>
      <c r="K103" s="8">
</c>
      <c r="L103" s="9" cm="1" t="str">
        <f t="array" ref="L103">IF(C103="","",IF(K103="Mort / Plus rien à faire","KO","OK"))</f>
        <v/>
      </c>
      <c r="M103" s="17">
</c>
      <c r="N103" s="15" cm="1" t="str">
        <f t="array" ref="N103">IF(OR(C103="",M103="",M103=0),"",M103)</f>
        <v/>
      </c>
      <c r="O103" s="17">
</c>
      <c r="P103" s="15" cm="1" t="str">
        <f t="array" ref="P103">IF(C103="","",IF(OR(O103="",O103=0),"-",O103))</f>
        <v/>
      </c>
      <c r="Q103" s="18">
</c>
      <c r="R103" s="16" cm="1" t="str">
        <f t="array" ref="R103">IF(C103="","",ROUND(Q103/1000000,3)&amp;" M€")</f>
        <v/>
      </c>
      <c r="S103" s="19">
</c>
      <c r="T103" s="9" cm="1" t="str">
        <f t="array" ref="T103">IF(C103="","",SUBSTITUTE(S103,"","")&amp;"%")</f>
        <v/>
      </c>
      <c r="U103" s="9" cm="1" t="str">
        <f t="array" ref="U103">IF(($N103="")*($P103=""),"",IF(($N103&lt;&gt;"")*($N103&gt;TODAY()-9)*($N103&lt;TODAY()+1)*($P103&lt;&gt;"")*($P103&gt;=TODAY())*($P103&lt;=TODAY()+13),"Semaine passée &amp; à venir",IF(($N103&lt;&gt;"")*($N103&gt;TODAY()-9)*($N103&lt;TODAY()+1),"Semaine passée",IF(($P103&lt;&gt;"")*($P103&gt;=TODAY())*($P103&lt;=TODAY()+13),"À venir","Autre"))))</f>
        <v/>
      </c>
      <c r="V103" s="8" cm="1" t="n">
        <f t="array" ref="V103">IF(C103&lt;&gt;"",1,0)</f>
        <v>0</v>
      </c>
      <c r="W103" s="8">
</c>
      <c r="X103" s="8">
</c>
      <c r="Y103" s="8">
</c>
      <c r="Z103" s="8">
</c>
      <c r="AA103" s="8">
</c>
      <c r="AB103" s="8">
</c>
      <c r="AC103" s="8">
</c>
      <c r="AD103" s="8">
</c>
      <c r="AE103" s="8">
</c>
      <c r="AF103" s="8">
</c>
      <c r="AG103" s="8">
</c>
      <c r="AH103" s="8">
</c>
      <c r="AI103" s="8">
</c>
      <c r="AJ103" s="8">
</c>
      <c r="AK103" s="8">
</c>
    </row>
    <row r="104" ht="76.5" customHeight="1">
      <c r="A104" s="8">
</c>
      <c r="B104" s="8">
</c>
      <c r="C104" s="8">
</c>
      <c r="D104" s="8">
</c>
      <c r="E104" s="8">
</c>
      <c r="F104" s="8">
</c>
      <c r="G104" s="13" cm="1" t="str">
        <f t="array" ref="G104">IF(F104="","",SUBSTITUTE(SUBSTITUTE(SUBSTITUTE(SUBSTITUTE(F104,"&lt;li&gt;",CHAR(10)),"&lt;/li&gt;",""),"&lt;br&gt;",CHAR(10)),"&lt;strong&gt;",""))</f>
        <v/>
      </c>
      <c r="H104" s="13" cm="1" t="str">
        <f t="array" ref="H104">IF(G104="","",SUBSTITUTE(SUBSTITUTE(SUBSTITUTE(SUBSTITUTE(SUBSTITUTE(G104,"&lt;p&gt;",""),"&lt;/p&gt;",""),"&lt;ul&gt;",""),"&lt;/ul&gt;",""),"&lt;/strong&gt;",""))</f>
        <v/>
      </c>
      <c r="I104" s="14" cm="1" t="str">
        <f t="array" ref="I104">IF(C104="","",IF(OR(H104="",H104=0,H104=FALSE),"-",H104))</f>
        <v/>
      </c>
      <c r="J104" s="8">
</c>
      <c r="K104" s="8">
</c>
      <c r="L104" s="9" cm="1" t="str">
        <f t="array" ref="L104">IF(C104="","",IF(K104="Mort / Plus rien à faire","KO","OK"))</f>
        <v/>
      </c>
      <c r="M104" s="17">
</c>
      <c r="N104" s="15" cm="1" t="str">
        <f t="array" ref="N104">IF(OR(C104="",M104="",M104=0),"",M104)</f>
        <v/>
      </c>
      <c r="O104" s="17">
</c>
      <c r="P104" s="15" cm="1" t="str">
        <f t="array" ref="P104">IF(C104="","",IF(OR(O104="",O104=0),"-",O104))</f>
        <v/>
      </c>
      <c r="Q104" s="18">
</c>
      <c r="R104" s="16" cm="1" t="str">
        <f t="array" ref="R104">IF(C104="","",ROUND(Q104/1000000,3)&amp;" M€")</f>
        <v/>
      </c>
      <c r="S104" s="19">
</c>
      <c r="T104" s="9" cm="1" t="str">
        <f t="array" ref="T104">IF(C104="","",SUBSTITUTE(S104,"","")&amp;"%")</f>
        <v/>
      </c>
      <c r="U104" s="9" cm="1" t="str">
        <f t="array" ref="U104">IF(($N104="")*($P104=""),"",IF(($N104&lt;&gt;"")*($N104&gt;TODAY()-9)*($N104&lt;TODAY()+1)*($P104&lt;&gt;"")*($P104&gt;=TODAY())*($P104&lt;=TODAY()+13),"Semaine passée &amp; à venir",IF(($N104&lt;&gt;"")*($N104&gt;TODAY()-9)*($N104&lt;TODAY()+1),"Semaine passée",IF(($P104&lt;&gt;"")*($P104&gt;=TODAY())*($P104&lt;=TODAY()+13),"À venir","Autre"))))</f>
        <v/>
      </c>
      <c r="V104" s="8" cm="1" t="n">
        <f t="array" ref="V104">IF(C104&lt;&gt;"",1,0)</f>
        <v>0</v>
      </c>
      <c r="W104" s="8">
</c>
      <c r="X104" s="8">
</c>
      <c r="Y104" s="8">
</c>
      <c r="Z104" s="8">
</c>
      <c r="AA104" s="8">
</c>
      <c r="AB104" s="8">
</c>
      <c r="AC104" s="8">
</c>
      <c r="AD104" s="8">
</c>
      <c r="AE104" s="8">
</c>
      <c r="AF104" s="8">
</c>
      <c r="AG104" s="8">
</c>
      <c r="AH104" s="8">
</c>
      <c r="AI104" s="8">
</c>
      <c r="AJ104" s="8">
</c>
      <c r="AK104" s="8">
</c>
    </row>
    <row r="105" ht="76.5" customHeight="1">
      <c r="A105" s="8">
</c>
      <c r="B105" s="8">
</c>
      <c r="C105" s="8">
</c>
      <c r="D105" s="8">
</c>
      <c r="E105" s="8">
</c>
      <c r="F105" s="8">
</c>
      <c r="G105" s="13" cm="1" t="str">
        <f t="array" ref="G105">IF(F105="","",SUBSTITUTE(SUBSTITUTE(SUBSTITUTE(SUBSTITUTE(F105,"&lt;li&gt;",CHAR(10)),"&lt;/li&gt;",""),"&lt;br&gt;",CHAR(10)),"&lt;strong&gt;",""))</f>
        <v/>
      </c>
      <c r="H105" s="13" cm="1" t="str">
        <f t="array" ref="H105">IF(G105="","",SUBSTITUTE(SUBSTITUTE(SUBSTITUTE(SUBSTITUTE(SUBSTITUTE(G105,"&lt;p&gt;",""),"&lt;/p&gt;",""),"&lt;ul&gt;",""),"&lt;/ul&gt;",""),"&lt;/strong&gt;",""))</f>
        <v/>
      </c>
      <c r="I105" s="14" cm="1" t="str">
        <f t="array" ref="I105">IF(C105="","",IF(OR(H105="",H105=0,H105=FALSE),"-",H105))</f>
        <v/>
      </c>
      <c r="J105" s="8">
</c>
      <c r="K105" s="8">
</c>
      <c r="L105" s="9" cm="1" t="str">
        <f t="array" ref="L105">IF(C105="","",IF(K105="Mort / Plus rien à faire","KO","OK"))</f>
        <v/>
      </c>
      <c r="M105" s="17">
</c>
      <c r="N105" s="15" cm="1" t="str">
        <f t="array" ref="N105">IF(OR(C105="",M105="",M105=0),"",M105)</f>
        <v/>
      </c>
      <c r="O105" s="17">
</c>
      <c r="P105" s="15" cm="1" t="str">
        <f t="array" ref="P105">IF(C105="","",IF(OR(O105="",O105=0),"-",O105))</f>
        <v/>
      </c>
      <c r="Q105" s="18">
</c>
      <c r="R105" s="16" cm="1" t="str">
        <f t="array" ref="R105">IF(C105="","",ROUND(Q105/1000000,3)&amp;" M€")</f>
        <v/>
      </c>
      <c r="S105" s="19">
</c>
      <c r="T105" s="9" cm="1" t="str">
        <f t="array" ref="T105">IF(C105="","",SUBSTITUTE(S105,"","")&amp;"%")</f>
        <v/>
      </c>
      <c r="U105" s="9" cm="1" t="str">
        <f t="array" ref="U105">IF(($N105="")*($P105=""),"",IF(($N105&lt;&gt;"")*($N105&gt;TODAY()-9)*($N105&lt;TODAY()+1)*($P105&lt;&gt;"")*($P105&gt;=TODAY())*($P105&lt;=TODAY()+13),"Semaine passée &amp; à venir",IF(($N105&lt;&gt;"")*($N105&gt;TODAY()-9)*($N105&lt;TODAY()+1),"Semaine passée",IF(($P105&lt;&gt;"")*($P105&gt;=TODAY())*($P105&lt;=TODAY()+13),"À venir","Autre"))))</f>
        <v/>
      </c>
      <c r="V105" s="8" cm="1" t="n">
        <f t="array" ref="V105">IF(C105&lt;&gt;"",1,0)</f>
        <v>0</v>
      </c>
      <c r="W105" s="8">
</c>
      <c r="X105" s="8">
</c>
      <c r="Y105" s="8">
</c>
      <c r="Z105" s="8">
</c>
      <c r="AA105" s="8">
</c>
      <c r="AB105" s="8">
</c>
      <c r="AC105" s="8">
</c>
      <c r="AD105" s="8">
</c>
      <c r="AE105" s="8">
</c>
      <c r="AF105" s="8">
</c>
      <c r="AG105" s="8">
</c>
      <c r="AH105" s="8">
</c>
      <c r="AI105" s="8">
</c>
      <c r="AJ105" s="8">
</c>
      <c r="AK105" s="8">
</c>
    </row>
    <row r="106" ht="76.5" customHeight="1">
      <c r="A106" s="8">
</c>
      <c r="B106" s="8">
</c>
      <c r="C106" s="8">
</c>
      <c r="D106" s="8">
</c>
      <c r="E106" s="8">
</c>
      <c r="F106" s="8">
</c>
      <c r="G106" s="13" cm="1" t="str">
        <f t="array" ref="G106">IF(F106="","",SUBSTITUTE(SUBSTITUTE(SUBSTITUTE(SUBSTITUTE(F106,"&lt;li&gt;",CHAR(10)),"&lt;/li&gt;",""),"&lt;br&gt;",CHAR(10)),"&lt;strong&gt;",""))</f>
        <v/>
      </c>
      <c r="H106" s="13" cm="1" t="str">
        <f t="array" ref="H106">IF(G106="","",SUBSTITUTE(SUBSTITUTE(SUBSTITUTE(SUBSTITUTE(SUBSTITUTE(G106,"&lt;p&gt;",""),"&lt;/p&gt;",""),"&lt;ul&gt;",""),"&lt;/ul&gt;",""),"&lt;/strong&gt;",""))</f>
        <v/>
      </c>
      <c r="I106" s="14" cm="1" t="str">
        <f t="array" ref="I106">IF(C106="","",IF(OR(H106="",H106=0,H106=FALSE),"-",H106))</f>
        <v/>
      </c>
      <c r="J106" s="8">
</c>
      <c r="K106" s="8">
</c>
      <c r="L106" s="9" cm="1" t="str">
        <f t="array" ref="L106">IF(C106="","",IF(K106="Mort / Plus rien à faire","KO","OK"))</f>
        <v/>
      </c>
      <c r="M106" s="17">
</c>
      <c r="N106" s="15" cm="1" t="str">
        <f t="array" ref="N106">IF(OR(C106="",M106="",M106=0),"",M106)</f>
        <v/>
      </c>
      <c r="O106" s="17">
</c>
      <c r="P106" s="15" cm="1" t="str">
        <f t="array" ref="P106">IF(C106="","",IF(OR(O106="",O106=0),"-",O106))</f>
        <v/>
      </c>
      <c r="Q106" s="18">
</c>
      <c r="R106" s="16" cm="1" t="str">
        <f t="array" ref="R106">IF(C106="","",ROUND(Q106/1000000,3)&amp;" M€")</f>
        <v/>
      </c>
      <c r="S106" s="19">
</c>
      <c r="T106" s="9" cm="1" t="str">
        <f t="array" ref="T106">IF(C106="","",SUBSTITUTE(S106,"","")&amp;"%")</f>
        <v/>
      </c>
      <c r="U106" s="9" cm="1" t="str">
        <f t="array" ref="U106">IF(($N106="")*($P106=""),"",IF(($N106&lt;&gt;"")*($N106&gt;TODAY()-9)*($N106&lt;TODAY()+1)*($P106&lt;&gt;"")*($P106&gt;=TODAY())*($P106&lt;=TODAY()+13),"Semaine passée &amp; à venir",IF(($N106&lt;&gt;"")*($N106&gt;TODAY()-9)*($N106&lt;TODAY()+1),"Semaine passée",IF(($P106&lt;&gt;"")*($P106&gt;=TODAY())*($P106&lt;=TODAY()+13),"À venir","Autre"))))</f>
        <v/>
      </c>
      <c r="V106" s="8" cm="1" t="n">
        <f t="array" ref="V106">IF(C106&lt;&gt;"",1,0)</f>
        <v>0</v>
      </c>
      <c r="W106" s="8">
</c>
      <c r="X106" s="8">
</c>
      <c r="Y106" s="8">
</c>
      <c r="Z106" s="8">
</c>
      <c r="AA106" s="8">
</c>
      <c r="AB106" s="8">
</c>
      <c r="AC106" s="8">
</c>
      <c r="AD106" s="8">
</c>
      <c r="AE106" s="8">
</c>
      <c r="AF106" s="8">
</c>
      <c r="AG106" s="8">
</c>
      <c r="AH106" s="8">
</c>
      <c r="AI106" s="8">
</c>
      <c r="AJ106" s="8">
</c>
      <c r="AK106" s="8">
</c>
    </row>
    <row r="107" ht="76.5" customHeight="1">
      <c r="A107" s="8">
</c>
      <c r="B107" s="8">
</c>
      <c r="C107" s="8">
</c>
      <c r="D107" s="8">
</c>
      <c r="E107" s="8">
</c>
      <c r="F107" s="8">
</c>
      <c r="G107" s="13" cm="1" t="str">
        <f t="array" ref="G107">IF(F107="","",SUBSTITUTE(SUBSTITUTE(SUBSTITUTE(SUBSTITUTE(F107,"&lt;li&gt;",CHAR(10)),"&lt;/li&gt;",""),"&lt;br&gt;",CHAR(10)),"&lt;strong&gt;",""))</f>
        <v/>
      </c>
      <c r="H107" s="13" cm="1" t="str">
        <f t="array" ref="H107">IF(G107="","",SUBSTITUTE(SUBSTITUTE(SUBSTITUTE(SUBSTITUTE(SUBSTITUTE(G107,"&lt;p&gt;",""),"&lt;/p&gt;",""),"&lt;ul&gt;",""),"&lt;/ul&gt;",""),"&lt;/strong&gt;",""))</f>
        <v/>
      </c>
      <c r="I107" s="14" cm="1" t="str">
        <f t="array" ref="I107">IF(C107="","",IF(OR(H107="",H107=0,H107=FALSE),"-",H107))</f>
        <v/>
      </c>
      <c r="J107" s="8">
</c>
      <c r="K107" s="8">
</c>
      <c r="L107" s="9" cm="1" t="str">
        <f t="array" ref="L107">IF(C107="","",IF(K107="Mort / Plus rien à faire","KO","OK"))</f>
        <v/>
      </c>
      <c r="M107" s="17">
</c>
      <c r="N107" s="15" cm="1" t="str">
        <f t="array" ref="N107">IF(OR(C107="",M107="",M107=0),"",M107)</f>
        <v/>
      </c>
      <c r="O107" s="17">
</c>
      <c r="P107" s="15" cm="1" t="str">
        <f t="array" ref="P107">IF(C107="","",IF(OR(O107="",O107=0),"-",O107))</f>
        <v/>
      </c>
      <c r="Q107" s="18">
</c>
      <c r="R107" s="16" cm="1" t="str">
        <f t="array" ref="R107">IF(C107="","",ROUND(Q107/1000000,3)&amp;" M€")</f>
        <v/>
      </c>
      <c r="S107" s="19">
</c>
      <c r="T107" s="9" cm="1" t="str">
        <f t="array" ref="T107">IF(C107="","",SUBSTITUTE(S107,"","")&amp;"%")</f>
        <v/>
      </c>
      <c r="U107" s="9" cm="1" t="str">
        <f t="array" ref="U107">IF(($N107="")*($P107=""),"",IF(($N107&lt;&gt;"")*($N107&gt;TODAY()-9)*($N107&lt;TODAY()+1)*($P107&lt;&gt;"")*($P107&gt;=TODAY())*($P107&lt;=TODAY()+13),"Semaine passée &amp; à venir",IF(($N107&lt;&gt;"")*($N107&gt;TODAY()-9)*($N107&lt;TODAY()+1),"Semaine passée",IF(($P107&lt;&gt;"")*($P107&gt;=TODAY())*($P107&lt;=TODAY()+13),"À venir","Autre"))))</f>
        <v/>
      </c>
      <c r="V107" s="8" cm="1" t="n">
        <f t="array" ref="V107">IF(C107&lt;&gt;"",1,0)</f>
        <v>0</v>
      </c>
      <c r="W107" s="8">
</c>
      <c r="X107" s="8">
</c>
      <c r="Y107" s="8">
</c>
      <c r="Z107" s="8">
</c>
      <c r="AA107" s="8">
</c>
      <c r="AB107" s="8">
</c>
      <c r="AC107" s="8">
</c>
      <c r="AD107" s="8">
</c>
      <c r="AE107" s="8">
</c>
      <c r="AF107" s="8">
</c>
      <c r="AG107" s="8">
</c>
      <c r="AH107" s="8">
</c>
      <c r="AI107" s="8">
</c>
      <c r="AJ107" s="8">
</c>
      <c r="AK107" s="8">
</c>
    </row>
    <row r="108" ht="76.5" customHeight="1">
      <c r="A108" s="8">
</c>
      <c r="B108" s="8">
</c>
      <c r="C108" s="8">
</c>
      <c r="D108" s="8">
</c>
      <c r="E108" s="8">
</c>
      <c r="F108" s="8">
</c>
      <c r="G108" s="13" cm="1" t="str">
        <f t="array" ref="G108">IF(F108="","",SUBSTITUTE(SUBSTITUTE(SUBSTITUTE(SUBSTITUTE(F108,"&lt;li&gt;",CHAR(10)),"&lt;/li&gt;",""),"&lt;br&gt;",CHAR(10)),"&lt;strong&gt;",""))</f>
        <v/>
      </c>
      <c r="H108" s="13" cm="1" t="str">
        <f t="array" ref="H108">IF(G108="","",SUBSTITUTE(SUBSTITUTE(SUBSTITUTE(SUBSTITUTE(SUBSTITUTE(G108,"&lt;p&gt;",""),"&lt;/p&gt;",""),"&lt;ul&gt;",""),"&lt;/ul&gt;",""),"&lt;/strong&gt;",""))</f>
        <v/>
      </c>
      <c r="I108" s="14" cm="1" t="str">
        <f t="array" ref="I108">IF(C108="","",IF(OR(H108="",H108=0,H108=FALSE),"-",H108))</f>
        <v/>
      </c>
      <c r="J108" s="8">
</c>
      <c r="K108" s="8">
</c>
      <c r="L108" s="9" cm="1" t="str">
        <f t="array" ref="L108">IF(C108="","",IF(K108="Mort / Plus rien à faire","KO","OK"))</f>
        <v/>
      </c>
      <c r="M108" s="17">
</c>
      <c r="N108" s="15" cm="1" t="str">
        <f t="array" ref="N108">IF(OR(C108="",M108="",M108=0),"",M108)</f>
        <v/>
      </c>
      <c r="O108" s="17">
</c>
      <c r="P108" s="15" cm="1" t="str">
        <f t="array" ref="P108">IF(C108="","",IF(OR(O108="",O108=0),"-",O108))</f>
        <v/>
      </c>
      <c r="Q108" s="18">
</c>
      <c r="R108" s="16" cm="1" t="str">
        <f t="array" ref="R108">IF(C108="","",ROUND(Q108/1000000,3)&amp;" M€")</f>
        <v/>
      </c>
      <c r="S108" s="19">
</c>
      <c r="T108" s="9" cm="1" t="str">
        <f t="array" ref="T108">IF(C108="","",SUBSTITUTE(S108,"","")&amp;"%")</f>
        <v/>
      </c>
      <c r="U108" s="9" cm="1" t="str">
        <f t="array" ref="U108">IF(($N108="")*($P108=""),"",IF(($N108&lt;&gt;"")*($N108&gt;TODAY()-9)*($N108&lt;TODAY()+1)*($P108&lt;&gt;"")*($P108&gt;=TODAY())*($P108&lt;=TODAY()+13),"Semaine passée &amp; à venir",IF(($N108&lt;&gt;"")*($N108&gt;TODAY()-9)*($N108&lt;TODAY()+1),"Semaine passée",IF(($P108&lt;&gt;"")*($P108&gt;=TODAY())*($P108&lt;=TODAY()+13),"À venir","Autre"))))</f>
        <v/>
      </c>
      <c r="V108" s="8" cm="1" t="n">
        <f t="array" ref="V108">IF(C108&lt;&gt;"",1,0)</f>
        <v>0</v>
      </c>
      <c r="W108" s="8">
</c>
      <c r="X108" s="8">
</c>
      <c r="Y108" s="8">
</c>
      <c r="Z108" s="8">
</c>
      <c r="AA108" s="8">
</c>
      <c r="AB108" s="8">
</c>
      <c r="AC108" s="8">
</c>
      <c r="AD108" s="8">
</c>
      <c r="AE108" s="8">
</c>
      <c r="AF108" s="8">
</c>
      <c r="AG108" s="8">
</c>
      <c r="AH108" s="8">
</c>
      <c r="AI108" s="8">
</c>
      <c r="AJ108" s="8">
</c>
      <c r="AK108" s="8">
</c>
    </row>
    <row r="109" ht="76.5" customHeight="1">
      <c r="A109" s="8">
</c>
      <c r="B109" s="8">
</c>
      <c r="C109" s="8">
</c>
      <c r="D109" s="8">
</c>
      <c r="E109" s="8">
</c>
      <c r="F109" s="8">
</c>
      <c r="G109" s="13" cm="1" t="str">
        <f t="array" ref="G109">IF(F109="","",SUBSTITUTE(SUBSTITUTE(SUBSTITUTE(SUBSTITUTE(F109,"&lt;li&gt;",CHAR(10)),"&lt;/li&gt;",""),"&lt;br&gt;",CHAR(10)),"&lt;strong&gt;",""))</f>
        <v/>
      </c>
      <c r="H109" s="13" cm="1" t="str">
        <f t="array" ref="H109">IF(G109="","",SUBSTITUTE(SUBSTITUTE(SUBSTITUTE(SUBSTITUTE(SUBSTITUTE(G109,"&lt;p&gt;",""),"&lt;/p&gt;",""),"&lt;ul&gt;",""),"&lt;/ul&gt;",""),"&lt;/strong&gt;",""))</f>
        <v/>
      </c>
      <c r="I109" s="14" cm="1" t="str">
        <f t="array" ref="I109">IF(C109="","",IF(OR(H109="",H109=0,H109=FALSE),"-",H109))</f>
        <v/>
      </c>
      <c r="J109" s="8">
</c>
      <c r="K109" s="8">
</c>
      <c r="L109" s="9" cm="1" t="str">
        <f t="array" ref="L109">IF(C109="","",IF(K109="Mort / Plus rien à faire","KO","OK"))</f>
        <v/>
      </c>
      <c r="M109" s="17">
</c>
      <c r="N109" s="15" cm="1" t="str">
        <f t="array" ref="N109">IF(OR(C109="",M109="",M109=0),"",M109)</f>
        <v/>
      </c>
      <c r="O109" s="17">
</c>
      <c r="P109" s="15" cm="1" t="str">
        <f t="array" ref="P109">IF(C109="","",IF(OR(O109="",O109=0),"-",O109))</f>
        <v/>
      </c>
      <c r="Q109" s="18">
</c>
      <c r="R109" s="16" cm="1" t="str">
        <f t="array" ref="R109">IF(C109="","",ROUND(Q109/1000000,3)&amp;" M€")</f>
        <v/>
      </c>
      <c r="S109" s="19">
</c>
      <c r="T109" s="9" cm="1" t="str">
        <f t="array" ref="T109">IF(C109="","",SUBSTITUTE(S109,"","")&amp;"%")</f>
        <v/>
      </c>
      <c r="U109" s="9" cm="1" t="str">
        <f t="array" ref="U109">IF(($N109="")*($P109=""),"",IF(($N109&lt;&gt;"")*($N109&gt;TODAY()-9)*($N109&lt;TODAY()+1)*($P109&lt;&gt;"")*($P109&gt;=TODAY())*($P109&lt;=TODAY()+13),"Semaine passée &amp; à venir",IF(($N109&lt;&gt;"")*($N109&gt;TODAY()-9)*($N109&lt;TODAY()+1),"Semaine passée",IF(($P109&lt;&gt;"")*($P109&gt;=TODAY())*($P109&lt;=TODAY()+13),"À venir","Autre"))))</f>
        <v/>
      </c>
      <c r="V109" s="8" cm="1" t="n">
        <f t="array" ref="V109">IF(C109&lt;&gt;"",1,0)</f>
        <v>0</v>
      </c>
      <c r="W109" s="8">
</c>
      <c r="X109" s="8">
</c>
      <c r="Y109" s="8">
</c>
      <c r="Z109" s="8">
</c>
      <c r="AA109" s="8">
</c>
      <c r="AB109" s="8">
</c>
      <c r="AC109" s="8">
</c>
      <c r="AD109" s="8">
</c>
      <c r="AE109" s="8">
</c>
      <c r="AF109" s="8">
</c>
      <c r="AG109" s="8">
</c>
      <c r="AH109" s="8">
</c>
      <c r="AI109" s="8">
</c>
      <c r="AJ109" s="8">
</c>
      <c r="AK109" s="8">
</c>
    </row>
    <row r="110" ht="76.5" customHeight="1">
      <c r="A110" s="8">
</c>
      <c r="B110" s="8">
</c>
      <c r="C110" s="8">
</c>
      <c r="D110" s="8">
</c>
      <c r="E110" s="8">
</c>
      <c r="F110" s="8">
</c>
      <c r="G110" s="13" cm="1" t="str">
        <f t="array" ref="G110">IF(F110="","",SUBSTITUTE(SUBSTITUTE(SUBSTITUTE(SUBSTITUTE(F110,"&lt;li&gt;",CHAR(10)),"&lt;/li&gt;",""),"&lt;br&gt;",CHAR(10)),"&lt;strong&gt;",""))</f>
        <v/>
      </c>
      <c r="H110" s="13" cm="1" t="str">
        <f t="array" ref="H110">IF(G110="","",SUBSTITUTE(SUBSTITUTE(SUBSTITUTE(SUBSTITUTE(SUBSTITUTE(G110,"&lt;p&gt;",""),"&lt;/p&gt;",""),"&lt;ul&gt;",""),"&lt;/ul&gt;",""),"&lt;/strong&gt;",""))</f>
        <v/>
      </c>
      <c r="I110" s="14" cm="1" t="str">
        <f t="array" ref="I110">IF(C110="","",IF(OR(H110="",H110=0,H110=FALSE),"-",H110))</f>
        <v/>
      </c>
      <c r="J110" s="8">
</c>
      <c r="K110" s="8">
</c>
      <c r="L110" s="9" cm="1" t="str">
        <f t="array" ref="L110">IF(C110="","",IF(K110="Mort / Plus rien à faire","KO","OK"))</f>
        <v/>
      </c>
      <c r="M110" s="17">
</c>
      <c r="N110" s="15" cm="1" t="str">
        <f t="array" ref="N110">IF(OR(C110="",M110="",M110=0),"",M110)</f>
        <v/>
      </c>
      <c r="O110" s="17">
</c>
      <c r="P110" s="15" cm="1" t="str">
        <f t="array" ref="P110">IF(C110="","",IF(OR(O110="",O110=0),"-",O110))</f>
        <v/>
      </c>
      <c r="Q110" s="18">
</c>
      <c r="R110" s="16" cm="1" t="str">
        <f t="array" ref="R110">IF(C110="","",ROUND(Q110/1000000,3)&amp;" M€")</f>
        <v/>
      </c>
      <c r="S110" s="19">
</c>
      <c r="T110" s="9" cm="1" t="str">
        <f t="array" ref="T110">IF(C110="","",SUBSTITUTE(S110,"","")&amp;"%")</f>
        <v/>
      </c>
      <c r="U110" s="9" cm="1" t="str">
        <f t="array" ref="U110">IF(($N110="")*($P110=""),"",IF(($N110&lt;&gt;"")*($N110&gt;TODAY()-9)*($N110&lt;TODAY()+1)*($P110&lt;&gt;"")*($P110&gt;=TODAY())*($P110&lt;=TODAY()+13),"Semaine passée &amp; à venir",IF(($N110&lt;&gt;"")*($N110&gt;TODAY()-9)*($N110&lt;TODAY()+1),"Semaine passée",IF(($P110&lt;&gt;"")*($P110&gt;=TODAY())*($P110&lt;=TODAY()+13),"À venir","Autre"))))</f>
        <v/>
      </c>
      <c r="V110" s="8" cm="1" t="n">
        <f t="array" ref="V110">IF(C110&lt;&gt;"",1,0)</f>
        <v>0</v>
      </c>
      <c r="W110" s="8">
</c>
      <c r="X110" s="8">
</c>
      <c r="Y110" s="8">
</c>
      <c r="Z110" s="8">
</c>
      <c r="AA110" s="8">
</c>
      <c r="AB110" s="8">
</c>
      <c r="AC110" s="8">
</c>
      <c r="AD110" s="8">
</c>
      <c r="AE110" s="8">
</c>
      <c r="AF110" s="8">
</c>
      <c r="AG110" s="8">
</c>
      <c r="AH110" s="8">
</c>
      <c r="AI110" s="8">
</c>
      <c r="AJ110" s="8">
</c>
      <c r="AK110" s="8">
</c>
    </row>
    <row r="111" ht="76.5" customHeight="1">
      <c r="A111" s="8">
</c>
      <c r="B111" s="8">
</c>
      <c r="C111" s="8">
</c>
      <c r="D111" s="8">
</c>
      <c r="E111" s="8">
</c>
      <c r="F111" s="8">
</c>
      <c r="G111" s="13" cm="1" t="str">
        <f t="array" ref="G111">IF(F111="","",SUBSTITUTE(SUBSTITUTE(SUBSTITUTE(SUBSTITUTE(F111,"&lt;li&gt;",CHAR(10)),"&lt;/li&gt;",""),"&lt;br&gt;",CHAR(10)),"&lt;strong&gt;",""))</f>
        <v/>
      </c>
      <c r="H111" s="13" cm="1" t="str">
        <f t="array" ref="H111">IF(G111="","",SUBSTITUTE(SUBSTITUTE(SUBSTITUTE(SUBSTITUTE(SUBSTITUTE(G111,"&lt;p&gt;",""),"&lt;/p&gt;",""),"&lt;ul&gt;",""),"&lt;/ul&gt;",""),"&lt;/strong&gt;",""))</f>
        <v/>
      </c>
      <c r="I111" s="14" cm="1" t="str">
        <f t="array" ref="I111">IF(C111="","",IF(OR(H111="",H111=0,H111=FALSE),"-",H111))</f>
        <v/>
      </c>
      <c r="J111" s="8">
</c>
      <c r="K111" s="8">
</c>
      <c r="L111" s="9" cm="1" t="str">
        <f t="array" ref="L111">IF(C111="","",IF(K111="Mort / Plus rien à faire","KO","OK"))</f>
        <v/>
      </c>
      <c r="M111" s="17">
</c>
      <c r="N111" s="15" cm="1" t="str">
        <f t="array" ref="N111">IF(OR(C111="",M111="",M111=0),"",M111)</f>
        <v/>
      </c>
      <c r="O111" s="17">
</c>
      <c r="P111" s="15" cm="1" t="str">
        <f t="array" ref="P111">IF(C111="","",IF(OR(O111="",O111=0),"-",O111))</f>
        <v/>
      </c>
      <c r="Q111" s="18">
</c>
      <c r="R111" s="16" cm="1" t="str">
        <f t="array" ref="R111">IF(C111="","",ROUND(Q111/1000000,3)&amp;" M€")</f>
        <v/>
      </c>
      <c r="S111" s="19">
</c>
      <c r="T111" s="9" cm="1" t="str">
        <f t="array" ref="T111">IF(C111="","",SUBSTITUTE(S111,"","")&amp;"%")</f>
        <v/>
      </c>
      <c r="U111" s="9" cm="1" t="str">
        <f t="array" ref="U111">IF(($N111="")*($P111=""),"",IF(($N111&lt;&gt;"")*($N111&gt;TODAY()-9)*($N111&lt;TODAY()+1)*($P111&lt;&gt;"")*($P111&gt;=TODAY())*($P111&lt;=TODAY()+13),"Semaine passée &amp; à venir",IF(($N111&lt;&gt;"")*($N111&gt;TODAY()-9)*($N111&lt;TODAY()+1),"Semaine passée",IF(($P111&lt;&gt;"")*($P111&gt;=TODAY())*($P111&lt;=TODAY()+13),"À venir","Autre"))))</f>
        <v/>
      </c>
      <c r="V111" s="8" cm="1" t="n">
        <f t="array" ref="V111">IF(C111&lt;&gt;"",1,0)</f>
        <v>0</v>
      </c>
      <c r="W111" s="8">
</c>
      <c r="X111" s="8">
</c>
      <c r="Y111" s="8">
</c>
      <c r="Z111" s="8">
</c>
      <c r="AA111" s="8">
</c>
      <c r="AB111" s="8">
</c>
      <c r="AC111" s="8">
</c>
      <c r="AD111" s="8">
</c>
      <c r="AE111" s="8">
</c>
      <c r="AF111" s="8">
</c>
      <c r="AG111" s="8">
</c>
      <c r="AH111" s="8">
</c>
      <c r="AI111" s="8">
</c>
      <c r="AJ111" s="8">
</c>
      <c r="AK111" s="8">
</c>
    </row>
    <row r="112" ht="76.5" customHeight="1">
      <c r="A112" s="8">
</c>
      <c r="B112" s="8">
</c>
      <c r="C112" s="8">
</c>
      <c r="D112" s="8">
</c>
      <c r="E112" s="8">
</c>
      <c r="F112" s="8">
</c>
      <c r="G112" s="13" cm="1" t="str">
        <f t="array" ref="G112">IF(F112="","",SUBSTITUTE(SUBSTITUTE(SUBSTITUTE(SUBSTITUTE(F112,"&lt;li&gt;",CHAR(10)),"&lt;/li&gt;",""),"&lt;br&gt;",CHAR(10)),"&lt;strong&gt;",""))</f>
        <v/>
      </c>
      <c r="H112" s="13" cm="1" t="str">
        <f t="array" ref="H112">IF(G112="","",SUBSTITUTE(SUBSTITUTE(SUBSTITUTE(SUBSTITUTE(SUBSTITUTE(G112,"&lt;p&gt;",""),"&lt;/p&gt;",""),"&lt;ul&gt;",""),"&lt;/ul&gt;",""),"&lt;/strong&gt;",""))</f>
        <v/>
      </c>
      <c r="I112" s="14" cm="1" t="str">
        <f t="array" ref="I112">IF(C112="","",IF(OR(H112="",H112=0,H112=FALSE),"-",H112))</f>
        <v/>
      </c>
      <c r="J112" s="8">
</c>
      <c r="K112" s="8">
</c>
      <c r="L112" s="9" cm="1" t="str">
        <f t="array" ref="L112">IF(C112="","",IF(K112="Mort / Plus rien à faire","KO","OK"))</f>
        <v/>
      </c>
      <c r="M112" s="17">
</c>
      <c r="N112" s="15" cm="1" t="str">
        <f t="array" ref="N112">IF(OR(C112="",M112="",M112=0),"",M112)</f>
        <v/>
      </c>
      <c r="O112" s="17">
</c>
      <c r="P112" s="15" cm="1" t="str">
        <f t="array" ref="P112">IF(C112="","",IF(OR(O112="",O112=0),"-",O112))</f>
        <v/>
      </c>
      <c r="Q112" s="18">
</c>
      <c r="R112" s="16" cm="1" t="str">
        <f t="array" ref="R112">IF(C112="","",ROUND(Q112/1000000,3)&amp;" M€")</f>
        <v/>
      </c>
      <c r="S112" s="19">
</c>
      <c r="T112" s="9" cm="1" t="str">
        <f t="array" ref="T112">IF(C112="","",SUBSTITUTE(S112,"","")&amp;"%")</f>
        <v/>
      </c>
      <c r="U112" s="9" cm="1" t="str">
        <f t="array" ref="U112">IF(($N112="")*($P112=""),"",IF(($N112&lt;&gt;"")*($N112&gt;TODAY()-9)*($N112&lt;TODAY()+1)*($P112&lt;&gt;"")*($P112&gt;=TODAY())*($P112&lt;=TODAY()+13),"Semaine passée &amp; à venir",IF(($N112&lt;&gt;"")*($N112&gt;TODAY()-9)*($N112&lt;TODAY()+1),"Semaine passée",IF(($P112&lt;&gt;"")*($P112&gt;=TODAY())*($P112&lt;=TODAY()+13),"À venir","Autre"))))</f>
        <v/>
      </c>
      <c r="V112" s="8" cm="1" t="n">
        <f t="array" ref="V112">IF(C112&lt;&gt;"",1,0)</f>
        <v>0</v>
      </c>
      <c r="W112" s="8">
</c>
      <c r="X112" s="8">
</c>
      <c r="Y112" s="8">
</c>
      <c r="Z112" s="8">
</c>
      <c r="AA112" s="8">
</c>
      <c r="AB112" s="8">
</c>
      <c r="AC112" s="8">
</c>
      <c r="AD112" s="8">
</c>
      <c r="AE112" s="8">
</c>
      <c r="AF112" s="8">
</c>
      <c r="AG112" s="8">
</c>
      <c r="AH112" s="8">
</c>
      <c r="AI112" s="8">
</c>
      <c r="AJ112" s="8">
</c>
      <c r="AK112" s="8">
</c>
    </row>
    <row r="113" ht="76.5" customHeight="1">
      <c r="A113" s="8">
</c>
      <c r="B113" s="8">
</c>
      <c r="C113" s="8">
</c>
      <c r="D113" s="8">
</c>
      <c r="E113" s="8">
</c>
      <c r="F113" s="8">
</c>
      <c r="G113" s="13" cm="1" t="str">
        <f t="array" ref="G113">IF(F113="","",SUBSTITUTE(SUBSTITUTE(SUBSTITUTE(SUBSTITUTE(F113,"&lt;li&gt;",CHAR(10)),"&lt;/li&gt;",""),"&lt;br&gt;",CHAR(10)),"&lt;strong&gt;",""))</f>
        <v/>
      </c>
      <c r="H113" s="13" cm="1" t="str">
        <f t="array" ref="H113">IF(G113="","",SUBSTITUTE(SUBSTITUTE(SUBSTITUTE(SUBSTITUTE(SUBSTITUTE(G113,"&lt;p&gt;",""),"&lt;/p&gt;",""),"&lt;ul&gt;",""),"&lt;/ul&gt;",""),"&lt;/strong&gt;",""))</f>
        <v/>
      </c>
      <c r="I113" s="14" cm="1" t="str">
        <f t="array" ref="I113">IF(C113="","",IF(OR(H113="",H113=0,H113=FALSE),"-",H113))</f>
        <v/>
      </c>
      <c r="J113" s="8">
</c>
      <c r="K113" s="8">
</c>
      <c r="L113" s="9" cm="1" t="str">
        <f t="array" ref="L113">IF(C113="","",IF(K113="Mort / Plus rien à faire","KO","OK"))</f>
        <v/>
      </c>
      <c r="M113" s="17">
</c>
      <c r="N113" s="15" cm="1" t="str">
        <f t="array" ref="N113">IF(OR(C113="",M113="",M113=0),"",M113)</f>
        <v/>
      </c>
      <c r="O113" s="17">
</c>
      <c r="P113" s="15" cm="1" t="str">
        <f t="array" ref="P113">IF(C113="","",IF(OR(O113="",O113=0),"-",O113))</f>
        <v/>
      </c>
      <c r="Q113" s="18">
</c>
      <c r="R113" s="16" cm="1" t="str">
        <f t="array" ref="R113">IF(C113="","",ROUND(Q113/1000000,3)&amp;" M€")</f>
        <v/>
      </c>
      <c r="S113" s="19">
</c>
      <c r="T113" s="9" cm="1" t="str">
        <f t="array" ref="T113">IF(C113="","",SUBSTITUTE(S113,"","")&amp;"%")</f>
        <v/>
      </c>
      <c r="U113" s="9" cm="1" t="str">
        <f t="array" ref="U113">IF(($N113="")*($P113=""),"",IF(($N113&lt;&gt;"")*($N113&gt;TODAY()-9)*($N113&lt;TODAY()+1)*($P113&lt;&gt;"")*($P113&gt;=TODAY())*($P113&lt;=TODAY()+13),"Semaine passée &amp; à venir",IF(($N113&lt;&gt;"")*($N113&gt;TODAY()-9)*($N113&lt;TODAY()+1),"Semaine passée",IF(($P113&lt;&gt;"")*($P113&gt;=TODAY())*($P113&lt;=TODAY()+13),"À venir","Autre"))))</f>
        <v/>
      </c>
      <c r="V113" s="8" cm="1" t="n">
        <f t="array" ref="V113">IF(C113&lt;&gt;"",1,0)</f>
        <v>0</v>
      </c>
      <c r="W113" s="8">
</c>
      <c r="X113" s="8">
</c>
      <c r="Y113" s="8">
</c>
      <c r="Z113" s="8">
</c>
      <c r="AA113" s="8">
</c>
      <c r="AB113" s="8">
</c>
      <c r="AC113" s="8">
</c>
      <c r="AD113" s="8">
</c>
      <c r="AE113" s="8">
</c>
      <c r="AF113" s="8">
</c>
      <c r="AG113" s="8">
</c>
      <c r="AH113" s="8">
</c>
      <c r="AI113" s="8">
</c>
      <c r="AJ113" s="8">
</c>
      <c r="AK113" s="8">
</c>
    </row>
    <row r="114" ht="76.5" customHeight="1">
      <c r="A114" s="8">
</c>
      <c r="B114" s="8">
</c>
      <c r="C114" s="8">
</c>
      <c r="D114" s="8">
</c>
      <c r="E114" s="8">
</c>
      <c r="F114" s="8">
</c>
      <c r="G114" s="13" cm="1" t="str">
        <f t="array" ref="G114">IF(F114="","",SUBSTITUTE(SUBSTITUTE(SUBSTITUTE(SUBSTITUTE(F114,"&lt;li&gt;",CHAR(10)),"&lt;/li&gt;",""),"&lt;br&gt;",CHAR(10)),"&lt;strong&gt;",""))</f>
        <v/>
      </c>
      <c r="H114" s="13" cm="1" t="str">
        <f t="array" ref="H114">IF(G114="","",SUBSTITUTE(SUBSTITUTE(SUBSTITUTE(SUBSTITUTE(SUBSTITUTE(G114,"&lt;p&gt;",""),"&lt;/p&gt;",""),"&lt;ul&gt;",""),"&lt;/ul&gt;",""),"&lt;/strong&gt;",""))</f>
        <v/>
      </c>
      <c r="I114" s="14" cm="1" t="str">
        <f t="array" ref="I114">IF(C114="","",IF(OR(H114="",H114=0,H114=FALSE),"-",H114))</f>
        <v/>
      </c>
      <c r="J114" s="8">
</c>
      <c r="K114" s="8">
</c>
      <c r="L114" s="9" cm="1" t="str">
        <f t="array" ref="L114">IF(C114="","",IF(K114="Mort / Plus rien à faire","KO","OK"))</f>
        <v/>
      </c>
      <c r="M114" s="17">
</c>
      <c r="N114" s="15" cm="1" t="str">
        <f t="array" ref="N114">IF(OR(C114="",M114="",M114=0),"",M114)</f>
        <v/>
      </c>
      <c r="O114" s="17">
</c>
      <c r="P114" s="15" cm="1" t="str">
        <f t="array" ref="P114">IF(C114="","",IF(OR(O114="",O114=0),"-",O114))</f>
        <v/>
      </c>
      <c r="Q114" s="18">
</c>
      <c r="R114" s="16" cm="1" t="str">
        <f t="array" ref="R114">IF(C114="","",ROUND(Q114/1000000,3)&amp;" M€")</f>
        <v/>
      </c>
      <c r="S114" s="19">
</c>
      <c r="T114" s="9" cm="1" t="str">
        <f t="array" ref="T114">IF(C114="","",SUBSTITUTE(S114,"","")&amp;"%")</f>
        <v/>
      </c>
      <c r="U114" s="9" cm="1" t="str">
        <f t="array" ref="U114">IF(($N114="")*($P114=""),"",IF(($N114&lt;&gt;"")*($N114&gt;TODAY()-9)*($N114&lt;TODAY()+1)*($P114&lt;&gt;"")*($P114&gt;=TODAY())*($P114&lt;=TODAY()+13),"Semaine passée &amp; à venir",IF(($N114&lt;&gt;"")*($N114&gt;TODAY()-9)*($N114&lt;TODAY()+1),"Semaine passée",IF(($P114&lt;&gt;"")*($P114&gt;=TODAY())*($P114&lt;=TODAY()+13),"À venir","Autre"))))</f>
        <v/>
      </c>
      <c r="V114" s="8" cm="1" t="n">
        <f t="array" ref="V114">IF(C114&lt;&gt;"",1,0)</f>
        <v>0</v>
      </c>
      <c r="W114" s="8">
</c>
      <c r="X114" s="8">
</c>
      <c r="Y114" s="8">
</c>
      <c r="Z114" s="8">
</c>
      <c r="AA114" s="8">
</c>
      <c r="AB114" s="8">
</c>
      <c r="AC114" s="8">
</c>
      <c r="AD114" s="8">
</c>
      <c r="AE114" s="8">
</c>
      <c r="AF114" s="8">
</c>
      <c r="AG114" s="8">
</c>
      <c r="AH114" s="8">
</c>
      <c r="AI114" s="8">
</c>
      <c r="AJ114" s="8">
</c>
      <c r="AK114" s="8">
</c>
    </row>
    <row r="115" ht="76.5" customHeight="1">
      <c r="A115" s="8">
</c>
      <c r="B115" s="8">
</c>
      <c r="C115" s="8">
</c>
      <c r="D115" s="8">
</c>
      <c r="E115" s="8">
</c>
      <c r="F115" s="8">
</c>
      <c r="G115" s="13" cm="1" t="str">
        <f t="array" ref="G115">IF(F115="","",SUBSTITUTE(SUBSTITUTE(SUBSTITUTE(SUBSTITUTE(F115,"&lt;li&gt;",CHAR(10)),"&lt;/li&gt;",""),"&lt;br&gt;",CHAR(10)),"&lt;strong&gt;",""))</f>
        <v/>
      </c>
      <c r="H115" s="13" cm="1" t="str">
        <f t="array" ref="H115">IF(G115="","",SUBSTITUTE(SUBSTITUTE(SUBSTITUTE(SUBSTITUTE(SUBSTITUTE(G115,"&lt;p&gt;",""),"&lt;/p&gt;",""),"&lt;ul&gt;",""),"&lt;/ul&gt;",""),"&lt;/strong&gt;",""))</f>
        <v/>
      </c>
      <c r="I115" s="14" cm="1" t="str">
        <f t="array" ref="I115">IF(C115="","",IF(OR(H115="",H115=0,H115=FALSE),"-",H115))</f>
        <v/>
      </c>
      <c r="J115" s="8">
</c>
      <c r="K115" s="8">
</c>
      <c r="L115" s="9" cm="1" t="str">
        <f t="array" ref="L115">IF(C115="","",IF(K115="Mort / Plus rien à faire","KO","OK"))</f>
        <v/>
      </c>
      <c r="M115" s="17">
</c>
      <c r="N115" s="15" cm="1" t="str">
        <f t="array" ref="N115">IF(OR(C115="",M115="",M115=0),"",M115)</f>
        <v/>
      </c>
      <c r="O115" s="17">
</c>
      <c r="P115" s="15" cm="1" t="str">
        <f t="array" ref="P115">IF(C115="","",IF(OR(O115="",O115=0),"-",O115))</f>
        <v/>
      </c>
      <c r="Q115" s="18">
</c>
      <c r="R115" s="16" cm="1" t="str">
        <f t="array" ref="R115">IF(C115="","",ROUND(Q115/1000000,3)&amp;" M€")</f>
        <v/>
      </c>
      <c r="S115" s="19">
</c>
      <c r="T115" s="9" cm="1" t="str">
        <f t="array" ref="T115">IF(C115="","",SUBSTITUTE(S115,"","")&amp;"%")</f>
        <v/>
      </c>
      <c r="U115" s="9" cm="1" t="str">
        <f t="array" ref="U115">IF(($N115="")*($P115=""),"",IF(($N115&lt;&gt;"")*($N115&gt;TODAY()-9)*($N115&lt;TODAY()+1)*($P115&lt;&gt;"")*($P115&gt;=TODAY())*($P115&lt;=TODAY()+13),"Semaine passée &amp; à venir",IF(($N115&lt;&gt;"")*($N115&gt;TODAY()-9)*($N115&lt;TODAY()+1),"Semaine passée",IF(($P115&lt;&gt;"")*($P115&gt;=TODAY())*($P115&lt;=TODAY()+13),"À venir","Autre"))))</f>
        <v/>
      </c>
      <c r="V115" s="8" cm="1" t="n">
        <f t="array" ref="V115">IF(C115&lt;&gt;"",1,0)</f>
        <v>0</v>
      </c>
      <c r="W115" s="8">
</c>
      <c r="X115" s="8">
</c>
      <c r="Y115" s="8">
</c>
      <c r="Z115" s="8">
</c>
      <c r="AA115" s="8">
</c>
      <c r="AB115" s="8">
</c>
      <c r="AC115" s="8">
</c>
      <c r="AD115" s="8">
</c>
      <c r="AE115" s="8">
</c>
      <c r="AF115" s="8">
</c>
      <c r="AG115" s="8">
</c>
      <c r="AH115" s="8">
</c>
      <c r="AI115" s="8">
</c>
      <c r="AJ115" s="8">
</c>
      <c r="AK115" s="8">
</c>
    </row>
    <row r="116" ht="76.5" customHeight="1">
      <c r="A116" s="8">
</c>
      <c r="B116" s="8">
</c>
      <c r="C116" s="8">
</c>
      <c r="D116" s="8">
</c>
      <c r="E116" s="8">
</c>
      <c r="F116" s="8">
</c>
      <c r="G116" s="13" cm="1" t="str">
        <f t="array" ref="G116">IF(F116="","",SUBSTITUTE(SUBSTITUTE(SUBSTITUTE(SUBSTITUTE(F116,"&lt;li&gt;",CHAR(10)),"&lt;/li&gt;",""),"&lt;br&gt;",CHAR(10)),"&lt;strong&gt;",""))</f>
        <v/>
      </c>
      <c r="H116" s="13" cm="1" t="str">
        <f t="array" ref="H116">IF(G116="","",SUBSTITUTE(SUBSTITUTE(SUBSTITUTE(SUBSTITUTE(SUBSTITUTE(G116,"&lt;p&gt;",""),"&lt;/p&gt;",""),"&lt;ul&gt;",""),"&lt;/ul&gt;",""),"&lt;/strong&gt;",""))</f>
        <v/>
      </c>
      <c r="I116" s="14" cm="1" t="str">
        <f t="array" ref="I116">IF(C116="","",IF(OR(H116="",H116=0,H116=FALSE),"-",H116))</f>
        <v/>
      </c>
      <c r="J116" s="8">
</c>
      <c r="K116" s="8">
</c>
      <c r="L116" s="9" cm="1" t="str">
        <f t="array" ref="L116">IF(C116="","",IF(K116="Mort / Plus rien à faire","KO","OK"))</f>
        <v/>
      </c>
      <c r="M116" s="17">
</c>
      <c r="N116" s="15" cm="1" t="str">
        <f t="array" ref="N116">IF(OR(C116="",M116="",M116=0),"",M116)</f>
        <v/>
      </c>
      <c r="O116" s="17">
</c>
      <c r="P116" s="15" cm="1" t="str">
        <f t="array" ref="P116">IF(C116="","",IF(OR(O116="",O116=0),"-",O116))</f>
        <v/>
      </c>
      <c r="Q116" s="18">
</c>
      <c r="R116" s="16" cm="1" t="str">
        <f t="array" ref="R116">IF(C116="","",ROUND(Q116/1000000,3)&amp;" M€")</f>
        <v/>
      </c>
      <c r="S116" s="19">
</c>
      <c r="T116" s="9" cm="1" t="str">
        <f t="array" ref="T116">IF(C116="","",SUBSTITUTE(S116,"","")&amp;"%")</f>
        <v/>
      </c>
      <c r="U116" s="9" cm="1" t="str">
        <f t="array" ref="U116">IF(($N116="")*($P116=""),"",IF(($N116&lt;&gt;"")*($N116&gt;TODAY()-9)*($N116&lt;TODAY()+1)*($P116&lt;&gt;"")*($P116&gt;=TODAY())*($P116&lt;=TODAY()+13),"Semaine passée &amp; à venir",IF(($N116&lt;&gt;"")*($N116&gt;TODAY()-9)*($N116&lt;TODAY()+1),"Semaine passée",IF(($P116&lt;&gt;"")*($P116&gt;=TODAY())*($P116&lt;=TODAY()+13),"À venir","Autre"))))</f>
        <v/>
      </c>
      <c r="V116" s="8" cm="1" t="n">
        <f t="array" ref="V116">IF(C116&lt;&gt;"",1,0)</f>
        <v>0</v>
      </c>
      <c r="W116" s="8">
</c>
      <c r="X116" s="8">
</c>
      <c r="Y116" s="8">
</c>
      <c r="Z116" s="8">
</c>
      <c r="AA116" s="8">
</c>
      <c r="AB116" s="8">
</c>
      <c r="AC116" s="8">
</c>
      <c r="AD116" s="8">
</c>
      <c r="AE116" s="8">
</c>
      <c r="AF116" s="8">
</c>
      <c r="AG116" s="8">
</c>
      <c r="AH116" s="8">
</c>
      <c r="AI116" s="8">
</c>
      <c r="AJ116" s="8">
</c>
      <c r="AK116" s="8">
</c>
    </row>
    <row r="117" ht="76.5" customHeight="1">
      <c r="A117" s="8">
</c>
      <c r="B117" s="8">
</c>
      <c r="C117" s="8">
</c>
      <c r="D117" s="8">
</c>
      <c r="E117" s="8">
</c>
      <c r="F117" s="8">
</c>
      <c r="G117" s="13" cm="1" t="str">
        <f t="array" ref="G117">IF(F117="","",SUBSTITUTE(SUBSTITUTE(SUBSTITUTE(SUBSTITUTE(F117,"&lt;li&gt;",CHAR(10)),"&lt;/li&gt;",""),"&lt;br&gt;",CHAR(10)),"&lt;strong&gt;",""))</f>
        <v/>
      </c>
      <c r="H117" s="13" cm="1" t="str">
        <f t="array" ref="H117">IF(G117="","",SUBSTITUTE(SUBSTITUTE(SUBSTITUTE(SUBSTITUTE(SUBSTITUTE(G117,"&lt;p&gt;",""),"&lt;/p&gt;",""),"&lt;ul&gt;",""),"&lt;/ul&gt;",""),"&lt;/strong&gt;",""))</f>
        <v/>
      </c>
      <c r="I117" s="14" cm="1" t="str">
        <f t="array" ref="I117">IF(C117="","",IF(OR(H117="",H117=0,H117=FALSE),"-",H117))</f>
        <v/>
      </c>
      <c r="J117" s="8">
</c>
      <c r="K117" s="8">
</c>
      <c r="L117" s="9" cm="1" t="str">
        <f t="array" ref="L117">IF(C117="","",IF(K117="Mort / Plus rien à faire","KO","OK"))</f>
        <v/>
      </c>
      <c r="M117" s="17">
</c>
      <c r="N117" s="15" cm="1" t="str">
        <f t="array" ref="N117">IF(OR(C117="",M117="",M117=0),"",M117)</f>
        <v/>
      </c>
      <c r="O117" s="17">
</c>
      <c r="P117" s="15" cm="1" t="str">
        <f t="array" ref="P117">IF(C117="","",IF(OR(O117="",O117=0),"-",O117))</f>
        <v/>
      </c>
      <c r="Q117" s="18">
</c>
      <c r="R117" s="16" cm="1" t="str">
        <f t="array" ref="R117">IF(C117="","",ROUND(Q117/1000000,3)&amp;" M€")</f>
        <v/>
      </c>
      <c r="S117" s="19">
</c>
      <c r="T117" s="9" cm="1" t="str">
        <f t="array" ref="T117">IF(C117="","",SUBSTITUTE(S117,"","")&amp;"%")</f>
        <v/>
      </c>
      <c r="U117" s="9" cm="1" t="str">
        <f t="array" ref="U117">IF(($N117="")*($P117=""),"",IF(($N117&lt;&gt;"")*($N117&gt;TODAY()-9)*($N117&lt;TODAY()+1)*($P117&lt;&gt;"")*($P117&gt;=TODAY())*($P117&lt;=TODAY()+13),"Semaine passée &amp; à venir",IF(($N117&lt;&gt;"")*($N117&gt;TODAY()-9)*($N117&lt;TODAY()+1),"Semaine passée",IF(($P117&lt;&gt;"")*($P117&gt;=TODAY())*($P117&lt;=TODAY()+13),"À venir","Autre"))))</f>
        <v/>
      </c>
      <c r="V117" s="8" cm="1" t="n">
        <f t="array" ref="V117">IF(C117&lt;&gt;"",1,0)</f>
        <v>0</v>
      </c>
      <c r="W117" s="8">
</c>
      <c r="X117" s="8">
</c>
      <c r="Y117" s="8">
</c>
      <c r="Z117" s="8">
</c>
      <c r="AA117" s="8">
</c>
      <c r="AB117" s="8">
</c>
      <c r="AC117" s="8">
</c>
      <c r="AD117" s="8">
</c>
      <c r="AE117" s="8">
</c>
      <c r="AF117" s="8">
</c>
      <c r="AG117" s="8">
</c>
      <c r="AH117" s="8">
</c>
      <c r="AI117" s="8">
</c>
      <c r="AJ117" s="8">
</c>
      <c r="AK117" s="8">
</c>
    </row>
    <row r="118" ht="76.5" customHeight="1">
      <c r="A118" s="8">
</c>
      <c r="B118" s="8">
</c>
      <c r="C118" s="8">
</c>
      <c r="D118" s="8">
</c>
      <c r="E118" s="8">
</c>
      <c r="F118" s="8">
</c>
      <c r="G118" s="13" cm="1" t="str">
        <f t="array" ref="G118">IF(F118="","",SUBSTITUTE(SUBSTITUTE(SUBSTITUTE(SUBSTITUTE(F118,"&lt;li&gt;",CHAR(10)),"&lt;/li&gt;",""),"&lt;br&gt;",CHAR(10)),"&lt;strong&gt;",""))</f>
        <v/>
      </c>
      <c r="H118" s="13" cm="1" t="str">
        <f t="array" ref="H118">IF(G118="","",SUBSTITUTE(SUBSTITUTE(SUBSTITUTE(SUBSTITUTE(SUBSTITUTE(G118,"&lt;p&gt;",""),"&lt;/p&gt;",""),"&lt;ul&gt;",""),"&lt;/ul&gt;",""),"&lt;/strong&gt;",""))</f>
        <v/>
      </c>
      <c r="I118" s="14" cm="1" t="str">
        <f t="array" ref="I118">IF(C118="","",IF(OR(H118="",H118=0,H118=FALSE),"-",H118))</f>
        <v/>
      </c>
      <c r="J118" s="8">
</c>
      <c r="K118" s="8">
</c>
      <c r="L118" s="9" cm="1" t="str">
        <f t="array" ref="L118">IF(C118="","",IF(K118="Mort / Plus rien à faire","KO","OK"))</f>
        <v/>
      </c>
      <c r="M118" s="17">
</c>
      <c r="N118" s="15" cm="1" t="str">
        <f t="array" ref="N118">IF(OR(C118="",M118="",M118=0),"",M118)</f>
        <v/>
      </c>
      <c r="O118" s="17">
</c>
      <c r="P118" s="15" cm="1" t="str">
        <f t="array" ref="P118">IF(C118="","",IF(OR(O118="",O118=0),"-",O118))</f>
        <v/>
      </c>
      <c r="Q118" s="18">
</c>
      <c r="R118" s="16" cm="1" t="str">
        <f t="array" ref="R118">IF(C118="","",ROUND(Q118/1000000,3)&amp;" M€")</f>
        <v/>
      </c>
      <c r="S118" s="19">
</c>
      <c r="T118" s="9" cm="1" t="str">
        <f t="array" ref="T118">IF(C118="","",SUBSTITUTE(S118,"","")&amp;"%")</f>
        <v/>
      </c>
      <c r="U118" s="9" cm="1" t="str">
        <f t="array" ref="U118">IF(($N118="")*($P118=""),"",IF(($N118&lt;&gt;"")*($N118&gt;TODAY()-9)*($N118&lt;TODAY()+1)*($P118&lt;&gt;"")*($P118&gt;=TODAY())*($P118&lt;=TODAY()+13),"Semaine passée &amp; à venir",IF(($N118&lt;&gt;"")*($N118&gt;TODAY()-9)*($N118&lt;TODAY()+1),"Semaine passée",IF(($P118&lt;&gt;"")*($P118&gt;=TODAY())*($P118&lt;=TODAY()+13),"À venir","Autre"))))</f>
        <v/>
      </c>
      <c r="V118" s="8" cm="1" t="n">
        <f t="array" ref="V118">IF(C118&lt;&gt;"",1,0)</f>
        <v>0</v>
      </c>
      <c r="W118" s="8">
</c>
      <c r="X118" s="8">
</c>
      <c r="Y118" s="8">
</c>
      <c r="Z118" s="8">
</c>
      <c r="AA118" s="8">
</c>
      <c r="AB118" s="8">
</c>
      <c r="AC118" s="8">
</c>
      <c r="AD118" s="8">
</c>
      <c r="AE118" s="8">
</c>
      <c r="AF118" s="8">
</c>
      <c r="AG118" s="8">
</c>
      <c r="AH118" s="8">
</c>
      <c r="AI118" s="8">
</c>
      <c r="AJ118" s="8">
</c>
      <c r="AK118" s="8">
</c>
    </row>
    <row r="119" ht="76.5" customHeight="1">
      <c r="A119" s="8">
</c>
      <c r="B119" s="8">
</c>
      <c r="C119" s="8">
</c>
      <c r="D119" s="8">
</c>
      <c r="E119" s="8">
</c>
      <c r="F119" s="8">
</c>
      <c r="G119" s="13" cm="1" t="str">
        <f t="array" ref="G119">IF(F119="","",SUBSTITUTE(SUBSTITUTE(SUBSTITUTE(SUBSTITUTE(F119,"&lt;li&gt;",CHAR(10)),"&lt;/li&gt;",""),"&lt;br&gt;",CHAR(10)),"&lt;strong&gt;",""))</f>
        <v/>
      </c>
      <c r="H119" s="13" cm="1" t="str">
        <f t="array" ref="H119">IF(G119="","",SUBSTITUTE(SUBSTITUTE(SUBSTITUTE(SUBSTITUTE(SUBSTITUTE(G119,"&lt;p&gt;",""),"&lt;/p&gt;",""),"&lt;ul&gt;",""),"&lt;/ul&gt;",""),"&lt;/strong&gt;",""))</f>
        <v/>
      </c>
      <c r="I119" s="14" cm="1" t="str">
        <f t="array" ref="I119">IF(C119="","",IF(OR(H119="",H119=0,H119=FALSE),"-",H119))</f>
        <v/>
      </c>
      <c r="J119" s="8">
</c>
      <c r="K119" s="8">
</c>
      <c r="L119" s="9" cm="1" t="str">
        <f t="array" ref="L119">IF(C119="","",IF(K119="Mort / Plus rien à faire","KO","OK"))</f>
        <v/>
      </c>
      <c r="M119" s="17">
</c>
      <c r="N119" s="15" cm="1" t="str">
        <f t="array" ref="N119">IF(OR(C119="",M119="",M119=0),"",M119)</f>
        <v/>
      </c>
      <c r="O119" s="17">
</c>
      <c r="P119" s="15" cm="1" t="str">
        <f t="array" ref="P119">IF(C119="","",IF(OR(O119="",O119=0),"-",O119))</f>
        <v/>
      </c>
      <c r="Q119" s="18">
</c>
      <c r="R119" s="16" cm="1" t="str">
        <f t="array" ref="R119">IF(C119="","",ROUND(Q119/1000000,3)&amp;" M€")</f>
        <v/>
      </c>
      <c r="S119" s="19">
</c>
      <c r="T119" s="9" cm="1" t="str">
        <f t="array" ref="T119">IF(C119="","",SUBSTITUTE(S119,"","")&amp;"%")</f>
        <v/>
      </c>
      <c r="U119" s="9" cm="1" t="str">
        <f t="array" ref="U119">IF(($N119="")*($P119=""),"",IF(($N119&lt;&gt;"")*($N119&gt;TODAY()-9)*($N119&lt;TODAY()+1)*($P119&lt;&gt;"")*($P119&gt;=TODAY())*($P119&lt;=TODAY()+13),"Semaine passée &amp; à venir",IF(($N119&lt;&gt;"")*($N119&gt;TODAY()-9)*($N119&lt;TODAY()+1),"Semaine passée",IF(($P119&lt;&gt;"")*($P119&gt;=TODAY())*($P119&lt;=TODAY()+13),"À venir","Autre"))))</f>
        <v/>
      </c>
      <c r="V119" s="8" cm="1" t="n">
        <f t="array" ref="V119">IF(C119&lt;&gt;"",1,0)</f>
        <v>0</v>
      </c>
      <c r="W119" s="8">
</c>
      <c r="X119" s="8">
</c>
      <c r="Y119" s="8">
</c>
      <c r="Z119" s="8">
</c>
      <c r="AA119" s="8">
</c>
      <c r="AB119" s="8">
</c>
      <c r="AC119" s="8">
</c>
      <c r="AD119" s="8">
</c>
      <c r="AE119" s="8">
</c>
      <c r="AF119" s="8">
</c>
      <c r="AG119" s="8">
</c>
      <c r="AH119" s="8">
</c>
      <c r="AI119" s="8">
</c>
      <c r="AJ119" s="8">
</c>
      <c r="AK119" s="8">
</c>
    </row>
    <row r="120" ht="76.5" customHeight="1">
      <c r="A120" s="8">
</c>
      <c r="B120" s="8">
</c>
      <c r="C120" s="8">
</c>
      <c r="D120" s="8">
</c>
      <c r="E120" s="8">
</c>
      <c r="F120" s="8">
</c>
      <c r="G120" s="13" cm="1" t="str">
        <f t="array" ref="G120">IF(F120="","",SUBSTITUTE(SUBSTITUTE(SUBSTITUTE(SUBSTITUTE(F120,"&lt;li&gt;",CHAR(10)),"&lt;/li&gt;",""),"&lt;br&gt;",CHAR(10)),"&lt;strong&gt;",""))</f>
        <v/>
      </c>
      <c r="H120" s="13" cm="1" t="str">
        <f t="array" ref="H120">IF(G120="","",SUBSTITUTE(SUBSTITUTE(SUBSTITUTE(SUBSTITUTE(SUBSTITUTE(G120,"&lt;p&gt;",""),"&lt;/p&gt;",""),"&lt;ul&gt;",""),"&lt;/ul&gt;",""),"&lt;/strong&gt;",""))</f>
        <v/>
      </c>
      <c r="I120" s="14" cm="1" t="str">
        <f t="array" ref="I120">IF(C120="","",IF(OR(H120="",H120=0,H120=FALSE),"-",H120))</f>
        <v/>
      </c>
      <c r="J120" s="8">
</c>
      <c r="K120" s="8">
</c>
      <c r="L120" s="9" cm="1" t="str">
        <f t="array" ref="L120">IF(C120="","",IF(K120="Mort / Plus rien à faire","KO","OK"))</f>
        <v/>
      </c>
      <c r="M120" s="17">
</c>
      <c r="N120" s="15" cm="1" t="str">
        <f t="array" ref="N120">IF(OR(C120="",M120="",M120=0),"",M120)</f>
        <v/>
      </c>
      <c r="O120" s="17">
</c>
      <c r="P120" s="15" cm="1" t="str">
        <f t="array" ref="P120">IF(C120="","",IF(OR(O120="",O120=0),"-",O120))</f>
        <v/>
      </c>
      <c r="Q120" s="18">
</c>
      <c r="R120" s="16" cm="1" t="str">
        <f t="array" ref="R120">IF(C120="","",ROUND(Q120/1000000,3)&amp;" M€")</f>
        <v/>
      </c>
      <c r="S120" s="19">
</c>
      <c r="T120" s="9" cm="1" t="str">
        <f t="array" ref="T120">IF(C120="","",SUBSTITUTE(S120,"","")&amp;"%")</f>
        <v/>
      </c>
      <c r="U120" s="9" cm="1" t="str">
        <f t="array" ref="U120">IF(($N120="")*($P120=""),"",IF(($N120&lt;&gt;"")*($N120&gt;TODAY()-9)*($N120&lt;TODAY()+1)*($P120&lt;&gt;"")*($P120&gt;=TODAY())*($P120&lt;=TODAY()+13),"Semaine passée &amp; à venir",IF(($N120&lt;&gt;"")*($N120&gt;TODAY()-9)*($N120&lt;TODAY()+1),"Semaine passée",IF(($P120&lt;&gt;"")*($P120&gt;=TODAY())*($P120&lt;=TODAY()+13),"À venir","Autre"))))</f>
        <v/>
      </c>
      <c r="V120" s="8" cm="1" t="n">
        <f t="array" ref="V120">IF(C120&lt;&gt;"",1,0)</f>
        <v>0</v>
      </c>
      <c r="W120" s="8">
</c>
      <c r="X120" s="8">
</c>
      <c r="Y120" s="8">
</c>
      <c r="Z120" s="8">
</c>
      <c r="AA120" s="8">
</c>
      <c r="AB120" s="8">
</c>
      <c r="AC120" s="8">
</c>
      <c r="AD120" s="8">
</c>
      <c r="AE120" s="8">
</c>
      <c r="AF120" s="8">
</c>
      <c r="AG120" s="8">
</c>
      <c r="AH120" s="8">
</c>
      <c r="AI120" s="8">
</c>
      <c r="AJ120" s="8">
</c>
      <c r="AK120" s="8">
</c>
    </row>
    <row r="121" ht="76.5" customHeight="1">
      <c r="A121" s="8">
</c>
      <c r="B121" s="8">
</c>
      <c r="C121" s="8">
</c>
      <c r="D121" s="8">
</c>
      <c r="E121" s="8">
</c>
      <c r="F121" s="8">
</c>
      <c r="G121" s="13" cm="1" t="str">
        <f t="array" ref="G121">IF(F121="","",SUBSTITUTE(SUBSTITUTE(SUBSTITUTE(SUBSTITUTE(F121,"&lt;li&gt;",CHAR(10)),"&lt;/li&gt;",""),"&lt;br&gt;",CHAR(10)),"&lt;strong&gt;",""))</f>
        <v/>
      </c>
      <c r="H121" s="13" cm="1" t="str">
        <f t="array" ref="H121">IF(G121="","",SUBSTITUTE(SUBSTITUTE(SUBSTITUTE(SUBSTITUTE(SUBSTITUTE(G121,"&lt;p&gt;",""),"&lt;/p&gt;",""),"&lt;ul&gt;",""),"&lt;/ul&gt;",""),"&lt;/strong&gt;",""))</f>
        <v/>
      </c>
      <c r="I121" s="14" cm="1" t="str">
        <f t="array" ref="I121">IF(C121="","",IF(OR(H121="",H121=0,H121=FALSE),"-",H121))</f>
        <v/>
      </c>
      <c r="J121" s="8">
</c>
      <c r="K121" s="8">
</c>
      <c r="L121" s="9" cm="1" t="str">
        <f t="array" ref="L121">IF(C121="","",IF(K121="Mort / Plus rien à faire","KO","OK"))</f>
        <v/>
      </c>
      <c r="M121" s="17">
</c>
      <c r="N121" s="15" cm="1" t="str">
        <f t="array" ref="N121">IF(OR(C121="",M121="",M121=0),"",M121)</f>
        <v/>
      </c>
      <c r="O121" s="17">
</c>
      <c r="P121" s="15" cm="1" t="str">
        <f t="array" ref="P121">IF(C121="","",IF(OR(O121="",O121=0),"-",O121))</f>
        <v/>
      </c>
      <c r="Q121" s="18">
</c>
      <c r="R121" s="16" cm="1" t="str">
        <f t="array" ref="R121">IF(C121="","",ROUND(Q121/1000000,3)&amp;" M€")</f>
        <v/>
      </c>
      <c r="S121" s="19">
</c>
      <c r="T121" s="9" cm="1" t="str">
        <f t="array" ref="T121">IF(C121="","",SUBSTITUTE(S121,"","")&amp;"%")</f>
        <v/>
      </c>
      <c r="U121" s="9" cm="1" t="str">
        <f t="array" ref="U121">IF(($N121="")*($P121=""),"",IF(($N121&lt;&gt;"")*($N121&gt;TODAY()-9)*($N121&lt;TODAY()+1)*($P121&lt;&gt;"")*($P121&gt;=TODAY())*($P121&lt;=TODAY()+13),"Semaine passée &amp; à venir",IF(($N121&lt;&gt;"")*($N121&gt;TODAY()-9)*($N121&lt;TODAY()+1),"Semaine passée",IF(($P121&lt;&gt;"")*($P121&gt;=TODAY())*($P121&lt;=TODAY()+13),"À venir","Autre"))))</f>
        <v/>
      </c>
      <c r="V121" s="8" cm="1" t="n">
        <f t="array" ref="V121">IF(C121&lt;&gt;"",1,0)</f>
        <v>0</v>
      </c>
      <c r="W121" s="8">
</c>
      <c r="X121" s="8">
</c>
      <c r="Y121" s="8">
</c>
      <c r="Z121" s="8">
</c>
      <c r="AA121" s="8">
</c>
      <c r="AB121" s="8">
</c>
      <c r="AC121" s="8">
</c>
      <c r="AD121" s="8">
</c>
      <c r="AE121" s="8">
</c>
      <c r="AF121" s="8">
</c>
      <c r="AG121" s="8">
</c>
      <c r="AH121" s="8">
</c>
      <c r="AI121" s="8">
</c>
      <c r="AJ121" s="8">
</c>
      <c r="AK121" s="8">
</c>
    </row>
    <row r="122" ht="76.5" customHeight="1">
      <c r="A122" s="8">
</c>
      <c r="B122" s="8">
</c>
      <c r="C122" s="8">
</c>
      <c r="D122" s="8">
</c>
      <c r="E122" s="8">
</c>
      <c r="F122" s="8">
</c>
      <c r="G122" s="13" cm="1" t="str">
        <f t="array" ref="G122">IF(F122="","",SUBSTITUTE(SUBSTITUTE(SUBSTITUTE(SUBSTITUTE(F122,"&lt;li&gt;",CHAR(10)),"&lt;/li&gt;",""),"&lt;br&gt;",CHAR(10)),"&lt;strong&gt;",""))</f>
        <v/>
      </c>
      <c r="H122" s="13" cm="1" t="str">
        <f t="array" ref="H122">IF(G122="","",SUBSTITUTE(SUBSTITUTE(SUBSTITUTE(SUBSTITUTE(SUBSTITUTE(G122,"&lt;p&gt;",""),"&lt;/p&gt;",""),"&lt;ul&gt;",""),"&lt;/ul&gt;",""),"&lt;/strong&gt;",""))</f>
        <v/>
      </c>
      <c r="I122" s="14" cm="1" t="str">
        <f t="array" ref="I122">IF(C122="","",IF(OR(H122="",H122=0,H122=FALSE),"-",H122))</f>
        <v/>
      </c>
      <c r="J122" s="8">
</c>
      <c r="K122" s="8">
</c>
      <c r="L122" s="9" cm="1" t="str">
        <f t="array" ref="L122">IF(C122="","",IF(K122="Mort / Plus rien à faire","KO","OK"))</f>
        <v/>
      </c>
      <c r="M122" s="17">
</c>
      <c r="N122" s="15" cm="1" t="str">
        <f t="array" ref="N122">IF(OR(C122="",M122="",M122=0),"",M122)</f>
        <v/>
      </c>
      <c r="O122" s="17">
</c>
      <c r="P122" s="15" cm="1" t="str">
        <f t="array" ref="P122">IF(C122="","",IF(OR(O122="",O122=0),"-",O122))</f>
        <v/>
      </c>
      <c r="Q122" s="18">
</c>
      <c r="R122" s="16" cm="1" t="str">
        <f t="array" ref="R122">IF(C122="","",ROUND(Q122/1000000,3)&amp;" M€")</f>
        <v/>
      </c>
      <c r="S122" s="19">
</c>
      <c r="T122" s="9" cm="1" t="str">
        <f t="array" ref="T122">IF(C122="","",SUBSTITUTE(S122,"","")&amp;"%")</f>
        <v/>
      </c>
      <c r="U122" s="9" cm="1" t="str">
        <f t="array" ref="U122">IF(($N122="")*($P122=""),"",IF(($N122&lt;&gt;"")*($N122&gt;TODAY()-9)*($N122&lt;TODAY()+1)*($P122&lt;&gt;"")*($P122&gt;=TODAY())*($P122&lt;=TODAY()+13),"Semaine passée &amp; à venir",IF(($N122&lt;&gt;"")*($N122&gt;TODAY()-9)*($N122&lt;TODAY()+1),"Semaine passée",IF(($P122&lt;&gt;"")*($P122&gt;=TODAY())*($P122&lt;=TODAY()+13),"À venir","Autre"))))</f>
        <v/>
      </c>
      <c r="V122" s="8" cm="1" t="n">
        <f t="array" ref="V122">IF(C122&lt;&gt;"",1,0)</f>
        <v>0</v>
      </c>
      <c r="W122" s="8">
</c>
      <c r="X122" s="8">
</c>
      <c r="Y122" s="8">
</c>
      <c r="Z122" s="8">
</c>
      <c r="AA122" s="8">
</c>
      <c r="AB122" s="8">
</c>
      <c r="AC122" s="8">
</c>
      <c r="AD122" s="8">
</c>
      <c r="AE122" s="8">
</c>
      <c r="AF122" s="8">
</c>
      <c r="AG122" s="8">
</c>
      <c r="AH122" s="8">
</c>
      <c r="AI122" s="8">
</c>
      <c r="AJ122" s="8">
</c>
      <c r="AK122" s="8">
</c>
    </row>
    <row r="123" ht="76.5" customHeight="1">
      <c r="A123" s="8">
</c>
      <c r="B123" s="8">
</c>
      <c r="C123" s="8">
</c>
      <c r="D123" s="8">
</c>
      <c r="E123" s="8">
</c>
      <c r="F123" s="8">
</c>
      <c r="G123" s="13" cm="1" t="str">
        <f t="array" ref="G123">IF(F123="","",SUBSTITUTE(SUBSTITUTE(SUBSTITUTE(SUBSTITUTE(F123,"&lt;li&gt;",CHAR(10)),"&lt;/li&gt;",""),"&lt;br&gt;",CHAR(10)),"&lt;strong&gt;",""))</f>
        <v/>
      </c>
      <c r="H123" s="13" cm="1" t="str">
        <f t="array" ref="H123">IF(G123="","",SUBSTITUTE(SUBSTITUTE(SUBSTITUTE(SUBSTITUTE(SUBSTITUTE(G123,"&lt;p&gt;",""),"&lt;/p&gt;",""),"&lt;ul&gt;",""),"&lt;/ul&gt;",""),"&lt;/strong&gt;",""))</f>
        <v/>
      </c>
      <c r="I123" s="14" cm="1" t="str">
        <f t="array" ref="I123">IF(C123="","",IF(OR(H123="",H123=0,H123=FALSE),"-",H123))</f>
        <v/>
      </c>
      <c r="J123" s="8">
</c>
      <c r="K123" s="8">
</c>
      <c r="L123" s="9" cm="1" t="str">
        <f t="array" ref="L123">IF(C123="","",IF(K123="Mort / Plus rien à faire","KO","OK"))</f>
        <v/>
      </c>
      <c r="M123" s="17">
</c>
      <c r="N123" s="15" cm="1" t="str">
        <f t="array" ref="N123">IF(OR(C123="",M123="",M123=0),"",M123)</f>
        <v/>
      </c>
      <c r="O123" s="17">
</c>
      <c r="P123" s="15" cm="1" t="str">
        <f t="array" ref="P123">IF(C123="","",IF(OR(O123="",O123=0),"-",O123))</f>
        <v/>
      </c>
      <c r="Q123" s="18">
</c>
      <c r="R123" s="16" cm="1" t="str">
        <f t="array" ref="R123">IF(C123="","",ROUND(Q123/1000000,3)&amp;" M€")</f>
        <v/>
      </c>
      <c r="S123" s="19">
</c>
      <c r="T123" s="9" cm="1" t="str">
        <f t="array" ref="T123">IF(C123="","",SUBSTITUTE(S123,"","")&amp;"%")</f>
        <v/>
      </c>
      <c r="U123" s="9" cm="1" t="str">
        <f t="array" ref="U123">IF(($N123="")*($P123=""),"",IF(($N123&lt;&gt;"")*($N123&gt;TODAY()-9)*($N123&lt;TODAY()+1)*($P123&lt;&gt;"")*($P123&gt;=TODAY())*($P123&lt;=TODAY()+13),"Semaine passée &amp; à venir",IF(($N123&lt;&gt;"")*($N123&gt;TODAY()-9)*($N123&lt;TODAY()+1),"Semaine passée",IF(($P123&lt;&gt;"")*($P123&gt;=TODAY())*($P123&lt;=TODAY()+13),"À venir","Autre"))))</f>
        <v/>
      </c>
      <c r="V123" s="8" cm="1" t="n">
        <f t="array" ref="V123">IF(C123&lt;&gt;"",1,0)</f>
        <v>0</v>
      </c>
      <c r="W123" s="8">
</c>
      <c r="X123" s="8">
</c>
      <c r="Y123" s="8">
</c>
      <c r="Z123" s="8">
</c>
      <c r="AA123" s="8">
</c>
      <c r="AB123" s="8">
</c>
      <c r="AC123" s="8">
</c>
      <c r="AD123" s="8">
</c>
      <c r="AE123" s="8">
</c>
      <c r="AF123" s="8">
</c>
      <c r="AG123" s="8">
</c>
      <c r="AH123" s="8">
</c>
      <c r="AI123" s="8">
</c>
      <c r="AJ123" s="8">
</c>
      <c r="AK123" s="8">
</c>
    </row>
    <row r="124" ht="76.5" customHeight="1">
      <c r="A124" s="8">
</c>
      <c r="B124" s="8">
</c>
      <c r="C124" s="8">
</c>
      <c r="D124" s="8">
</c>
      <c r="E124" s="8">
</c>
      <c r="F124" s="8">
</c>
      <c r="G124" s="13" cm="1" t="str">
        <f t="array" ref="G124">IF(F124="","",SUBSTITUTE(SUBSTITUTE(SUBSTITUTE(SUBSTITUTE(F124,"&lt;li&gt;",CHAR(10)),"&lt;/li&gt;",""),"&lt;br&gt;",CHAR(10)),"&lt;strong&gt;",""))</f>
        <v/>
      </c>
      <c r="H124" s="13" cm="1" t="str">
        <f t="array" ref="H124">IF(G124="","",SUBSTITUTE(SUBSTITUTE(SUBSTITUTE(SUBSTITUTE(SUBSTITUTE(G124,"&lt;p&gt;",""),"&lt;/p&gt;",""),"&lt;ul&gt;",""),"&lt;/ul&gt;",""),"&lt;/strong&gt;",""))</f>
        <v/>
      </c>
      <c r="I124" s="14" cm="1" t="str">
        <f t="array" ref="I124">IF(C124="","",IF(OR(H124="",H124=0,H124=FALSE),"-",H124))</f>
        <v/>
      </c>
      <c r="J124" s="8">
</c>
      <c r="K124" s="8">
</c>
      <c r="L124" s="9" cm="1" t="str">
        <f t="array" ref="L124">IF(C124="","",IF(K124="Mort / Plus rien à faire","KO","OK"))</f>
        <v/>
      </c>
      <c r="M124" s="17">
</c>
      <c r="N124" s="15" cm="1" t="str">
        <f t="array" ref="N124">IF(OR(C124="",M124="",M124=0),"",M124)</f>
        <v/>
      </c>
      <c r="O124" s="17">
</c>
      <c r="P124" s="15" cm="1" t="str">
        <f t="array" ref="P124">IF(C124="","",IF(OR(O124="",O124=0),"-",O124))</f>
        <v/>
      </c>
      <c r="Q124" s="18">
</c>
      <c r="R124" s="16" cm="1" t="str">
        <f t="array" ref="R124">IF(C124="","",ROUND(Q124/1000000,3)&amp;" M€")</f>
        <v/>
      </c>
      <c r="S124" s="19">
</c>
      <c r="T124" s="9" cm="1" t="str">
        <f t="array" ref="T124">IF(C124="","",SUBSTITUTE(S124,"","")&amp;"%")</f>
        <v/>
      </c>
      <c r="U124" s="9" cm="1" t="str">
        <f t="array" ref="U124">IF(($N124="")*($P124=""),"",IF(($N124&lt;&gt;"")*($N124&gt;TODAY()-9)*($N124&lt;TODAY()+1)*($P124&lt;&gt;"")*($P124&gt;=TODAY())*($P124&lt;=TODAY()+13),"Semaine passée &amp; à venir",IF(($N124&lt;&gt;"")*($N124&gt;TODAY()-9)*($N124&lt;TODAY()+1),"Semaine passée",IF(($P124&lt;&gt;"")*($P124&gt;=TODAY())*($P124&lt;=TODAY()+13),"À venir","Autre"))))</f>
        <v/>
      </c>
      <c r="V124" s="8" cm="1" t="n">
        <f t="array" ref="V124">IF(C124&lt;&gt;"",1,0)</f>
        <v>0</v>
      </c>
      <c r="W124" s="8">
</c>
      <c r="X124" s="8">
</c>
      <c r="Y124" s="8">
</c>
      <c r="Z124" s="8">
</c>
      <c r="AA124" s="8">
</c>
      <c r="AB124" s="8">
</c>
      <c r="AC124" s="8">
</c>
      <c r="AD124" s="8">
</c>
      <c r="AE124" s="8">
</c>
      <c r="AF124" s="8">
</c>
      <c r="AG124" s="8">
</c>
      <c r="AH124" s="8">
</c>
      <c r="AI124" s="8">
</c>
      <c r="AJ124" s="8">
</c>
      <c r="AK124" s="8">
</c>
    </row>
    <row r="125" ht="76.5" customHeight="1">
      <c r="A125" s="8">
</c>
      <c r="B125" s="8">
</c>
      <c r="C125" s="8">
</c>
      <c r="D125" s="8">
</c>
      <c r="E125" s="8">
</c>
      <c r="F125" s="8">
</c>
      <c r="G125" s="13" cm="1" t="str">
        <f t="array" ref="G125">IF(F125="","",SUBSTITUTE(SUBSTITUTE(SUBSTITUTE(SUBSTITUTE(F125,"&lt;li&gt;",CHAR(10)),"&lt;/li&gt;",""),"&lt;br&gt;",CHAR(10)),"&lt;strong&gt;",""))</f>
        <v/>
      </c>
      <c r="H125" s="13" cm="1" t="str">
        <f t="array" ref="H125">IF(G125="","",SUBSTITUTE(SUBSTITUTE(SUBSTITUTE(SUBSTITUTE(SUBSTITUTE(G125,"&lt;p&gt;",""),"&lt;/p&gt;",""),"&lt;ul&gt;",""),"&lt;/ul&gt;",""),"&lt;/strong&gt;",""))</f>
        <v/>
      </c>
      <c r="I125" s="14" cm="1" t="str">
        <f t="array" ref="I125">IF(C125="","",IF(OR(H125="",H125=0,H125=FALSE),"-",H125))</f>
        <v/>
      </c>
      <c r="J125" s="8">
</c>
      <c r="K125" s="8">
</c>
      <c r="L125" s="9" cm="1" t="str">
        <f t="array" ref="L125">IF(C125="","",IF(K125="Mort / Plus rien à faire","KO","OK"))</f>
        <v/>
      </c>
      <c r="M125" s="17">
</c>
      <c r="N125" s="15" cm="1" t="str">
        <f t="array" ref="N125">IF(OR(C125="",M125="",M125=0),"",M125)</f>
        <v/>
      </c>
      <c r="O125" s="17">
</c>
      <c r="P125" s="15" cm="1" t="str">
        <f t="array" ref="P125">IF(C125="","",IF(OR(O125="",O125=0),"-",O125))</f>
        <v/>
      </c>
      <c r="Q125" s="18">
</c>
      <c r="R125" s="16" cm="1" t="str">
        <f t="array" ref="R125">IF(C125="","",ROUND(Q125/1000000,3)&amp;" M€")</f>
        <v/>
      </c>
      <c r="S125" s="19">
</c>
      <c r="T125" s="9" cm="1" t="str">
        <f t="array" ref="T125">IF(C125="","",SUBSTITUTE(S125,"","")&amp;"%")</f>
        <v/>
      </c>
      <c r="U125" s="9" cm="1" t="str">
        <f t="array" ref="U125">IF(($N125="")*($P125=""),"",IF(($N125&lt;&gt;"")*($N125&gt;TODAY()-9)*($N125&lt;TODAY()+1)*($P125&lt;&gt;"")*($P125&gt;=TODAY())*($P125&lt;=TODAY()+13),"Semaine passée &amp; à venir",IF(($N125&lt;&gt;"")*($N125&gt;TODAY()-9)*($N125&lt;TODAY()+1),"Semaine passée",IF(($P125&lt;&gt;"")*($P125&gt;=TODAY())*($P125&lt;=TODAY()+13),"À venir","Autre"))))</f>
        <v/>
      </c>
      <c r="V125" s="8" cm="1" t="n">
        <f t="array" ref="V125">IF(C125&lt;&gt;"",1,0)</f>
        <v>0</v>
      </c>
      <c r="W125" s="8">
</c>
      <c r="X125" s="8">
</c>
      <c r="Y125" s="8">
</c>
      <c r="Z125" s="8">
</c>
      <c r="AA125" s="8">
</c>
      <c r="AB125" s="8">
</c>
      <c r="AC125" s="8">
</c>
      <c r="AD125" s="8">
</c>
      <c r="AE125" s="8">
</c>
      <c r="AF125" s="8">
</c>
      <c r="AG125" s="8">
</c>
      <c r="AH125" s="8">
</c>
      <c r="AI125" s="8">
</c>
      <c r="AJ125" s="8">
</c>
      <c r="AK125" s="8">
</c>
    </row>
    <row r="126" ht="76.5" customHeight="1">
      <c r="A126" s="8">
</c>
      <c r="B126" s="8">
</c>
      <c r="C126" s="8">
</c>
      <c r="D126" s="8">
</c>
      <c r="E126" s="8">
</c>
      <c r="F126" s="8">
</c>
      <c r="G126" s="13" cm="1" t="str">
        <f t="array" ref="G126">IF(F126="","",SUBSTITUTE(SUBSTITUTE(SUBSTITUTE(SUBSTITUTE(F126,"&lt;li&gt;",CHAR(10)),"&lt;/li&gt;",""),"&lt;br&gt;",CHAR(10)),"&lt;strong&gt;",""))</f>
        <v/>
      </c>
      <c r="H126" s="13" cm="1" t="str">
        <f t="array" ref="H126">IF(G126="","",SUBSTITUTE(SUBSTITUTE(SUBSTITUTE(SUBSTITUTE(SUBSTITUTE(G126,"&lt;p&gt;",""),"&lt;/p&gt;",""),"&lt;ul&gt;",""),"&lt;/ul&gt;",""),"&lt;/strong&gt;",""))</f>
        <v/>
      </c>
      <c r="I126" s="14" cm="1" t="str">
        <f t="array" ref="I126">IF(C126="","",IF(OR(H126="",H126=0,H126=FALSE),"-",H126))</f>
        <v/>
      </c>
      <c r="J126" s="8">
</c>
      <c r="K126" s="8">
</c>
      <c r="L126" s="9" cm="1" t="str">
        <f t="array" ref="L126">IF(C126="","",IF(K126="Mort / Plus rien à faire","KO","OK"))</f>
        <v/>
      </c>
      <c r="M126" s="17">
</c>
      <c r="N126" s="15" cm="1" t="str">
        <f t="array" ref="N126">IF(OR(C126="",M126="",M126=0),"",M126)</f>
        <v/>
      </c>
      <c r="O126" s="17">
</c>
      <c r="P126" s="15" cm="1" t="str">
        <f t="array" ref="P126">IF(C126="","",IF(OR(O126="",O126=0),"-",O126))</f>
        <v/>
      </c>
      <c r="Q126" s="18">
</c>
      <c r="R126" s="16" cm="1" t="str">
        <f t="array" ref="R126">IF(C126="","",ROUND(Q126/1000000,3)&amp;" M€")</f>
        <v/>
      </c>
      <c r="S126" s="19">
</c>
      <c r="T126" s="9" cm="1" t="str">
        <f t="array" ref="T126">IF(C126="","",SUBSTITUTE(S126,"","")&amp;"%")</f>
        <v/>
      </c>
      <c r="U126" s="9" cm="1" t="str">
        <f t="array" ref="U126">IF(($N126="")*($P126=""),"",IF(($N126&lt;&gt;"")*($N126&gt;TODAY()-9)*($N126&lt;TODAY()+1)*($P126&lt;&gt;"")*($P126&gt;=TODAY())*($P126&lt;=TODAY()+13),"Semaine passée &amp; à venir",IF(($N126&lt;&gt;"")*($N126&gt;TODAY()-9)*($N126&lt;TODAY()+1),"Semaine passée",IF(($P126&lt;&gt;"")*($P126&gt;=TODAY())*($P126&lt;=TODAY()+13),"À venir","Autre"))))</f>
        <v/>
      </c>
      <c r="V126" s="8" cm="1" t="n">
        <f t="array" ref="V126">IF(C126&lt;&gt;"",1,0)</f>
        <v>0</v>
      </c>
      <c r="W126" s="8">
</c>
      <c r="X126" s="8">
</c>
      <c r="Y126" s="8">
</c>
      <c r="Z126" s="8">
</c>
      <c r="AA126" s="8">
</c>
      <c r="AB126" s="8">
</c>
      <c r="AC126" s="8">
</c>
      <c r="AD126" s="8">
</c>
      <c r="AE126" s="8">
</c>
      <c r="AF126" s="8">
</c>
      <c r="AG126" s="8">
</c>
      <c r="AH126" s="8">
</c>
      <c r="AI126" s="8">
</c>
      <c r="AJ126" s="8">
</c>
      <c r="AK126" s="8">
</c>
    </row>
    <row r="127" ht="76.5" customHeight="1">
      <c r="A127" s="8">
</c>
      <c r="B127" s="8">
</c>
      <c r="C127" s="8">
</c>
      <c r="D127" s="8">
</c>
      <c r="E127" s="8">
</c>
      <c r="F127" s="8">
</c>
      <c r="G127" s="13" cm="1" t="str">
        <f t="array" ref="G127">IF(F127="","",SUBSTITUTE(SUBSTITUTE(SUBSTITUTE(SUBSTITUTE(F127,"&lt;li&gt;",CHAR(10)),"&lt;/li&gt;",""),"&lt;br&gt;",CHAR(10)),"&lt;strong&gt;",""))</f>
        <v/>
      </c>
      <c r="H127" s="13" cm="1" t="str">
        <f t="array" ref="H127">IF(G127="","",SUBSTITUTE(SUBSTITUTE(SUBSTITUTE(SUBSTITUTE(SUBSTITUTE(G127,"&lt;p&gt;",""),"&lt;/p&gt;",""),"&lt;ul&gt;",""),"&lt;/ul&gt;",""),"&lt;/strong&gt;",""))</f>
        <v/>
      </c>
      <c r="I127" s="14" cm="1" t="str">
        <f t="array" ref="I127">IF(C127="","",IF(OR(H127="",H127=0,H127=FALSE),"-",H127))</f>
        <v/>
      </c>
      <c r="J127" s="8">
</c>
      <c r="K127" s="8">
</c>
      <c r="L127" s="9" cm="1" t="str">
        <f t="array" ref="L127">IF(C127="","",IF(K127="Mort / Plus rien à faire","KO","OK"))</f>
        <v/>
      </c>
      <c r="M127" s="17">
</c>
      <c r="N127" s="15" cm="1" t="str">
        <f t="array" ref="N127">IF(OR(C127="",M127="",M127=0),"",M127)</f>
        <v/>
      </c>
      <c r="O127" s="17">
</c>
      <c r="P127" s="15" cm="1" t="str">
        <f t="array" ref="P127">IF(C127="","",IF(OR(O127="",O127=0),"-",O127))</f>
        <v/>
      </c>
      <c r="Q127" s="18">
</c>
      <c r="R127" s="16" cm="1" t="str">
        <f t="array" ref="R127">IF(C127="","",ROUND(Q127/1000000,3)&amp;" M€")</f>
        <v/>
      </c>
      <c r="S127" s="19">
</c>
      <c r="T127" s="9" cm="1" t="str">
        <f t="array" ref="T127">IF(C127="","",SUBSTITUTE(S127,"","")&amp;"%")</f>
        <v/>
      </c>
      <c r="U127" s="9" cm="1" t="str">
        <f t="array" ref="U127">IF(($N127="")*($P127=""),"",IF(($N127&lt;&gt;"")*($N127&gt;TODAY()-9)*($N127&lt;TODAY()+1)*($P127&lt;&gt;"")*($P127&gt;=TODAY())*($P127&lt;=TODAY()+13),"Semaine passée &amp; à venir",IF(($N127&lt;&gt;"")*($N127&gt;TODAY()-9)*($N127&lt;TODAY()+1),"Semaine passée",IF(($P127&lt;&gt;"")*($P127&gt;=TODAY())*($P127&lt;=TODAY()+13),"À venir","Autre"))))</f>
        <v/>
      </c>
      <c r="V127" s="8" cm="1" t="n">
        <f t="array" ref="V127">IF(C127&lt;&gt;"",1,0)</f>
        <v>0</v>
      </c>
      <c r="W127" s="8">
</c>
      <c r="X127" s="8">
</c>
      <c r="Y127" s="8">
</c>
      <c r="Z127" s="8">
</c>
      <c r="AA127" s="8">
</c>
      <c r="AB127" s="8">
</c>
      <c r="AC127" s="8">
</c>
      <c r="AD127" s="8">
</c>
      <c r="AE127" s="8">
</c>
      <c r="AF127" s="8">
</c>
      <c r="AG127" s="8">
</c>
      <c r="AH127" s="8">
</c>
      <c r="AI127" s="8">
</c>
      <c r="AJ127" s="8">
</c>
      <c r="AK127" s="8">
</c>
    </row>
    <row r="128" ht="76.5" customHeight="1">
      <c r="A128" s="8">
</c>
      <c r="B128" s="8">
</c>
      <c r="C128" s="8">
</c>
      <c r="D128" s="8">
</c>
      <c r="E128" s="8">
</c>
      <c r="F128" s="8">
</c>
      <c r="G128" s="13" cm="1" t="str">
        <f t="array" ref="G128">IF(F128="","",SUBSTITUTE(SUBSTITUTE(SUBSTITUTE(SUBSTITUTE(F128,"&lt;li&gt;",CHAR(10)),"&lt;/li&gt;",""),"&lt;br&gt;",CHAR(10)),"&lt;strong&gt;",""))</f>
        <v/>
      </c>
      <c r="H128" s="13" cm="1" t="str">
        <f t="array" ref="H128">IF(G128="","",SUBSTITUTE(SUBSTITUTE(SUBSTITUTE(SUBSTITUTE(SUBSTITUTE(G128,"&lt;p&gt;",""),"&lt;/p&gt;",""),"&lt;ul&gt;",""),"&lt;/ul&gt;",""),"&lt;/strong&gt;",""))</f>
        <v/>
      </c>
      <c r="I128" s="14" cm="1" t="str">
        <f t="array" ref="I128">IF(C128="","",IF(OR(H128="",H128=0,H128=FALSE),"-",H128))</f>
        <v/>
      </c>
      <c r="J128" s="8">
</c>
      <c r="K128" s="8">
</c>
      <c r="L128" s="9" cm="1" t="str">
        <f t="array" ref="L128">IF(C128="","",IF(K128="Mort / Plus rien à faire","KO","OK"))</f>
        <v/>
      </c>
      <c r="M128" s="17">
</c>
      <c r="N128" s="15" cm="1" t="str">
        <f t="array" ref="N128">IF(OR(C128="",M128="",M128=0),"",M128)</f>
        <v/>
      </c>
      <c r="O128" s="17">
</c>
      <c r="P128" s="15" cm="1" t="str">
        <f t="array" ref="P128">IF(C128="","",IF(OR(O128="",O128=0),"-",O128))</f>
        <v/>
      </c>
      <c r="Q128" s="18">
</c>
      <c r="R128" s="16" cm="1" t="str">
        <f t="array" ref="R128">IF(C128="","",ROUND(Q128/1000000,3)&amp;" M€")</f>
        <v/>
      </c>
      <c r="S128" s="19">
</c>
      <c r="T128" s="9" cm="1" t="str">
        <f t="array" ref="T128">IF(C128="","",SUBSTITUTE(S128,"","")&amp;"%")</f>
        <v/>
      </c>
      <c r="U128" s="9" cm="1" t="str">
        <f t="array" ref="U128">IF(($N128="")*($P128=""),"",IF(($N128&lt;&gt;"")*($N128&gt;TODAY()-9)*($N128&lt;TODAY()+1)*($P128&lt;&gt;"")*($P128&gt;=TODAY())*($P128&lt;=TODAY()+13),"Semaine passée &amp; à venir",IF(($N128&lt;&gt;"")*($N128&gt;TODAY()-9)*($N128&lt;TODAY()+1),"Semaine passée",IF(($P128&lt;&gt;"")*($P128&gt;=TODAY())*($P128&lt;=TODAY()+13),"À venir","Autre"))))</f>
        <v/>
      </c>
      <c r="V128" s="8" cm="1" t="n">
        <f t="array" ref="V128">IF(C128&lt;&gt;"",1,0)</f>
        <v>0</v>
      </c>
      <c r="W128" s="8">
</c>
      <c r="X128" s="8">
</c>
      <c r="Y128" s="8">
</c>
      <c r="Z128" s="8">
</c>
      <c r="AA128" s="8">
</c>
      <c r="AB128" s="8">
</c>
      <c r="AC128" s="8">
</c>
      <c r="AD128" s="8">
</c>
      <c r="AE128" s="8">
</c>
      <c r="AF128" s="8">
</c>
      <c r="AG128" s="8">
</c>
      <c r="AH128" s="8">
</c>
      <c r="AI128" s="8">
</c>
      <c r="AJ128" s="8">
</c>
      <c r="AK128" s="8">
</c>
    </row>
    <row r="129" ht="76.5" customHeight="1">
      <c r="A129" s="8">
</c>
      <c r="B129" s="8">
</c>
      <c r="C129" s="8">
</c>
      <c r="D129" s="8">
</c>
      <c r="E129" s="8">
</c>
      <c r="F129" s="8">
</c>
      <c r="G129" s="13" cm="1" t="str">
        <f t="array" ref="G129">IF(F129="","",SUBSTITUTE(SUBSTITUTE(SUBSTITUTE(SUBSTITUTE(F129,"&lt;li&gt;",CHAR(10)),"&lt;/li&gt;",""),"&lt;br&gt;",CHAR(10)),"&lt;strong&gt;",""))</f>
        <v/>
      </c>
      <c r="H129" s="13" cm="1" t="str">
        <f t="array" ref="H129">IF(G129="","",SUBSTITUTE(SUBSTITUTE(SUBSTITUTE(SUBSTITUTE(SUBSTITUTE(G129,"&lt;p&gt;",""),"&lt;/p&gt;",""),"&lt;ul&gt;",""),"&lt;/ul&gt;",""),"&lt;/strong&gt;",""))</f>
        <v/>
      </c>
      <c r="I129" s="14" cm="1" t="str">
        <f t="array" ref="I129">IF(C129="","",IF(OR(H129="",H129=0,H129=FALSE),"-",H129))</f>
        <v/>
      </c>
      <c r="J129" s="8">
</c>
      <c r="K129" s="8">
</c>
      <c r="L129" s="9" cm="1" t="str">
        <f t="array" ref="L129">IF(C129="","",IF(K129="Mort / Plus rien à faire","KO","OK"))</f>
        <v/>
      </c>
      <c r="M129" s="17">
</c>
      <c r="N129" s="15" cm="1" t="str">
        <f t="array" ref="N129">IF(OR(C129="",M129="",M129=0),"",M129)</f>
        <v/>
      </c>
      <c r="O129" s="17">
</c>
      <c r="P129" s="15" cm="1" t="str">
        <f t="array" ref="P129">IF(C129="","",IF(OR(O129="",O129=0),"-",O129))</f>
        <v/>
      </c>
      <c r="Q129" s="18">
</c>
      <c r="R129" s="16" cm="1" t="str">
        <f t="array" ref="R129">IF(C129="","",ROUND(Q129/1000000,3)&amp;" M€")</f>
        <v/>
      </c>
      <c r="S129" s="19">
</c>
      <c r="T129" s="9" cm="1" t="str">
        <f t="array" ref="T129">IF(C129="","",SUBSTITUTE(S129,"","")&amp;"%")</f>
        <v/>
      </c>
      <c r="U129" s="9" cm="1" t="str">
        <f t="array" ref="U129">IF(($N129="")*($P129=""),"",IF(($N129&lt;&gt;"")*($N129&gt;TODAY()-9)*($N129&lt;TODAY()+1)*($P129&lt;&gt;"")*($P129&gt;=TODAY())*($P129&lt;=TODAY()+13),"Semaine passée &amp; à venir",IF(($N129&lt;&gt;"")*($N129&gt;TODAY()-9)*($N129&lt;TODAY()+1),"Semaine passée",IF(($P129&lt;&gt;"")*($P129&gt;=TODAY())*($P129&lt;=TODAY()+13),"À venir","Autre"))))</f>
        <v/>
      </c>
      <c r="V129" s="8" cm="1" t="n">
        <f t="array" ref="V129">IF(C129&lt;&gt;"",1,0)</f>
        <v>0</v>
      </c>
      <c r="W129" s="8">
</c>
      <c r="X129" s="8">
</c>
      <c r="Y129" s="8">
</c>
      <c r="Z129" s="8">
</c>
      <c r="AA129" s="8">
</c>
      <c r="AB129" s="8">
</c>
      <c r="AC129" s="8">
</c>
      <c r="AD129" s="8">
</c>
      <c r="AE129" s="8">
</c>
      <c r="AF129" s="8">
</c>
      <c r="AG129" s="8">
</c>
      <c r="AH129" s="8">
</c>
      <c r="AI129" s="8">
</c>
      <c r="AJ129" s="8">
</c>
      <c r="AK129" s="8">
</c>
    </row>
    <row r="130" ht="76.5" customHeight="1">
      <c r="A130" s="8">
</c>
      <c r="B130" s="8">
</c>
      <c r="C130" s="8">
</c>
      <c r="D130" s="8">
</c>
      <c r="E130" s="8">
</c>
      <c r="F130" s="8">
</c>
      <c r="G130" s="13" cm="1" t="str">
        <f t="array" ref="G130">IF(F130="","",SUBSTITUTE(SUBSTITUTE(SUBSTITUTE(SUBSTITUTE(F130,"&lt;li&gt;",CHAR(10)),"&lt;/li&gt;",""),"&lt;br&gt;",CHAR(10)),"&lt;strong&gt;",""))</f>
        <v/>
      </c>
      <c r="H130" s="13" cm="1" t="str">
        <f t="array" ref="H130">IF(G130="","",SUBSTITUTE(SUBSTITUTE(SUBSTITUTE(SUBSTITUTE(SUBSTITUTE(G130,"&lt;p&gt;",""),"&lt;/p&gt;",""),"&lt;ul&gt;",""),"&lt;/ul&gt;",""),"&lt;/strong&gt;",""))</f>
        <v/>
      </c>
      <c r="I130" s="14" cm="1" t="str">
        <f t="array" ref="I130">IF(C130="","",IF(OR(H130="",H130=0,H130=FALSE),"-",H130))</f>
        <v/>
      </c>
      <c r="J130" s="8">
</c>
      <c r="K130" s="8">
</c>
      <c r="L130" s="9" cm="1" t="str">
        <f t="array" ref="L130">IF(C130="","",IF(K130="Mort / Plus rien à faire","KO","OK"))</f>
        <v/>
      </c>
      <c r="M130" s="17">
</c>
      <c r="N130" s="15" cm="1" t="str">
        <f t="array" ref="N130">IF(OR(C130="",M130="",M130=0),"",M130)</f>
        <v/>
      </c>
      <c r="O130" s="17">
</c>
      <c r="P130" s="15" cm="1" t="str">
        <f t="array" ref="P130">IF(C130="","",IF(OR(O130="",O130=0),"-",O130))</f>
        <v/>
      </c>
      <c r="Q130" s="18">
</c>
      <c r="R130" s="16" cm="1" t="str">
        <f t="array" ref="R130">IF(C130="","",ROUND(Q130/1000000,3)&amp;" M€")</f>
        <v/>
      </c>
      <c r="S130" s="19">
</c>
      <c r="T130" s="9" cm="1" t="str">
        <f t="array" ref="T130">IF(C130="","",SUBSTITUTE(S130,"","")&amp;"%")</f>
        <v/>
      </c>
      <c r="U130" s="9" cm="1" t="str">
        <f t="array" ref="U130">IF(($N130="")*($P130=""),"",IF(($N130&lt;&gt;"")*($N130&gt;TODAY()-9)*($N130&lt;TODAY()+1)*($P130&lt;&gt;"")*($P130&gt;=TODAY())*($P130&lt;=TODAY()+13),"Semaine passée &amp; à venir",IF(($N130&lt;&gt;"")*($N130&gt;TODAY()-9)*($N130&lt;TODAY()+1),"Semaine passée",IF(($P130&lt;&gt;"")*($P130&gt;=TODAY())*($P130&lt;=TODAY()+13),"À venir","Autre"))))</f>
        <v/>
      </c>
      <c r="V130" s="8" cm="1" t="n">
        <f t="array" ref="V130">IF(C130&lt;&gt;"",1,0)</f>
        <v>0</v>
      </c>
      <c r="W130" s="8">
</c>
      <c r="X130" s="8">
</c>
      <c r="Y130" s="8">
</c>
      <c r="Z130" s="8">
</c>
      <c r="AA130" s="8">
</c>
      <c r="AB130" s="8">
</c>
      <c r="AC130" s="8">
</c>
      <c r="AD130" s="8">
</c>
      <c r="AE130" s="8">
</c>
      <c r="AF130" s="8">
</c>
      <c r="AG130" s="8">
</c>
      <c r="AH130" s="8">
</c>
      <c r="AI130" s="8">
</c>
      <c r="AJ130" s="8">
</c>
      <c r="AK130" s="8">
</c>
    </row>
    <row r="131" ht="76.5" customHeight="1">
      <c r="A131" s="8">
</c>
      <c r="B131" s="8">
</c>
      <c r="C131" s="8">
</c>
      <c r="D131" s="8">
</c>
      <c r="E131" s="8">
</c>
      <c r="F131" s="8">
</c>
      <c r="G131" s="13" cm="1" t="str">
        <f t="array" ref="G131">IF(F131="","",SUBSTITUTE(SUBSTITUTE(SUBSTITUTE(SUBSTITUTE(F131,"&lt;li&gt;",CHAR(10)),"&lt;/li&gt;",""),"&lt;br&gt;",CHAR(10)),"&lt;strong&gt;",""))</f>
        <v/>
      </c>
      <c r="H131" s="13" cm="1" t="str">
        <f t="array" ref="H131">IF(G131="","",SUBSTITUTE(SUBSTITUTE(SUBSTITUTE(SUBSTITUTE(SUBSTITUTE(G131,"&lt;p&gt;",""),"&lt;/p&gt;",""),"&lt;ul&gt;",""),"&lt;/ul&gt;",""),"&lt;/strong&gt;",""))</f>
        <v/>
      </c>
      <c r="I131" s="14" cm="1" t="str">
        <f t="array" ref="I131">IF(C131="","",IF(OR(H131="",H131=0,H131=FALSE),"-",H131))</f>
        <v/>
      </c>
      <c r="J131" s="8">
</c>
      <c r="K131" s="8">
</c>
      <c r="L131" s="9" cm="1" t="str">
        <f t="array" ref="L131">IF(C131="","",IF(K131="Mort / Plus rien à faire","KO","OK"))</f>
        <v/>
      </c>
      <c r="M131" s="17">
</c>
      <c r="N131" s="15" cm="1" t="str">
        <f t="array" ref="N131">IF(OR(C131="",M131="",M131=0),"",M131)</f>
        <v/>
      </c>
      <c r="O131" s="17">
</c>
      <c r="P131" s="15" cm="1" t="str">
        <f t="array" ref="P131">IF(C131="","",IF(OR(O131="",O131=0),"-",O131))</f>
        <v/>
      </c>
      <c r="Q131" s="18">
</c>
      <c r="R131" s="16" cm="1" t="str">
        <f t="array" ref="R131">IF(C131="","",ROUND(Q131/1000000,3)&amp;" M€")</f>
        <v/>
      </c>
      <c r="S131" s="19">
</c>
      <c r="T131" s="9" cm="1" t="str">
        <f t="array" ref="T131">IF(C131="","",SUBSTITUTE(S131,"","")&amp;"%")</f>
        <v/>
      </c>
      <c r="U131" s="9" cm="1" t="str">
        <f t="array" ref="U131">IF(($N131="")*($P131=""),"",IF(($N131&lt;&gt;"")*($N131&gt;TODAY()-9)*($N131&lt;TODAY()+1)*($P131&lt;&gt;"")*($P131&gt;=TODAY())*($P131&lt;=TODAY()+13),"Semaine passée &amp; à venir",IF(($N131&lt;&gt;"")*($N131&gt;TODAY()-9)*($N131&lt;TODAY()+1),"Semaine passée",IF(($P131&lt;&gt;"")*($P131&gt;=TODAY())*($P131&lt;=TODAY()+13),"À venir","Autre"))))</f>
        <v/>
      </c>
      <c r="V131" s="8" cm="1" t="n">
        <f t="array" ref="V131">IF(C131&lt;&gt;"",1,0)</f>
        <v>0</v>
      </c>
      <c r="W131" s="8">
</c>
      <c r="X131" s="8">
</c>
      <c r="Y131" s="8">
</c>
      <c r="Z131" s="8">
</c>
      <c r="AA131" s="8">
</c>
      <c r="AB131" s="8">
</c>
      <c r="AC131" s="8">
</c>
      <c r="AD131" s="8">
</c>
      <c r="AE131" s="8">
</c>
      <c r="AF131" s="8">
</c>
      <c r="AG131" s="8">
</c>
      <c r="AH131" s="8">
</c>
      <c r="AI131" s="8">
</c>
      <c r="AJ131" s="8">
</c>
      <c r="AK131" s="8">
</c>
    </row>
    <row r="132" ht="76.5" customHeight="1">
      <c r="A132" s="8">
</c>
      <c r="B132" s="8">
</c>
      <c r="C132" s="8">
</c>
      <c r="D132" s="8">
</c>
      <c r="E132" s="8">
</c>
      <c r="F132" s="8">
</c>
      <c r="G132" s="13" cm="1" t="str">
        <f t="array" ref="G132">IF(F132="","",SUBSTITUTE(SUBSTITUTE(SUBSTITUTE(SUBSTITUTE(F132,"&lt;li&gt;",CHAR(10)),"&lt;/li&gt;",""),"&lt;br&gt;",CHAR(10)),"&lt;strong&gt;",""))</f>
        <v/>
      </c>
      <c r="H132" s="13" cm="1" t="str">
        <f t="array" ref="H132">IF(G132="","",SUBSTITUTE(SUBSTITUTE(SUBSTITUTE(SUBSTITUTE(SUBSTITUTE(G132,"&lt;p&gt;",""),"&lt;/p&gt;",""),"&lt;ul&gt;",""),"&lt;/ul&gt;",""),"&lt;/strong&gt;",""))</f>
        <v/>
      </c>
      <c r="I132" s="14" cm="1" t="str">
        <f t="array" ref="I132">IF(C132="","",IF(OR(H132="",H132=0,H132=FALSE),"-",H132))</f>
        <v/>
      </c>
      <c r="J132" s="8">
</c>
      <c r="K132" s="8">
</c>
      <c r="L132" s="9" cm="1" t="str">
        <f t="array" ref="L132">IF(C132="","",IF(K132="Mort / Plus rien à faire","KO","OK"))</f>
        <v/>
      </c>
      <c r="M132" s="17">
</c>
      <c r="N132" s="15" cm="1" t="str">
        <f t="array" ref="N132">IF(OR(C132="",M132="",M132=0),"",M132)</f>
        <v/>
      </c>
      <c r="O132" s="17">
</c>
      <c r="P132" s="15" cm="1" t="str">
        <f t="array" ref="P132">IF(C132="","",IF(OR(O132="",O132=0),"-",O132))</f>
        <v/>
      </c>
      <c r="Q132" s="18">
</c>
      <c r="R132" s="16" cm="1" t="str">
        <f t="array" ref="R132">IF(C132="","",ROUND(Q132/1000000,3)&amp;" M€")</f>
        <v/>
      </c>
      <c r="S132" s="19">
</c>
      <c r="T132" s="9" cm="1" t="str">
        <f t="array" ref="T132">IF(C132="","",SUBSTITUTE(S132,"","")&amp;"%")</f>
        <v/>
      </c>
      <c r="U132" s="9" cm="1" t="str">
        <f t="array" ref="U132">IF(($N132="")*($P132=""),"",IF(($N132&lt;&gt;"")*($N132&gt;TODAY()-9)*($N132&lt;TODAY()+1)*($P132&lt;&gt;"")*($P132&gt;=TODAY())*($P132&lt;=TODAY()+13),"Semaine passée &amp; à venir",IF(($N132&lt;&gt;"")*($N132&gt;TODAY()-9)*($N132&lt;TODAY()+1),"Semaine passée",IF(($P132&lt;&gt;"")*($P132&gt;=TODAY())*($P132&lt;=TODAY()+13),"À venir","Autre"))))</f>
        <v/>
      </c>
      <c r="V132" s="8" cm="1" t="n">
        <f t="array" ref="V132">IF(C132&lt;&gt;"",1,0)</f>
        <v>0</v>
      </c>
      <c r="W132" s="8">
</c>
      <c r="X132" s="8">
</c>
      <c r="Y132" s="8">
</c>
      <c r="Z132" s="8">
</c>
      <c r="AA132" s="8">
</c>
      <c r="AB132" s="8">
</c>
      <c r="AC132" s="8">
</c>
      <c r="AD132" s="8">
</c>
      <c r="AE132" s="8">
</c>
      <c r="AF132" s="8">
</c>
      <c r="AG132" s="8">
</c>
      <c r="AH132" s="8">
</c>
      <c r="AI132" s="8">
</c>
      <c r="AJ132" s="8">
</c>
      <c r="AK132" s="8">
</c>
    </row>
    <row r="133" ht="76.5" customHeight="1">
      <c r="A133" s="8">
</c>
      <c r="B133" s="8">
</c>
      <c r="C133" s="8">
</c>
      <c r="D133" s="8">
</c>
      <c r="E133" s="8">
</c>
      <c r="F133" s="8">
</c>
      <c r="G133" s="13" cm="1" t="str">
        <f t="array" ref="G133">IF(F133="","",SUBSTITUTE(SUBSTITUTE(SUBSTITUTE(SUBSTITUTE(F133,"&lt;li&gt;",CHAR(10)),"&lt;/li&gt;",""),"&lt;br&gt;",CHAR(10)),"&lt;strong&gt;",""))</f>
        <v/>
      </c>
      <c r="H133" s="13" cm="1" t="str">
        <f t="array" ref="H133">IF(G133="","",SUBSTITUTE(SUBSTITUTE(SUBSTITUTE(SUBSTITUTE(SUBSTITUTE(G133,"&lt;p&gt;",""),"&lt;/p&gt;",""),"&lt;ul&gt;",""),"&lt;/ul&gt;",""),"&lt;/strong&gt;",""))</f>
        <v/>
      </c>
      <c r="I133" s="14" cm="1" t="str">
        <f t="array" ref="I133">IF(C133="","",IF(OR(H133="",H133=0,H133=FALSE),"-",H133))</f>
        <v/>
      </c>
      <c r="J133" s="8">
</c>
      <c r="K133" s="8">
</c>
      <c r="L133" s="9" cm="1" t="str">
        <f t="array" ref="L133">IF(C133="","",IF(K133="Mort / Plus rien à faire","KO","OK"))</f>
        <v/>
      </c>
      <c r="M133" s="17">
</c>
      <c r="N133" s="15" cm="1" t="str">
        <f t="array" ref="N133">IF(OR(C133="",M133="",M133=0),"",M133)</f>
        <v/>
      </c>
      <c r="O133" s="17">
</c>
      <c r="P133" s="15" cm="1" t="str">
        <f t="array" ref="P133">IF(C133="","",IF(OR(O133="",O133=0),"-",O133))</f>
        <v/>
      </c>
      <c r="Q133" s="18">
</c>
      <c r="R133" s="16" cm="1" t="str">
        <f t="array" ref="R133">IF(C133="","",ROUND(Q133/1000000,3)&amp;" M€")</f>
        <v/>
      </c>
      <c r="S133" s="19">
</c>
      <c r="T133" s="9" cm="1" t="str">
        <f t="array" ref="T133">IF(C133="","",SUBSTITUTE(S133,"","")&amp;"%")</f>
        <v/>
      </c>
      <c r="U133" s="9" cm="1" t="str">
        <f t="array" ref="U133">IF(($N133="")*($P133=""),"",IF(($N133&lt;&gt;"")*($N133&gt;TODAY()-9)*($N133&lt;TODAY()+1)*($P133&lt;&gt;"")*($P133&gt;=TODAY())*($P133&lt;=TODAY()+13),"Semaine passée &amp; à venir",IF(($N133&lt;&gt;"")*($N133&gt;TODAY()-9)*($N133&lt;TODAY()+1),"Semaine passée",IF(($P133&lt;&gt;"")*($P133&gt;=TODAY())*($P133&lt;=TODAY()+13),"À venir","Autre"))))</f>
        <v/>
      </c>
      <c r="V133" s="8" cm="1" t="n">
        <f t="array" ref="V133">IF(C133&lt;&gt;"",1,0)</f>
        <v>0</v>
      </c>
      <c r="W133" s="8">
</c>
      <c r="X133" s="8">
</c>
      <c r="Y133" s="8">
</c>
      <c r="Z133" s="8">
</c>
      <c r="AA133" s="8">
</c>
      <c r="AB133" s="8">
</c>
      <c r="AC133" s="8">
</c>
      <c r="AD133" s="8">
</c>
      <c r="AE133" s="8">
</c>
      <c r="AF133" s="8">
</c>
      <c r="AG133" s="8">
</c>
      <c r="AH133" s="8">
</c>
      <c r="AI133" s="8">
</c>
      <c r="AJ133" s="8">
</c>
      <c r="AK133" s="8">
</c>
    </row>
    <row r="134" ht="76.5" customHeight="1">
      <c r="A134" s="8">
</c>
      <c r="B134" s="8">
</c>
      <c r="C134" s="8">
</c>
      <c r="D134" s="8">
</c>
      <c r="E134" s="8">
</c>
      <c r="F134" s="8">
</c>
      <c r="G134" s="13" cm="1" t="str">
        <f t="array" ref="G134">IF(F134="","",SUBSTITUTE(SUBSTITUTE(SUBSTITUTE(SUBSTITUTE(F134,"&lt;li&gt;",CHAR(10)),"&lt;/li&gt;",""),"&lt;br&gt;",CHAR(10)),"&lt;strong&gt;",""))</f>
        <v/>
      </c>
      <c r="H134" s="13" cm="1" t="str">
        <f t="array" ref="H134">IF(G134="","",SUBSTITUTE(SUBSTITUTE(SUBSTITUTE(SUBSTITUTE(SUBSTITUTE(G134,"&lt;p&gt;",""),"&lt;/p&gt;",""),"&lt;ul&gt;",""),"&lt;/ul&gt;",""),"&lt;/strong&gt;",""))</f>
        <v/>
      </c>
      <c r="I134" s="14" cm="1" t="str">
        <f t="array" ref="I134">IF(C134="","",IF(OR(H134="",H134=0,H134=FALSE),"-",H134))</f>
        <v/>
      </c>
      <c r="J134" s="8">
</c>
      <c r="K134" s="8">
</c>
      <c r="L134" s="9" cm="1" t="str">
        <f t="array" ref="L134">IF(C134="","",IF(K134="Mort / Plus rien à faire","KO","OK"))</f>
        <v/>
      </c>
      <c r="M134" s="17">
</c>
      <c r="N134" s="15" cm="1" t="str">
        <f t="array" ref="N134">IF(OR(C134="",M134="",M134=0),"",M134)</f>
        <v/>
      </c>
      <c r="O134" s="17">
</c>
      <c r="P134" s="15" cm="1" t="str">
        <f t="array" ref="P134">IF(C134="","",IF(OR(O134="",O134=0),"-",O134))</f>
        <v/>
      </c>
      <c r="Q134" s="18">
</c>
      <c r="R134" s="16" cm="1" t="str">
        <f t="array" ref="R134">IF(C134="","",ROUND(Q134/1000000,3)&amp;" M€")</f>
        <v/>
      </c>
      <c r="S134" s="19">
</c>
      <c r="T134" s="9" cm="1" t="str">
        <f t="array" ref="T134">IF(C134="","",SUBSTITUTE(S134,"","")&amp;"%")</f>
        <v/>
      </c>
      <c r="U134" s="9" cm="1" t="str">
        <f t="array" ref="U134">IF(($N134="")*($P134=""),"",IF(($N134&lt;&gt;"")*($N134&gt;TODAY()-9)*($N134&lt;TODAY()+1)*($P134&lt;&gt;"")*($P134&gt;=TODAY())*($P134&lt;=TODAY()+13),"Semaine passée &amp; à venir",IF(($N134&lt;&gt;"")*($N134&gt;TODAY()-9)*($N134&lt;TODAY()+1),"Semaine passée",IF(($P134&lt;&gt;"")*($P134&gt;=TODAY())*($P134&lt;=TODAY()+13),"À venir","Autre"))))</f>
        <v/>
      </c>
      <c r="V134" s="8" cm="1" t="n">
        <f t="array" ref="V134">IF(C134&lt;&gt;"",1,0)</f>
        <v>0</v>
      </c>
      <c r="W134" s="8">
</c>
      <c r="X134" s="8">
</c>
      <c r="Y134" s="8">
</c>
      <c r="Z134" s="8">
</c>
      <c r="AA134" s="8">
</c>
      <c r="AB134" s="8">
</c>
      <c r="AC134" s="8">
</c>
      <c r="AD134" s="8">
</c>
      <c r="AE134" s="8">
</c>
      <c r="AF134" s="8">
</c>
      <c r="AG134" s="8">
</c>
      <c r="AH134" s="8">
</c>
      <c r="AI134" s="8">
</c>
      <c r="AJ134" s="8">
</c>
      <c r="AK134" s="8">
</c>
    </row>
    <row r="135" ht="76.5" customHeight="1">
      <c r="A135" s="8">
</c>
      <c r="B135" s="8">
</c>
      <c r="C135" s="8">
</c>
      <c r="D135" s="8">
</c>
      <c r="E135" s="8">
</c>
      <c r="F135" s="8">
</c>
      <c r="G135" s="13" cm="1" t="str">
        <f t="array" ref="G135">IF(F135="","",SUBSTITUTE(SUBSTITUTE(SUBSTITUTE(SUBSTITUTE(F135,"&lt;li&gt;",CHAR(10)),"&lt;/li&gt;",""),"&lt;br&gt;",CHAR(10)),"&lt;strong&gt;",""))</f>
        <v/>
      </c>
      <c r="H135" s="13" cm="1" t="str">
        <f t="array" ref="H135">IF(G135="","",SUBSTITUTE(SUBSTITUTE(SUBSTITUTE(SUBSTITUTE(SUBSTITUTE(G135,"&lt;p&gt;",""),"&lt;/p&gt;",""),"&lt;ul&gt;",""),"&lt;/ul&gt;",""),"&lt;/strong&gt;",""))</f>
        <v/>
      </c>
      <c r="I135" s="14" cm="1" t="str">
        <f t="array" ref="I135">IF(C135="","",IF(OR(H135="",H135=0,H135=FALSE),"-",H135))</f>
        <v/>
      </c>
      <c r="J135" s="8">
</c>
      <c r="K135" s="8">
</c>
      <c r="L135" s="9" cm="1" t="str">
        <f t="array" ref="L135">IF(C135="","",IF(K135="Mort / Plus rien à faire","KO","OK"))</f>
        <v/>
      </c>
      <c r="M135" s="17">
</c>
      <c r="N135" s="15" cm="1" t="str">
        <f t="array" ref="N135">IF(OR(C135="",M135="",M135=0),"",M135)</f>
        <v/>
      </c>
      <c r="O135" s="17">
</c>
      <c r="P135" s="15" cm="1" t="str">
        <f t="array" ref="P135">IF(C135="","",IF(OR(O135="",O135=0),"-",O135))</f>
        <v/>
      </c>
      <c r="Q135" s="18">
</c>
      <c r="R135" s="16" cm="1" t="str">
        <f t="array" ref="R135">IF(C135="","",ROUND(Q135/1000000,3)&amp;" M€")</f>
        <v/>
      </c>
      <c r="S135" s="19">
</c>
      <c r="T135" s="9" cm="1" t="str">
        <f t="array" ref="T135">IF(C135="","",SUBSTITUTE(S135,"","")&amp;"%")</f>
        <v/>
      </c>
      <c r="U135" s="9" cm="1" t="str">
        <f t="array" ref="U135">IF(($N135="")*($P135=""),"",IF(($N135&lt;&gt;"")*($N135&gt;TODAY()-9)*($N135&lt;TODAY()+1)*($P135&lt;&gt;"")*($P135&gt;=TODAY())*($P135&lt;=TODAY()+13),"Semaine passée &amp; à venir",IF(($N135&lt;&gt;"")*($N135&gt;TODAY()-9)*($N135&lt;TODAY()+1),"Semaine passée",IF(($P135&lt;&gt;"")*($P135&gt;=TODAY())*($P135&lt;=TODAY()+13),"À venir","Autre"))))</f>
        <v/>
      </c>
      <c r="V135" s="8" cm="1" t="n">
        <f t="array" ref="V135">IF(C135&lt;&gt;"",1,0)</f>
        <v>0</v>
      </c>
      <c r="W135" s="8">
</c>
      <c r="X135" s="8">
</c>
      <c r="Y135" s="8">
</c>
      <c r="Z135" s="8">
</c>
      <c r="AA135" s="8">
</c>
      <c r="AB135" s="8">
</c>
      <c r="AC135" s="8">
</c>
      <c r="AD135" s="8">
</c>
      <c r="AE135" s="8">
</c>
      <c r="AF135" s="8">
</c>
      <c r="AG135" s="8">
</c>
      <c r="AH135" s="8">
</c>
      <c r="AI135" s="8">
</c>
      <c r="AJ135" s="8">
</c>
      <c r="AK135" s="8">
</c>
    </row>
    <row r="136" ht="76.5" customHeight="1">
      <c r="A136" s="8">
</c>
      <c r="B136" s="8">
</c>
      <c r="C136" s="8">
</c>
      <c r="D136" s="8">
</c>
      <c r="E136" s="8">
</c>
      <c r="F136" s="8">
</c>
      <c r="G136" s="13" cm="1" t="str">
        <f t="array" ref="G136">IF(F136="","",SUBSTITUTE(SUBSTITUTE(SUBSTITUTE(SUBSTITUTE(F136,"&lt;li&gt;",CHAR(10)),"&lt;/li&gt;",""),"&lt;br&gt;",CHAR(10)),"&lt;strong&gt;",""))</f>
        <v/>
      </c>
      <c r="H136" s="13" cm="1" t="str">
        <f t="array" ref="H136">IF(G136="","",SUBSTITUTE(SUBSTITUTE(SUBSTITUTE(SUBSTITUTE(SUBSTITUTE(G136,"&lt;p&gt;",""),"&lt;/p&gt;",""),"&lt;ul&gt;",""),"&lt;/ul&gt;",""),"&lt;/strong&gt;",""))</f>
        <v/>
      </c>
      <c r="I136" s="14" cm="1" t="str">
        <f t="array" ref="I136">IF(C136="","",IF(OR(H136="",H136=0,H136=FALSE),"-",H136))</f>
        <v/>
      </c>
      <c r="J136" s="8">
</c>
      <c r="K136" s="8">
</c>
      <c r="L136" s="9" cm="1" t="str">
        <f t="array" ref="L136">IF(C136="","",IF(K136="Mort / Plus rien à faire","KO","OK"))</f>
        <v/>
      </c>
      <c r="M136" s="17">
</c>
      <c r="N136" s="15" cm="1" t="str">
        <f t="array" ref="N136">IF(OR(C136="",M136="",M136=0),"",M136)</f>
        <v/>
      </c>
      <c r="O136" s="17">
</c>
      <c r="P136" s="15" cm="1" t="str">
        <f t="array" ref="P136">IF(C136="","",IF(OR(O136="",O136=0),"-",O136))</f>
        <v/>
      </c>
      <c r="Q136" s="18">
</c>
      <c r="R136" s="16" cm="1" t="str">
        <f t="array" ref="R136">IF(C136="","",ROUND(Q136/1000000,3)&amp;" M€")</f>
        <v/>
      </c>
      <c r="S136" s="19">
</c>
      <c r="T136" s="9" cm="1" t="str">
        <f t="array" ref="T136">IF(C136="","",SUBSTITUTE(S136,"","")&amp;"%")</f>
        <v/>
      </c>
      <c r="U136" s="9" cm="1" t="str">
        <f t="array" ref="U136">IF(($N136="")*($P136=""),"",IF(($N136&lt;&gt;"")*($N136&gt;TODAY()-9)*($N136&lt;TODAY()+1)*($P136&lt;&gt;"")*($P136&gt;=TODAY())*($P136&lt;=TODAY()+13),"Semaine passée &amp; à venir",IF(($N136&lt;&gt;"")*($N136&gt;TODAY()-9)*($N136&lt;TODAY()+1),"Semaine passée",IF(($P136&lt;&gt;"")*($P136&gt;=TODAY())*($P136&lt;=TODAY()+13),"À venir","Autre"))))</f>
        <v/>
      </c>
      <c r="V136" s="8" cm="1" t="n">
        <f t="array" ref="V136">IF(C136&lt;&gt;"",1,0)</f>
        <v>0</v>
      </c>
      <c r="W136" s="8">
</c>
      <c r="X136" s="8">
</c>
      <c r="Y136" s="8">
</c>
      <c r="Z136" s="8">
</c>
      <c r="AA136" s="8">
</c>
      <c r="AB136" s="8">
</c>
      <c r="AC136" s="8">
</c>
      <c r="AD136" s="8">
</c>
      <c r="AE136" s="8">
</c>
      <c r="AF136" s="8">
</c>
      <c r="AG136" s="8">
</c>
      <c r="AH136" s="8">
</c>
      <c r="AI136" s="8">
</c>
      <c r="AJ136" s="8">
</c>
      <c r="AK136" s="8">
</c>
    </row>
    <row r="137" ht="76.5" customHeight="1">
      <c r="A137" s="8">
</c>
      <c r="B137" s="8">
</c>
      <c r="C137" s="8">
</c>
      <c r="D137" s="8">
</c>
      <c r="E137" s="8">
</c>
      <c r="F137" s="8">
</c>
      <c r="G137" s="13" cm="1" t="str">
        <f t="array" ref="G137">IF(F137="","",SUBSTITUTE(SUBSTITUTE(SUBSTITUTE(SUBSTITUTE(F137,"&lt;li&gt;",CHAR(10)),"&lt;/li&gt;",""),"&lt;br&gt;",CHAR(10)),"&lt;strong&gt;",""))</f>
        <v/>
      </c>
      <c r="H137" s="13" cm="1" t="str">
        <f t="array" ref="H137">IF(G137="","",SUBSTITUTE(SUBSTITUTE(SUBSTITUTE(SUBSTITUTE(SUBSTITUTE(G137,"&lt;p&gt;",""),"&lt;/p&gt;",""),"&lt;ul&gt;",""),"&lt;/ul&gt;",""),"&lt;/strong&gt;",""))</f>
        <v/>
      </c>
      <c r="I137" s="14" cm="1" t="str">
        <f t="array" ref="I137">IF(C137="","",IF(OR(H137="",H137=0,H137=FALSE),"-",H137))</f>
        <v/>
      </c>
      <c r="J137" s="8">
</c>
      <c r="K137" s="8">
</c>
      <c r="L137" s="9" cm="1" t="str">
        <f t="array" ref="L137">IF(C137="","",IF(K137="Mort / Plus rien à faire","KO","OK"))</f>
        <v/>
      </c>
      <c r="M137" s="17">
</c>
      <c r="N137" s="15" cm="1" t="str">
        <f t="array" ref="N137">IF(OR(C137="",M137="",M137=0),"",M137)</f>
        <v/>
      </c>
      <c r="O137" s="17">
</c>
      <c r="P137" s="15" cm="1" t="str">
        <f t="array" ref="P137">IF(C137="","",IF(OR(O137="",O137=0),"-",O137))</f>
        <v/>
      </c>
      <c r="Q137" s="18">
</c>
      <c r="R137" s="16" cm="1" t="str">
        <f t="array" ref="R137">IF(C137="","",ROUND(Q137/1000000,3)&amp;" M€")</f>
        <v/>
      </c>
      <c r="S137" s="19">
</c>
      <c r="T137" s="9" cm="1" t="str">
        <f t="array" ref="T137">IF(C137="","",SUBSTITUTE(S137,"","")&amp;"%")</f>
        <v/>
      </c>
      <c r="U137" s="9" cm="1" t="str">
        <f t="array" ref="U137">IF(($N137="")*($P137=""),"",IF(($N137&lt;&gt;"")*($N137&gt;TODAY()-9)*($N137&lt;TODAY()+1)*($P137&lt;&gt;"")*($P137&gt;=TODAY())*($P137&lt;=TODAY()+13),"Semaine passée &amp; à venir",IF(($N137&lt;&gt;"")*($N137&gt;TODAY()-9)*($N137&lt;TODAY()+1),"Semaine passée",IF(($P137&lt;&gt;"")*($P137&gt;=TODAY())*($P137&lt;=TODAY()+13),"À venir","Autre"))))</f>
        <v/>
      </c>
      <c r="V137" s="8" cm="1" t="n">
        <f t="array" ref="V137">IF(C137&lt;&gt;"",1,0)</f>
        <v>0</v>
      </c>
      <c r="W137" s="8">
</c>
      <c r="X137" s="8">
</c>
      <c r="Y137" s="8">
</c>
      <c r="Z137" s="8">
</c>
      <c r="AA137" s="8">
</c>
      <c r="AB137" s="8">
</c>
      <c r="AC137" s="8">
</c>
      <c r="AD137" s="8">
</c>
      <c r="AE137" s="8">
</c>
      <c r="AF137" s="8">
</c>
      <c r="AG137" s="8">
</c>
      <c r="AH137" s="8">
</c>
      <c r="AI137" s="8">
</c>
      <c r="AJ137" s="8">
</c>
      <c r="AK137" s="8">
</c>
    </row>
    <row r="138" ht="76.5" customHeight="1">
      <c r="A138" s="8">
</c>
      <c r="B138" s="8">
</c>
      <c r="C138" s="8">
</c>
      <c r="D138" s="8">
</c>
      <c r="E138" s="8">
</c>
      <c r="F138" s="8">
</c>
      <c r="G138" s="13" cm="1" t="str">
        <f t="array" ref="G138">IF(F138="","",SUBSTITUTE(SUBSTITUTE(SUBSTITUTE(SUBSTITUTE(F138,"&lt;li&gt;",CHAR(10)),"&lt;/li&gt;",""),"&lt;br&gt;",CHAR(10)),"&lt;strong&gt;",""))</f>
        <v/>
      </c>
      <c r="H138" s="13" cm="1" t="str">
        <f t="array" ref="H138">IF(G138="","",SUBSTITUTE(SUBSTITUTE(SUBSTITUTE(SUBSTITUTE(SUBSTITUTE(G138,"&lt;p&gt;",""),"&lt;/p&gt;",""),"&lt;ul&gt;",""),"&lt;/ul&gt;",""),"&lt;/strong&gt;",""))</f>
        <v/>
      </c>
      <c r="I138" s="14" cm="1" t="str">
        <f t="array" ref="I138">IF(C138="","",IF(OR(H138="",H138=0,H138=FALSE),"-",H138))</f>
        <v/>
      </c>
      <c r="J138" s="8">
</c>
      <c r="K138" s="8">
</c>
      <c r="L138" s="9" cm="1" t="str">
        <f t="array" ref="L138">IF(C138="","",IF(K138="Mort / Plus rien à faire","KO","OK"))</f>
        <v/>
      </c>
      <c r="M138" s="17">
</c>
      <c r="N138" s="15" cm="1" t="str">
        <f t="array" ref="N138">IF(OR(C138="",M138="",M138=0),"",M138)</f>
        <v/>
      </c>
      <c r="O138" s="17">
</c>
      <c r="P138" s="15" cm="1" t="str">
        <f t="array" ref="P138">IF(C138="","",IF(OR(O138="",O138=0),"-",O138))</f>
        <v/>
      </c>
      <c r="Q138" s="18">
</c>
      <c r="R138" s="16" cm="1" t="str">
        <f t="array" ref="R138">IF(C138="","",ROUND(Q138/1000000,3)&amp;" M€")</f>
        <v/>
      </c>
      <c r="S138" s="19">
</c>
      <c r="T138" s="9" cm="1" t="str">
        <f t="array" ref="T138">IF(C138="","",SUBSTITUTE(S138,"","")&amp;"%")</f>
        <v/>
      </c>
      <c r="U138" s="9" cm="1" t="str">
        <f t="array" ref="U138">IF(($N138="")*($P138=""),"",IF(($N138&lt;&gt;"")*($N138&gt;TODAY()-9)*($N138&lt;TODAY()+1)*($P138&lt;&gt;"")*($P138&gt;=TODAY())*($P138&lt;=TODAY()+13),"Semaine passée &amp; à venir",IF(($N138&lt;&gt;"")*($N138&gt;TODAY()-9)*($N138&lt;TODAY()+1),"Semaine passée",IF(($P138&lt;&gt;"")*($P138&gt;=TODAY())*($P138&lt;=TODAY()+13),"À venir","Autre"))))</f>
        <v/>
      </c>
      <c r="V138" s="8" cm="1" t="n">
        <f t="array" ref="V138">IF(C138&lt;&gt;"",1,0)</f>
        <v>0</v>
      </c>
      <c r="W138" s="8">
</c>
      <c r="X138" s="8">
</c>
      <c r="Y138" s="8">
</c>
      <c r="Z138" s="8">
</c>
      <c r="AA138" s="8">
</c>
      <c r="AB138" s="8">
</c>
      <c r="AC138" s="8">
</c>
      <c r="AD138" s="8">
</c>
      <c r="AE138" s="8">
</c>
      <c r="AF138" s="8">
</c>
      <c r="AG138" s="8">
</c>
      <c r="AH138" s="8">
</c>
      <c r="AI138" s="8">
</c>
      <c r="AJ138" s="8">
</c>
      <c r="AK138" s="8">
</c>
    </row>
    <row r="139" ht="76.5" customHeight="1">
      <c r="A139" s="8">
</c>
      <c r="B139" s="8">
</c>
      <c r="C139" s="8">
</c>
      <c r="D139" s="8">
</c>
      <c r="E139" s="8">
</c>
      <c r="F139" s="8">
</c>
      <c r="G139" s="13" cm="1" t="str">
        <f t="array" ref="G139">IF(F139="","",SUBSTITUTE(SUBSTITUTE(SUBSTITUTE(SUBSTITUTE(F139,"&lt;li&gt;",CHAR(10)),"&lt;/li&gt;",""),"&lt;br&gt;",CHAR(10)),"&lt;strong&gt;",""))</f>
        <v/>
      </c>
      <c r="H139" s="13" cm="1" t="str">
        <f t="array" ref="H139">IF(G139="","",SUBSTITUTE(SUBSTITUTE(SUBSTITUTE(SUBSTITUTE(SUBSTITUTE(G139,"&lt;p&gt;",""),"&lt;/p&gt;",""),"&lt;ul&gt;",""),"&lt;/ul&gt;",""),"&lt;/strong&gt;",""))</f>
        <v/>
      </c>
      <c r="I139" s="14" cm="1" t="str">
        <f t="array" ref="I139">IF(C139="","",IF(OR(H139="",H139=0,H139=FALSE),"-",H139))</f>
        <v/>
      </c>
      <c r="J139" s="8">
</c>
      <c r="K139" s="8">
</c>
      <c r="L139" s="9" cm="1" t="str">
        <f t="array" ref="L139">IF(C139="","",IF(K139="Mort / Plus rien à faire","KO","OK"))</f>
        <v/>
      </c>
      <c r="M139" s="17">
</c>
      <c r="N139" s="15" cm="1" t="str">
        <f t="array" ref="N139">IF(OR(C139="",M139="",M139=0),"",M139)</f>
        <v/>
      </c>
      <c r="O139" s="17">
</c>
      <c r="P139" s="15" cm="1" t="str">
        <f t="array" ref="P139">IF(C139="","",IF(OR(O139="",O139=0),"-",O139))</f>
        <v/>
      </c>
      <c r="Q139" s="18">
</c>
      <c r="R139" s="16" cm="1" t="str">
        <f t="array" ref="R139">IF(C139="","",ROUND(Q139/1000000,3)&amp;" M€")</f>
        <v/>
      </c>
      <c r="S139" s="19">
</c>
      <c r="T139" s="9" cm="1" t="str">
        <f t="array" ref="T139">IF(C139="","",SUBSTITUTE(S139,"","")&amp;"%")</f>
        <v/>
      </c>
      <c r="U139" s="9" cm="1" t="str">
        <f t="array" ref="U139">IF(($N139="")*($P139=""),"",IF(($N139&lt;&gt;"")*($N139&gt;TODAY()-9)*($N139&lt;TODAY()+1)*($P139&lt;&gt;"")*($P139&gt;=TODAY())*($P139&lt;=TODAY()+13),"Semaine passée &amp; à venir",IF(($N139&lt;&gt;"")*($N139&gt;TODAY()-9)*($N139&lt;TODAY()+1),"Semaine passée",IF(($P139&lt;&gt;"")*($P139&gt;=TODAY())*($P139&lt;=TODAY()+13),"À venir","Autre"))))</f>
        <v/>
      </c>
      <c r="V139" s="8" cm="1" t="n">
        <f t="array" ref="V139">IF(C139&lt;&gt;"",1,0)</f>
        <v>0</v>
      </c>
      <c r="W139" s="8">
</c>
      <c r="X139" s="8">
</c>
      <c r="Y139" s="8">
</c>
      <c r="Z139" s="8">
</c>
      <c r="AA139" s="8">
</c>
      <c r="AB139" s="8">
</c>
      <c r="AC139" s="8">
</c>
      <c r="AD139" s="8">
</c>
      <c r="AE139" s="8">
</c>
      <c r="AF139" s="8">
</c>
      <c r="AG139" s="8">
</c>
      <c r="AH139" s="8">
</c>
      <c r="AI139" s="8">
</c>
      <c r="AJ139" s="8">
</c>
      <c r="AK139" s="8">
</c>
    </row>
    <row r="140" ht="76.5" customHeight="1">
      <c r="A140" s="8">
</c>
      <c r="B140" s="8">
</c>
      <c r="C140" s="8">
</c>
      <c r="D140" s="8">
</c>
      <c r="E140" s="8">
</c>
      <c r="F140" s="8">
</c>
      <c r="G140" s="13" cm="1" t="str">
        <f t="array" ref="G140">IF(F140="","",SUBSTITUTE(SUBSTITUTE(SUBSTITUTE(SUBSTITUTE(F140,"&lt;li&gt;",CHAR(10)),"&lt;/li&gt;",""),"&lt;br&gt;",CHAR(10)),"&lt;strong&gt;",""))</f>
        <v/>
      </c>
      <c r="H140" s="13" cm="1" t="str">
        <f t="array" ref="H140">IF(G140="","",SUBSTITUTE(SUBSTITUTE(SUBSTITUTE(SUBSTITUTE(SUBSTITUTE(G140,"&lt;p&gt;",""),"&lt;/p&gt;",""),"&lt;ul&gt;",""),"&lt;/ul&gt;",""),"&lt;/strong&gt;",""))</f>
        <v/>
      </c>
      <c r="I140" s="14" cm="1" t="str">
        <f t="array" ref="I140">IF(C140="","",IF(OR(H140="",H140=0,H140=FALSE),"-",H140))</f>
        <v/>
      </c>
      <c r="J140" s="8">
</c>
      <c r="K140" s="8">
</c>
      <c r="L140" s="9" cm="1" t="str">
        <f t="array" ref="L140">IF(C140="","",IF(K140="Mort / Plus rien à faire","KO","OK"))</f>
        <v/>
      </c>
      <c r="M140" s="17">
</c>
      <c r="N140" s="15" cm="1" t="str">
        <f t="array" ref="N140">IF(OR(C140="",M140="",M140=0),"",M140)</f>
        <v/>
      </c>
      <c r="O140" s="17">
</c>
      <c r="P140" s="15" cm="1" t="str">
        <f t="array" ref="P140">IF(C140="","",IF(OR(O140="",O140=0),"-",O140))</f>
        <v/>
      </c>
      <c r="Q140" s="18">
</c>
      <c r="R140" s="16" cm="1" t="str">
        <f t="array" ref="R140">IF(C140="","",ROUND(Q140/1000000,3)&amp;" M€")</f>
        <v/>
      </c>
      <c r="S140" s="19">
</c>
      <c r="T140" s="9" cm="1" t="str">
        <f t="array" ref="T140">IF(C140="","",SUBSTITUTE(S140,"","")&amp;"%")</f>
        <v/>
      </c>
      <c r="U140" s="9" cm="1" t="str">
        <f t="array" ref="U140">IF(($N140="")*($P140=""),"",IF(($N140&lt;&gt;"")*($N140&gt;TODAY()-9)*($N140&lt;TODAY()+1)*($P140&lt;&gt;"")*($P140&gt;=TODAY())*($P140&lt;=TODAY()+13),"Semaine passée &amp; à venir",IF(($N140&lt;&gt;"")*($N140&gt;TODAY()-9)*($N140&lt;TODAY()+1),"Semaine passée",IF(($P140&lt;&gt;"")*($P140&gt;=TODAY())*($P140&lt;=TODAY()+13),"À venir","Autre"))))</f>
        <v/>
      </c>
      <c r="V140" s="8" cm="1" t="n">
        <f t="array" ref="V140">IF(C140&lt;&gt;"",1,0)</f>
        <v>0</v>
      </c>
      <c r="W140" s="8">
</c>
      <c r="X140" s="8">
</c>
      <c r="Y140" s="8">
</c>
      <c r="Z140" s="8">
</c>
      <c r="AA140" s="8">
</c>
      <c r="AB140" s="8">
</c>
      <c r="AC140" s="8">
</c>
      <c r="AD140" s="8">
</c>
      <c r="AE140" s="8">
</c>
      <c r="AF140" s="8">
</c>
      <c r="AG140" s="8">
</c>
      <c r="AH140" s="8">
</c>
      <c r="AI140" s="8">
</c>
      <c r="AJ140" s="8">
</c>
      <c r="AK140" s="8">
</c>
    </row>
    <row r="141" ht="76.5" customHeight="1">
      <c r="A141" s="8">
</c>
      <c r="B141" s="8">
</c>
      <c r="C141" s="8">
</c>
      <c r="D141" s="8">
</c>
      <c r="E141" s="8">
</c>
      <c r="F141" s="8">
</c>
      <c r="G141" s="13" cm="1" t="str">
        <f t="array" ref="G141">IF(F141="","",SUBSTITUTE(SUBSTITUTE(SUBSTITUTE(SUBSTITUTE(F141,"&lt;li&gt;",CHAR(10)),"&lt;/li&gt;",""),"&lt;br&gt;",CHAR(10)),"&lt;strong&gt;",""))</f>
        <v/>
      </c>
      <c r="H141" s="13" cm="1" t="str">
        <f t="array" ref="H141">IF(G141="","",SUBSTITUTE(SUBSTITUTE(SUBSTITUTE(SUBSTITUTE(SUBSTITUTE(G141,"&lt;p&gt;",""),"&lt;/p&gt;",""),"&lt;ul&gt;",""),"&lt;/ul&gt;",""),"&lt;/strong&gt;",""))</f>
        <v/>
      </c>
      <c r="I141" s="14" cm="1" t="str">
        <f t="array" ref="I141">IF(C141="","",IF(OR(H141="",H141=0,H141=FALSE),"-",H141))</f>
        <v/>
      </c>
      <c r="J141" s="8">
</c>
      <c r="K141" s="8">
</c>
      <c r="L141" s="9" cm="1" t="str">
        <f t="array" ref="L141">IF(C141="","",IF(K141="Mort / Plus rien à faire","KO","OK"))</f>
        <v/>
      </c>
      <c r="M141" s="17">
</c>
      <c r="N141" s="15" cm="1" t="str">
        <f t="array" ref="N141">IF(OR(C141="",M141="",M141=0),"",M141)</f>
        <v/>
      </c>
      <c r="O141" s="17">
</c>
      <c r="P141" s="15" cm="1" t="str">
        <f t="array" ref="P141">IF(C141="","",IF(OR(O141="",O141=0),"-",O141))</f>
        <v/>
      </c>
      <c r="Q141" s="18">
</c>
      <c r="R141" s="16" cm="1" t="str">
        <f t="array" ref="R141">IF(C141="","",ROUND(Q141/1000000,3)&amp;" M€")</f>
        <v/>
      </c>
      <c r="S141" s="19">
</c>
      <c r="T141" s="9" cm="1" t="str">
        <f t="array" ref="T141">IF(C141="","",SUBSTITUTE(S141,"","")&amp;"%")</f>
        <v/>
      </c>
      <c r="U141" s="9" cm="1" t="str">
        <f t="array" ref="U141">IF(($N141="")*($P141=""),"",IF(($N141&lt;&gt;"")*($N141&gt;TODAY()-9)*($N141&lt;TODAY()+1)*($P141&lt;&gt;"")*($P141&gt;=TODAY())*($P141&lt;=TODAY()+13),"Semaine passée &amp; à venir",IF(($N141&lt;&gt;"")*($N141&gt;TODAY()-9)*($N141&lt;TODAY()+1),"Semaine passée",IF(($P141&lt;&gt;"")*($P141&gt;=TODAY())*($P141&lt;=TODAY()+13),"À venir","Autre"))))</f>
        <v/>
      </c>
      <c r="V141" s="8" cm="1" t="n">
        <f t="array" ref="V141">IF(C141&lt;&gt;"",1,0)</f>
        <v>0</v>
      </c>
      <c r="W141" s="8">
</c>
      <c r="X141" s="8">
</c>
      <c r="Y141" s="8">
</c>
      <c r="Z141" s="8">
</c>
      <c r="AA141" s="8">
</c>
      <c r="AB141" s="8">
</c>
      <c r="AC141" s="8">
</c>
      <c r="AD141" s="8">
</c>
      <c r="AE141" s="8">
</c>
      <c r="AF141" s="8">
</c>
      <c r="AG141" s="8">
</c>
      <c r="AH141" s="8">
</c>
      <c r="AI141" s="8">
</c>
      <c r="AJ141" s="8">
</c>
      <c r="AK141" s="8">
</c>
    </row>
    <row r="142" ht="76.5" customHeight="1">
      <c r="A142" s="8">
</c>
      <c r="B142" s="8">
</c>
      <c r="C142" s="8">
</c>
      <c r="D142" s="8">
</c>
      <c r="E142" s="8">
</c>
      <c r="F142" s="8">
</c>
      <c r="G142" s="13" cm="1" t="str">
        <f t="array" ref="G142">IF(F142="","",SUBSTITUTE(SUBSTITUTE(SUBSTITUTE(SUBSTITUTE(F142,"&lt;li&gt;",CHAR(10)),"&lt;/li&gt;",""),"&lt;br&gt;",CHAR(10)),"&lt;strong&gt;",""))</f>
        <v/>
      </c>
      <c r="H142" s="13" cm="1" t="str">
        <f t="array" ref="H142">IF(G142="","",SUBSTITUTE(SUBSTITUTE(SUBSTITUTE(SUBSTITUTE(SUBSTITUTE(G142,"&lt;p&gt;",""),"&lt;/p&gt;",""),"&lt;ul&gt;",""),"&lt;/ul&gt;",""),"&lt;/strong&gt;",""))</f>
        <v/>
      </c>
      <c r="I142" s="14" cm="1" t="str">
        <f t="array" ref="I142">IF(C142="","",IF(OR(H142="",H142=0,H142=FALSE),"-",H142))</f>
        <v/>
      </c>
      <c r="J142" s="8">
</c>
      <c r="K142" s="8">
</c>
      <c r="L142" s="9" cm="1" t="str">
        <f t="array" ref="L142">IF(C142="","",IF(K142="Mort / Plus rien à faire","KO","OK"))</f>
        <v/>
      </c>
      <c r="M142" s="17">
</c>
      <c r="N142" s="15" cm="1" t="str">
        <f t="array" ref="N142">IF(OR(C142="",M142="",M142=0),"",M142)</f>
        <v/>
      </c>
      <c r="O142" s="17">
</c>
      <c r="P142" s="15" cm="1" t="str">
        <f t="array" ref="P142">IF(C142="","",IF(OR(O142="",O142=0),"-",O142))</f>
        <v/>
      </c>
      <c r="Q142" s="18">
</c>
      <c r="R142" s="16" cm="1" t="str">
        <f t="array" ref="R142">IF(C142="","",ROUND(Q142/1000000,3)&amp;" M€")</f>
        <v/>
      </c>
      <c r="S142" s="19">
</c>
      <c r="T142" s="9" cm="1" t="str">
        <f t="array" ref="T142">IF(C142="","",SUBSTITUTE(S142,"","")&amp;"%")</f>
        <v/>
      </c>
      <c r="U142" s="9" cm="1" t="str">
        <f t="array" ref="U142">IF(($N142="")*($P142=""),"",IF(($N142&lt;&gt;"")*($N142&gt;TODAY()-9)*($N142&lt;TODAY()+1)*($P142&lt;&gt;"")*($P142&gt;=TODAY())*($P142&lt;=TODAY()+13),"Semaine passée &amp; à venir",IF(($N142&lt;&gt;"")*($N142&gt;TODAY()-9)*($N142&lt;TODAY()+1),"Semaine passée",IF(($P142&lt;&gt;"")*($P142&gt;=TODAY())*($P142&lt;=TODAY()+13),"À venir","Autre"))))</f>
        <v/>
      </c>
      <c r="V142" s="8" cm="1" t="n">
        <f t="array" ref="V142">IF(C142&lt;&gt;"",1,0)</f>
        <v>0</v>
      </c>
      <c r="W142" s="8">
</c>
      <c r="X142" s="8">
</c>
      <c r="Y142" s="8">
</c>
      <c r="Z142" s="8">
</c>
      <c r="AA142" s="8">
</c>
      <c r="AB142" s="8">
</c>
      <c r="AC142" s="8">
</c>
      <c r="AD142" s="8">
</c>
      <c r="AE142" s="8">
</c>
      <c r="AF142" s="8">
</c>
      <c r="AG142" s="8">
</c>
      <c r="AH142" s="8">
</c>
      <c r="AI142" s="8">
</c>
      <c r="AJ142" s="8">
</c>
      <c r="AK142" s="8">
</c>
    </row>
    <row r="143" ht="76.5" customHeight="1">
      <c r="A143" s="8">
</c>
      <c r="B143" s="8">
</c>
      <c r="C143" s="8">
</c>
      <c r="D143" s="8">
</c>
      <c r="E143" s="8">
</c>
      <c r="F143" s="8">
</c>
      <c r="G143" s="13" cm="1" t="str">
        <f t="array" ref="G143">IF(F143="","",SUBSTITUTE(SUBSTITUTE(SUBSTITUTE(SUBSTITUTE(F143,"&lt;li&gt;",CHAR(10)),"&lt;/li&gt;",""),"&lt;br&gt;",CHAR(10)),"&lt;strong&gt;",""))</f>
        <v/>
      </c>
      <c r="H143" s="13" cm="1" t="str">
        <f t="array" ref="H143">IF(G143="","",SUBSTITUTE(SUBSTITUTE(SUBSTITUTE(SUBSTITUTE(SUBSTITUTE(G143,"&lt;p&gt;",""),"&lt;/p&gt;",""),"&lt;ul&gt;",""),"&lt;/ul&gt;",""),"&lt;/strong&gt;",""))</f>
        <v/>
      </c>
      <c r="I143" s="14" cm="1" t="str">
        <f t="array" ref="I143">IF(C143="","",IF(OR(H143="",H143=0,H143=FALSE),"-",H143))</f>
        <v/>
      </c>
      <c r="J143" s="8">
</c>
      <c r="K143" s="8">
</c>
      <c r="L143" s="9" cm="1" t="str">
        <f t="array" ref="L143">IF(C143="","",IF(K143="Mort / Plus rien à faire","KO","OK"))</f>
        <v/>
      </c>
      <c r="M143" s="17">
</c>
      <c r="N143" s="15" cm="1" t="str">
        <f t="array" ref="N143">IF(OR(C143="",M143="",M143=0),"",M143)</f>
        <v/>
      </c>
      <c r="O143" s="17">
</c>
      <c r="P143" s="15" cm="1" t="str">
        <f t="array" ref="P143">IF(C143="","",IF(OR(O143="",O143=0),"-",O143))</f>
        <v/>
      </c>
      <c r="Q143" s="18">
</c>
      <c r="R143" s="16" cm="1" t="str">
        <f t="array" ref="R143">IF(C143="","",ROUND(Q143/1000000,3)&amp;" M€")</f>
        <v/>
      </c>
      <c r="S143" s="19">
</c>
      <c r="T143" s="9" cm="1" t="str">
        <f t="array" ref="T143">IF(C143="","",SUBSTITUTE(S143,"","")&amp;"%")</f>
        <v/>
      </c>
      <c r="U143" s="9" cm="1" t="str">
        <f t="array" ref="U143">IF(($N143="")*($P143=""),"",IF(($N143&lt;&gt;"")*($N143&gt;TODAY()-9)*($N143&lt;TODAY()+1)*($P143&lt;&gt;"")*($P143&gt;=TODAY())*($P143&lt;=TODAY()+13),"Semaine passée &amp; à venir",IF(($N143&lt;&gt;"")*($N143&gt;TODAY()-9)*($N143&lt;TODAY()+1),"Semaine passée",IF(($P143&lt;&gt;"")*($P143&gt;=TODAY())*($P143&lt;=TODAY()+13),"À venir","Autre"))))</f>
        <v/>
      </c>
      <c r="V143" s="8" cm="1" t="n">
        <f t="array" ref="V143">IF(C143&lt;&gt;"",1,0)</f>
        <v>0</v>
      </c>
      <c r="W143" s="8">
</c>
      <c r="X143" s="8">
</c>
      <c r="Y143" s="8">
</c>
      <c r="Z143" s="8">
</c>
      <c r="AA143" s="8">
</c>
      <c r="AB143" s="8">
</c>
      <c r="AC143" s="8">
</c>
      <c r="AD143" s="8">
</c>
      <c r="AE143" s="8">
</c>
      <c r="AF143" s="8">
</c>
      <c r="AG143" s="8">
</c>
      <c r="AH143" s="8">
</c>
      <c r="AI143" s="8">
</c>
      <c r="AJ143" s="8">
</c>
      <c r="AK143" s="8">
</c>
    </row>
    <row r="144" ht="76.5" customHeight="1">
      <c r="A144" s="8">
</c>
      <c r="B144" s="8">
</c>
      <c r="C144" s="8">
</c>
      <c r="D144" s="8">
</c>
      <c r="E144" s="8">
</c>
      <c r="F144" s="8">
</c>
      <c r="G144" s="13" cm="1" t="str">
        <f t="array" ref="G144">IF(F144="","",SUBSTITUTE(SUBSTITUTE(SUBSTITUTE(SUBSTITUTE(F144,"&lt;li&gt;",CHAR(10)),"&lt;/li&gt;",""),"&lt;br&gt;",CHAR(10)),"&lt;strong&gt;",""))</f>
        <v/>
      </c>
      <c r="H144" s="13" cm="1" t="str">
        <f t="array" ref="H144">IF(G144="","",SUBSTITUTE(SUBSTITUTE(SUBSTITUTE(SUBSTITUTE(SUBSTITUTE(G144,"&lt;p&gt;",""),"&lt;/p&gt;",""),"&lt;ul&gt;",""),"&lt;/ul&gt;",""),"&lt;/strong&gt;",""))</f>
        <v/>
      </c>
      <c r="I144" s="14" cm="1" t="str">
        <f t="array" ref="I144">IF(C144="","",IF(OR(H144="",H144=0,H144=FALSE),"-",H144))</f>
        <v/>
      </c>
      <c r="J144" s="8">
</c>
      <c r="K144" s="8">
</c>
      <c r="L144" s="9" cm="1" t="str">
        <f t="array" ref="L144">IF(C144="","",IF(K144="Mort / Plus rien à faire","KO","OK"))</f>
        <v/>
      </c>
      <c r="M144" s="17">
</c>
      <c r="N144" s="15" cm="1" t="str">
        <f t="array" ref="N144">IF(OR(C144="",M144="",M144=0),"",M144)</f>
        <v/>
      </c>
      <c r="O144" s="17">
</c>
      <c r="P144" s="15" cm="1" t="str">
        <f t="array" ref="P144">IF(C144="","",IF(OR(O144="",O144=0),"-",O144))</f>
        <v/>
      </c>
      <c r="Q144" s="18">
</c>
      <c r="R144" s="16" cm="1" t="str">
        <f t="array" ref="R144">IF(C144="","",ROUND(Q144/1000000,3)&amp;" M€")</f>
        <v/>
      </c>
      <c r="S144" s="19">
</c>
      <c r="T144" s="9" cm="1" t="str">
        <f t="array" ref="T144">IF(C144="","",SUBSTITUTE(S144,"","")&amp;"%")</f>
        <v/>
      </c>
      <c r="U144" s="9" cm="1" t="str">
        <f t="array" ref="U144">IF(($N144="")*($P144=""),"",IF(($N144&lt;&gt;"")*($N144&gt;TODAY()-9)*($N144&lt;TODAY()+1)*($P144&lt;&gt;"")*($P144&gt;=TODAY())*($P144&lt;=TODAY()+13),"Semaine passée &amp; à venir",IF(($N144&lt;&gt;"")*($N144&gt;TODAY()-9)*($N144&lt;TODAY()+1),"Semaine passée",IF(($P144&lt;&gt;"")*($P144&gt;=TODAY())*($P144&lt;=TODAY()+13),"À venir","Autre"))))</f>
        <v/>
      </c>
      <c r="V144" s="8" cm="1" t="n">
        <f t="array" ref="V144">IF(C144&lt;&gt;"",1,0)</f>
        <v>0</v>
      </c>
      <c r="W144" s="8">
</c>
      <c r="X144" s="8">
</c>
      <c r="Y144" s="8">
</c>
      <c r="Z144" s="8">
</c>
      <c r="AA144" s="8">
</c>
      <c r="AB144" s="8">
</c>
      <c r="AC144" s="8">
</c>
      <c r="AD144" s="8">
</c>
      <c r="AE144" s="8">
</c>
      <c r="AF144" s="8">
</c>
      <c r="AG144" s="8">
</c>
      <c r="AH144" s="8">
</c>
      <c r="AI144" s="8">
</c>
      <c r="AJ144" s="8">
</c>
      <c r="AK144" s="8">
</c>
    </row>
    <row r="145" ht="76.5" customHeight="1">
      <c r="A145" s="8">
</c>
      <c r="B145" s="8">
</c>
      <c r="C145" s="8">
</c>
      <c r="D145" s="8">
</c>
      <c r="E145" s="8">
</c>
      <c r="F145" s="8">
</c>
      <c r="G145" s="13" cm="1" t="str">
        <f t="array" ref="G145">IF(F145="","",SUBSTITUTE(SUBSTITUTE(SUBSTITUTE(SUBSTITUTE(F145,"&lt;li&gt;",CHAR(10)),"&lt;/li&gt;",""),"&lt;br&gt;",CHAR(10)),"&lt;strong&gt;",""))</f>
        <v/>
      </c>
      <c r="H145" s="13" cm="1" t="str">
        <f t="array" ref="H145">IF(G145="","",SUBSTITUTE(SUBSTITUTE(SUBSTITUTE(SUBSTITUTE(SUBSTITUTE(G145,"&lt;p&gt;",""),"&lt;/p&gt;",""),"&lt;ul&gt;",""),"&lt;/ul&gt;",""),"&lt;/strong&gt;",""))</f>
        <v/>
      </c>
      <c r="I145" s="14" cm="1" t="str">
        <f t="array" ref="I145">IF(C145="","",IF(OR(H145="",H145=0,H145=FALSE),"-",H145))</f>
        <v/>
      </c>
      <c r="J145" s="8">
</c>
      <c r="K145" s="8">
</c>
      <c r="L145" s="9" cm="1" t="str">
        <f t="array" ref="L145">IF(C145="","",IF(K145="Mort / Plus rien à faire","KO","OK"))</f>
        <v/>
      </c>
      <c r="M145" s="17">
</c>
      <c r="N145" s="15" cm="1" t="str">
        <f t="array" ref="N145">IF(OR(C145="",M145="",M145=0),"",M145)</f>
        <v/>
      </c>
      <c r="O145" s="17">
</c>
      <c r="P145" s="15" cm="1" t="str">
        <f t="array" ref="P145">IF(C145="","",IF(OR(O145="",O145=0),"-",O145))</f>
        <v/>
      </c>
      <c r="Q145" s="18">
</c>
      <c r="R145" s="16" cm="1" t="str">
        <f t="array" ref="R145">IF(C145="","",ROUND(Q145/1000000,3)&amp;" M€")</f>
        <v/>
      </c>
      <c r="S145" s="19">
</c>
      <c r="T145" s="9" cm="1" t="str">
        <f t="array" ref="T145">IF(C145="","",SUBSTITUTE(S145,"","")&amp;"%")</f>
        <v/>
      </c>
      <c r="U145" s="9" cm="1" t="str">
        <f t="array" ref="U145">IF(($N145="")*($P145=""),"",IF(($N145&lt;&gt;"")*($N145&gt;TODAY()-9)*($N145&lt;TODAY()+1)*($P145&lt;&gt;"")*($P145&gt;=TODAY())*($P145&lt;=TODAY()+13),"Semaine passée &amp; à venir",IF(($N145&lt;&gt;"")*($N145&gt;TODAY()-9)*($N145&lt;TODAY()+1),"Semaine passée",IF(($P145&lt;&gt;"")*($P145&gt;=TODAY())*($P145&lt;=TODAY()+13),"À venir","Autre"))))</f>
        <v/>
      </c>
      <c r="V145" s="8" cm="1" t="n">
        <f t="array" ref="V145">IF(C145&lt;&gt;"",1,0)</f>
        <v>0</v>
      </c>
      <c r="W145" s="8">
</c>
      <c r="X145" s="8">
</c>
      <c r="Y145" s="8">
</c>
      <c r="Z145" s="8">
</c>
      <c r="AA145" s="8">
</c>
      <c r="AB145" s="8">
</c>
      <c r="AC145" s="8">
</c>
      <c r="AD145" s="8">
</c>
      <c r="AE145" s="8">
</c>
      <c r="AF145" s="8">
</c>
      <c r="AG145" s="8">
</c>
      <c r="AH145" s="8">
</c>
      <c r="AI145" s="8">
</c>
      <c r="AJ145" s="8">
</c>
      <c r="AK145" s="8">
</c>
    </row>
    <row r="146" ht="76.5" customHeight="1">
      <c r="A146" s="8">
</c>
      <c r="B146" s="8">
</c>
      <c r="C146" s="8">
</c>
      <c r="D146" s="8">
</c>
      <c r="E146" s="8">
</c>
      <c r="F146" s="8">
</c>
      <c r="G146" s="13" cm="1" t="str">
        <f t="array" ref="G146">IF(F146="","",SUBSTITUTE(SUBSTITUTE(SUBSTITUTE(SUBSTITUTE(F146,"&lt;li&gt;",CHAR(10)),"&lt;/li&gt;",""),"&lt;br&gt;",CHAR(10)),"&lt;strong&gt;",""))</f>
        <v/>
      </c>
      <c r="H146" s="13" cm="1" t="str">
        <f t="array" ref="H146">IF(G146="","",SUBSTITUTE(SUBSTITUTE(SUBSTITUTE(SUBSTITUTE(SUBSTITUTE(G146,"&lt;p&gt;",""),"&lt;/p&gt;",""),"&lt;ul&gt;",""),"&lt;/ul&gt;",""),"&lt;/strong&gt;",""))</f>
        <v/>
      </c>
      <c r="I146" s="14" cm="1" t="str">
        <f t="array" ref="I146">IF(C146="","",IF(OR(H146="",H146=0,H146=FALSE),"-",H146))</f>
        <v/>
      </c>
      <c r="J146" s="8">
</c>
      <c r="K146" s="8">
</c>
      <c r="L146" s="9" cm="1" t="str">
        <f t="array" ref="L146">IF(C146="","",IF(K146="Mort / Plus rien à faire","KO","OK"))</f>
        <v/>
      </c>
      <c r="M146" s="17">
</c>
      <c r="N146" s="15" cm="1" t="str">
        <f t="array" ref="N146">IF(OR(C146="",M146="",M146=0),"",M146)</f>
        <v/>
      </c>
      <c r="O146" s="17">
</c>
      <c r="P146" s="15" cm="1" t="str">
        <f t="array" ref="P146">IF(C146="","",IF(OR(O146="",O146=0),"-",O146))</f>
        <v/>
      </c>
      <c r="Q146" s="18">
</c>
      <c r="R146" s="16" cm="1" t="str">
        <f t="array" ref="R146">IF(C146="","",ROUND(Q146/1000000,3)&amp;" M€")</f>
        <v/>
      </c>
      <c r="S146" s="19">
</c>
      <c r="T146" s="9" cm="1" t="str">
        <f t="array" ref="T146">IF(C146="","",SUBSTITUTE(S146,"","")&amp;"%")</f>
        <v/>
      </c>
      <c r="U146" s="9" cm="1" t="str">
        <f t="array" ref="U146">IF(($N146="")*($P146=""),"",IF(($N146&lt;&gt;"")*($N146&gt;TODAY()-9)*($N146&lt;TODAY()+1)*($P146&lt;&gt;"")*($P146&gt;=TODAY())*($P146&lt;=TODAY()+13),"Semaine passée &amp; à venir",IF(($N146&lt;&gt;"")*($N146&gt;TODAY()-9)*($N146&lt;TODAY()+1),"Semaine passée",IF(($P146&lt;&gt;"")*($P146&gt;=TODAY())*($P146&lt;=TODAY()+13),"À venir","Autre"))))</f>
        <v/>
      </c>
      <c r="V146" s="8" cm="1" t="n">
        <f t="array" ref="V146">IF(C146&lt;&gt;"",1,0)</f>
        <v>0</v>
      </c>
      <c r="W146" s="8">
</c>
      <c r="X146" s="8">
</c>
      <c r="Y146" s="8">
</c>
      <c r="Z146" s="8">
</c>
      <c r="AA146" s="8">
</c>
      <c r="AB146" s="8">
</c>
      <c r="AC146" s="8">
</c>
      <c r="AD146" s="8">
</c>
      <c r="AE146" s="8">
</c>
      <c r="AF146" s="8">
</c>
      <c r="AG146" s="8">
</c>
      <c r="AH146" s="8">
</c>
      <c r="AI146" s="8">
</c>
      <c r="AJ146" s="8">
</c>
      <c r="AK146" s="8">
</c>
    </row>
    <row r="147" ht="76.5" customHeight="1">
      <c r="A147" s="8">
</c>
      <c r="B147" s="8">
</c>
      <c r="C147" s="8">
</c>
      <c r="D147" s="8">
</c>
      <c r="E147" s="8">
</c>
      <c r="F147" s="8">
</c>
      <c r="G147" s="13" cm="1" t="str">
        <f t="array" ref="G147">IF(F147="","",SUBSTITUTE(SUBSTITUTE(SUBSTITUTE(SUBSTITUTE(F147,"&lt;li&gt;",CHAR(10)),"&lt;/li&gt;",""),"&lt;br&gt;",CHAR(10)),"&lt;strong&gt;",""))</f>
        <v/>
      </c>
      <c r="H147" s="13" cm="1" t="str">
        <f t="array" ref="H147">IF(G147="","",SUBSTITUTE(SUBSTITUTE(SUBSTITUTE(SUBSTITUTE(SUBSTITUTE(G147,"&lt;p&gt;",""),"&lt;/p&gt;",""),"&lt;ul&gt;",""),"&lt;/ul&gt;",""),"&lt;/strong&gt;",""))</f>
        <v/>
      </c>
      <c r="I147" s="14" cm="1" t="str">
        <f t="array" ref="I147">IF(C147="","",IF(OR(H147="",H147=0,H147=FALSE),"-",H147))</f>
        <v/>
      </c>
      <c r="J147" s="8">
</c>
      <c r="K147" s="8">
</c>
      <c r="L147" s="9" cm="1" t="str">
        <f t="array" ref="L147">IF(C147="","",IF(K147="Mort / Plus rien à faire","KO","OK"))</f>
        <v/>
      </c>
      <c r="M147" s="17">
</c>
      <c r="N147" s="15" cm="1" t="str">
        <f t="array" ref="N147">IF(OR(C147="",M147="",M147=0),"",M147)</f>
        <v/>
      </c>
      <c r="O147" s="17">
</c>
      <c r="P147" s="15" cm="1" t="str">
        <f t="array" ref="P147">IF(C147="","",IF(OR(O147="",O147=0),"-",O147))</f>
        <v/>
      </c>
      <c r="Q147" s="18">
</c>
      <c r="R147" s="16" cm="1" t="str">
        <f t="array" ref="R147">IF(C147="","",ROUND(Q147/1000000,3)&amp;" M€")</f>
        <v/>
      </c>
      <c r="S147" s="19">
</c>
      <c r="T147" s="9" cm="1" t="str">
        <f t="array" ref="T147">IF(C147="","",SUBSTITUTE(S147,"","")&amp;"%")</f>
        <v/>
      </c>
      <c r="U147" s="9" cm="1" t="str">
        <f t="array" ref="U147">IF(($N147="")*($P147=""),"",IF(($N147&lt;&gt;"")*($N147&gt;TODAY()-9)*($N147&lt;TODAY()+1)*($P147&lt;&gt;"")*($P147&gt;=TODAY())*($P147&lt;=TODAY()+13),"Semaine passée &amp; à venir",IF(($N147&lt;&gt;"")*($N147&gt;TODAY()-9)*($N147&lt;TODAY()+1),"Semaine passée",IF(($P147&lt;&gt;"")*($P147&gt;=TODAY())*($P147&lt;=TODAY()+13),"À venir","Autre"))))</f>
        <v/>
      </c>
      <c r="V147" s="8" cm="1" t="n">
        <f t="array" ref="V147">IF(C147&lt;&gt;"",1,0)</f>
        <v>0</v>
      </c>
      <c r="W147" s="8">
</c>
      <c r="X147" s="8">
</c>
      <c r="Y147" s="8">
</c>
      <c r="Z147" s="8">
</c>
      <c r="AA147" s="8">
</c>
      <c r="AB147" s="8">
</c>
      <c r="AC147" s="8">
</c>
      <c r="AD147" s="8">
</c>
      <c r="AE147" s="8">
</c>
      <c r="AF147" s="8">
</c>
      <c r="AG147" s="8">
</c>
      <c r="AH147" s="8">
</c>
      <c r="AI147" s="8">
</c>
      <c r="AJ147" s="8">
</c>
      <c r="AK147" s="8">
</c>
    </row>
    <row r="148" ht="76.5" customHeight="1">
      <c r="A148" s="8">
</c>
      <c r="B148" s="8">
</c>
      <c r="C148" s="8">
</c>
      <c r="D148" s="8">
</c>
      <c r="E148" s="8">
</c>
      <c r="F148" s="8">
</c>
      <c r="G148" s="13" cm="1" t="str">
        <f t="array" ref="G148">IF(F148="","",SUBSTITUTE(SUBSTITUTE(SUBSTITUTE(SUBSTITUTE(F148,"&lt;li&gt;",CHAR(10)),"&lt;/li&gt;",""),"&lt;br&gt;",CHAR(10)),"&lt;strong&gt;",""))</f>
        <v/>
      </c>
      <c r="H148" s="13" cm="1" t="str">
        <f t="array" ref="H148">IF(G148="","",SUBSTITUTE(SUBSTITUTE(SUBSTITUTE(SUBSTITUTE(SUBSTITUTE(G148,"&lt;p&gt;",""),"&lt;/p&gt;",""),"&lt;ul&gt;",""),"&lt;/ul&gt;",""),"&lt;/strong&gt;",""))</f>
        <v/>
      </c>
      <c r="I148" s="14" cm="1" t="str">
        <f t="array" ref="I148">IF(C148="","",IF(OR(H148="",H148=0,H148=FALSE),"-",H148))</f>
        <v/>
      </c>
      <c r="J148" s="8">
</c>
      <c r="K148" s="8">
</c>
      <c r="L148" s="9" cm="1" t="str">
        <f t="array" ref="L148">IF(C148="","",IF(K148="Mort / Plus rien à faire","KO","OK"))</f>
        <v/>
      </c>
      <c r="M148" s="17">
</c>
      <c r="N148" s="15" cm="1" t="str">
        <f t="array" ref="N148">IF(OR(C148="",M148="",M148=0),"",M148)</f>
        <v/>
      </c>
      <c r="O148" s="17">
</c>
      <c r="P148" s="15" cm="1" t="str">
        <f t="array" ref="P148">IF(C148="","",IF(OR(O148="",O148=0),"-",O148))</f>
        <v/>
      </c>
      <c r="Q148" s="18">
</c>
      <c r="R148" s="16" cm="1" t="str">
        <f t="array" ref="R148">IF(C148="","",ROUND(Q148/1000000,3)&amp;" M€")</f>
        <v/>
      </c>
      <c r="S148" s="19">
</c>
      <c r="T148" s="9" cm="1" t="str">
        <f t="array" ref="T148">IF(C148="","",SUBSTITUTE(S148,"","")&amp;"%")</f>
        <v/>
      </c>
      <c r="U148" s="9" cm="1" t="str">
        <f t="array" ref="U148">IF(($N148="")*($P148=""),"",IF(($N148&lt;&gt;"")*($N148&gt;TODAY()-9)*($N148&lt;TODAY()+1)*($P148&lt;&gt;"")*($P148&gt;=TODAY())*($P148&lt;=TODAY()+13),"Semaine passée &amp; à venir",IF(($N148&lt;&gt;"")*($N148&gt;TODAY()-9)*($N148&lt;TODAY()+1),"Semaine passée",IF(($P148&lt;&gt;"")*($P148&gt;=TODAY())*($P148&lt;=TODAY()+13),"À venir","Autre"))))</f>
        <v/>
      </c>
      <c r="V148" s="8" cm="1" t="n">
        <f t="array" ref="V148">IF(C148&lt;&gt;"",1,0)</f>
        <v>0</v>
      </c>
      <c r="W148" s="8">
</c>
      <c r="X148" s="8">
</c>
      <c r="Y148" s="8">
</c>
      <c r="Z148" s="8">
</c>
      <c r="AA148" s="8">
</c>
      <c r="AB148" s="8">
</c>
      <c r="AC148" s="8">
</c>
      <c r="AD148" s="8">
</c>
      <c r="AE148" s="8">
</c>
      <c r="AF148" s="8">
</c>
      <c r="AG148" s="8">
</c>
      <c r="AH148" s="8">
</c>
      <c r="AI148" s="8">
</c>
      <c r="AJ148" s="8">
</c>
      <c r="AK148" s="8">
</c>
    </row>
    <row r="149" ht="76.5" customHeight="1">
      <c r="A149" s="8">
</c>
      <c r="B149" s="8">
</c>
      <c r="C149" s="8">
</c>
      <c r="D149" s="8">
</c>
      <c r="E149" s="8">
</c>
      <c r="F149" s="8">
</c>
      <c r="G149" s="13" cm="1" t="str">
        <f t="array" ref="G149">IF(F149="","",SUBSTITUTE(SUBSTITUTE(SUBSTITUTE(SUBSTITUTE(F149,"&lt;li&gt;",CHAR(10)),"&lt;/li&gt;",""),"&lt;br&gt;",CHAR(10)),"&lt;strong&gt;",""))</f>
        <v/>
      </c>
      <c r="H149" s="13" cm="1" t="str">
        <f t="array" ref="H149">IF(G149="","",SUBSTITUTE(SUBSTITUTE(SUBSTITUTE(SUBSTITUTE(SUBSTITUTE(G149,"&lt;p&gt;",""),"&lt;/p&gt;",""),"&lt;ul&gt;",""),"&lt;/ul&gt;",""),"&lt;/strong&gt;",""))</f>
        <v/>
      </c>
      <c r="I149" s="14" cm="1" t="str">
        <f t="array" ref="I149">IF(C149="","",IF(OR(H149="",H149=0,H149=FALSE),"-",H149))</f>
        <v/>
      </c>
      <c r="J149" s="8">
</c>
      <c r="K149" s="8">
</c>
      <c r="L149" s="9" cm="1" t="str">
        <f t="array" ref="L149">IF(C149="","",IF(K149="Mort / Plus rien à faire","KO","OK"))</f>
        <v/>
      </c>
      <c r="M149" s="17">
</c>
      <c r="N149" s="15" cm="1" t="str">
        <f t="array" ref="N149">IF(OR(C149="",M149="",M149=0),"",M149)</f>
        <v/>
      </c>
      <c r="O149" s="17">
</c>
      <c r="P149" s="15" cm="1" t="str">
        <f t="array" ref="P149">IF(C149="","",IF(OR(O149="",O149=0),"-",O149))</f>
        <v/>
      </c>
      <c r="Q149" s="18">
</c>
      <c r="R149" s="16" cm="1" t="str">
        <f t="array" ref="R149">IF(C149="","",ROUND(Q149/1000000,3)&amp;" M€")</f>
        <v/>
      </c>
      <c r="S149" s="19">
</c>
      <c r="T149" s="9" cm="1" t="str">
        <f t="array" ref="T149">IF(C149="","",SUBSTITUTE(S149,"","")&amp;"%")</f>
        <v/>
      </c>
      <c r="U149" s="9" cm="1" t="str">
        <f t="array" ref="U149">IF(($N149="")*($P149=""),"",IF(($N149&lt;&gt;"")*($N149&gt;TODAY()-9)*($N149&lt;TODAY()+1)*($P149&lt;&gt;"")*($P149&gt;=TODAY())*($P149&lt;=TODAY()+13),"Semaine passée &amp; à venir",IF(($N149&lt;&gt;"")*($N149&gt;TODAY()-9)*($N149&lt;TODAY()+1),"Semaine passée",IF(($P149&lt;&gt;"")*($P149&gt;=TODAY())*($P149&lt;=TODAY()+13),"À venir","Autre"))))</f>
        <v/>
      </c>
      <c r="V149" s="8" cm="1" t="n">
        <f t="array" ref="V149">IF(C149&lt;&gt;"",1,0)</f>
        <v>0</v>
      </c>
      <c r="W149" s="8">
</c>
      <c r="X149" s="8">
</c>
      <c r="Y149" s="8">
</c>
      <c r="Z149" s="8">
</c>
      <c r="AA149" s="8">
</c>
      <c r="AB149" s="8">
</c>
      <c r="AC149" s="8">
</c>
      <c r="AD149" s="8">
</c>
      <c r="AE149" s="8">
</c>
      <c r="AF149" s="8">
</c>
      <c r="AG149" s="8">
</c>
      <c r="AH149" s="8">
</c>
      <c r="AI149" s="8">
</c>
      <c r="AJ149" s="8">
</c>
      <c r="AK149" s="8">
</c>
    </row>
    <row r="150" ht="76.5" customHeight="1">
      <c r="A150" s="8">
</c>
      <c r="B150" s="8">
</c>
      <c r="C150" s="8">
</c>
      <c r="D150" s="8">
</c>
      <c r="E150" s="8">
</c>
      <c r="F150" s="8">
</c>
      <c r="G150" s="13" cm="1" t="str">
        <f t="array" ref="G150">IF(F150="","",SUBSTITUTE(SUBSTITUTE(SUBSTITUTE(SUBSTITUTE(F150,"&lt;li&gt;",CHAR(10)),"&lt;/li&gt;",""),"&lt;br&gt;",CHAR(10)),"&lt;strong&gt;",""))</f>
        <v/>
      </c>
      <c r="H150" s="13" cm="1" t="str">
        <f t="array" ref="H150">IF(G150="","",SUBSTITUTE(SUBSTITUTE(SUBSTITUTE(SUBSTITUTE(SUBSTITUTE(G150,"&lt;p&gt;",""),"&lt;/p&gt;",""),"&lt;ul&gt;",""),"&lt;/ul&gt;",""),"&lt;/strong&gt;",""))</f>
        <v/>
      </c>
      <c r="I150" s="14" cm="1" t="str">
        <f t="array" ref="I150">IF(C150="","",IF(OR(H150="",H150=0,H150=FALSE),"-",H150))</f>
        <v/>
      </c>
      <c r="J150" s="8">
</c>
      <c r="K150" s="8">
</c>
      <c r="L150" s="9" cm="1" t="str">
        <f t="array" ref="L150">IF(C150="","",IF(K150="Mort / Plus rien à faire","KO","OK"))</f>
        <v/>
      </c>
      <c r="M150" s="17">
</c>
      <c r="N150" s="15" cm="1" t="str">
        <f t="array" ref="N150">IF(OR(C150="",M150="",M150=0),"",M150)</f>
        <v/>
      </c>
      <c r="O150" s="17">
</c>
      <c r="P150" s="15" cm="1" t="str">
        <f t="array" ref="P150">IF(C150="","",IF(OR(O150="",O150=0),"-",O150))</f>
        <v/>
      </c>
      <c r="Q150" s="18">
</c>
      <c r="R150" s="16" cm="1" t="str">
        <f t="array" ref="R150">IF(C150="","",ROUND(Q150/1000000,3)&amp;" M€")</f>
        <v/>
      </c>
      <c r="S150" s="19">
</c>
      <c r="T150" s="9" cm="1" t="str">
        <f t="array" ref="T150">IF(C150="","",SUBSTITUTE(S150,"","")&amp;"%")</f>
        <v/>
      </c>
      <c r="U150" s="9" cm="1" t="str">
        <f t="array" ref="U150">IF(($N150="")*($P150=""),"",IF(($N150&lt;&gt;"")*($N150&gt;TODAY()-9)*($N150&lt;TODAY()+1)*($P150&lt;&gt;"")*($P150&gt;=TODAY())*($P150&lt;=TODAY()+13),"Semaine passée &amp; à venir",IF(($N150&lt;&gt;"")*($N150&gt;TODAY()-9)*($N150&lt;TODAY()+1),"Semaine passée",IF(($P150&lt;&gt;"")*($P150&gt;=TODAY())*($P150&lt;=TODAY()+13),"À venir","Autre"))))</f>
        <v/>
      </c>
      <c r="V150" s="8" cm="1" t="n">
        <f t="array" ref="V150">IF(C150&lt;&gt;"",1,0)</f>
        <v>0</v>
      </c>
      <c r="W150" s="8">
</c>
      <c r="X150" s="8">
</c>
      <c r="Y150" s="8">
</c>
      <c r="Z150" s="8">
</c>
      <c r="AA150" s="8">
</c>
      <c r="AB150" s="8">
</c>
      <c r="AC150" s="8">
</c>
      <c r="AD150" s="8">
</c>
      <c r="AE150" s="8">
</c>
      <c r="AF150" s="8">
</c>
      <c r="AG150" s="8">
</c>
      <c r="AH150" s="8">
</c>
      <c r="AI150" s="8">
</c>
      <c r="AJ150" s="8">
</c>
      <c r="AK150" s="8">
</c>
    </row>
    <row r="151" ht="76.5" customHeight="1">
      <c r="A151" s="8">
</c>
      <c r="B151" s="8">
</c>
      <c r="C151" s="8">
</c>
      <c r="D151" s="8">
</c>
      <c r="E151" s="8">
</c>
      <c r="F151" s="8">
</c>
      <c r="G151" s="13" cm="1" t="str">
        <f t="array" ref="G151">IF(F151="","",SUBSTITUTE(SUBSTITUTE(SUBSTITUTE(SUBSTITUTE(F151,"&lt;li&gt;",CHAR(10)),"&lt;/li&gt;",""),"&lt;br&gt;",CHAR(10)),"&lt;strong&gt;",""))</f>
        <v/>
      </c>
      <c r="H151" s="13" cm="1" t="str">
        <f t="array" ref="H151">IF(G151="","",SUBSTITUTE(SUBSTITUTE(SUBSTITUTE(SUBSTITUTE(SUBSTITUTE(G151,"&lt;p&gt;",""),"&lt;/p&gt;",""),"&lt;ul&gt;",""),"&lt;/ul&gt;",""),"&lt;/strong&gt;",""))</f>
        <v/>
      </c>
      <c r="I151" s="14" cm="1" t="str">
        <f t="array" ref="I151">IF(C151="","",IF(OR(H151="",H151=0,H151=FALSE),"-",H151))</f>
        <v/>
      </c>
      <c r="J151" s="8">
</c>
      <c r="K151" s="8">
</c>
      <c r="L151" s="9" cm="1" t="str">
        <f t="array" ref="L151">IF(C151="","",IF(K151="Mort / Plus rien à faire","KO","OK"))</f>
        <v/>
      </c>
      <c r="M151" s="17">
</c>
      <c r="N151" s="15" cm="1" t="str">
        <f t="array" ref="N151">IF(OR(C151="",M151="",M151=0),"",M151)</f>
        <v/>
      </c>
      <c r="O151" s="17">
</c>
      <c r="P151" s="15" cm="1" t="str">
        <f t="array" ref="P151">IF(C151="","",IF(OR(O151="",O151=0),"-",O151))</f>
        <v/>
      </c>
      <c r="Q151" s="18">
</c>
      <c r="R151" s="16" cm="1" t="str">
        <f t="array" ref="R151">IF(C151="","",ROUND(Q151/1000000,3)&amp;" M€")</f>
        <v/>
      </c>
      <c r="S151" s="19">
</c>
      <c r="T151" s="9" cm="1" t="str">
        <f t="array" ref="T151">IF(C151="","",SUBSTITUTE(S151,"","")&amp;"%")</f>
        <v/>
      </c>
      <c r="U151" s="9" cm="1" t="str">
        <f t="array" ref="U151">IF(($N151="")*($P151=""),"",IF(($N151&lt;&gt;"")*($N151&gt;TODAY()-9)*($N151&lt;TODAY()+1)*($P151&lt;&gt;"")*($P151&gt;=TODAY())*($P151&lt;=TODAY()+13),"Semaine passée &amp; à venir",IF(($N151&lt;&gt;"")*($N151&gt;TODAY()-9)*($N151&lt;TODAY()+1),"Semaine passée",IF(($P151&lt;&gt;"")*($P151&gt;=TODAY())*($P151&lt;=TODAY()+13),"À venir","Autre"))))</f>
        <v/>
      </c>
      <c r="V151" s="8" cm="1" t="n">
        <f t="array" ref="V151">IF(C151&lt;&gt;"",1,0)</f>
        <v>0</v>
      </c>
      <c r="W151" s="8">
</c>
      <c r="X151" s="8">
</c>
      <c r="Y151" s="8">
</c>
      <c r="Z151" s="8">
</c>
      <c r="AA151" s="8">
</c>
      <c r="AB151" s="8">
</c>
      <c r="AC151" s="8">
</c>
      <c r="AD151" s="8">
</c>
      <c r="AE151" s="8">
</c>
      <c r="AF151" s="8">
</c>
      <c r="AG151" s="8">
</c>
      <c r="AH151" s="8">
</c>
      <c r="AI151" s="8">
</c>
      <c r="AJ151" s="8">
</c>
      <c r="AK151" s="8">
</c>
    </row>
    <row r="152" ht="76.5" customHeight="1">
      <c r="A152" s="8">
</c>
      <c r="B152" s="8">
</c>
      <c r="C152" s="8">
</c>
      <c r="D152" s="8">
</c>
      <c r="E152" s="8">
</c>
      <c r="F152" s="8">
</c>
      <c r="G152" s="13" cm="1" t="str">
        <f t="array" ref="G152">IF(F152="","",SUBSTITUTE(SUBSTITUTE(SUBSTITUTE(SUBSTITUTE(F152,"&lt;li&gt;",CHAR(10)),"&lt;/li&gt;",""),"&lt;br&gt;",CHAR(10)),"&lt;strong&gt;",""))</f>
        <v/>
      </c>
      <c r="H152" s="13" cm="1" t="str">
        <f t="array" ref="H152">IF(G152="","",SUBSTITUTE(SUBSTITUTE(SUBSTITUTE(SUBSTITUTE(SUBSTITUTE(G152,"&lt;p&gt;",""),"&lt;/p&gt;",""),"&lt;ul&gt;",""),"&lt;/ul&gt;",""),"&lt;/strong&gt;",""))</f>
        <v/>
      </c>
      <c r="I152" s="14" cm="1" t="str">
        <f t="array" ref="I152">IF(C152="","",IF(OR(H152="",H152=0,H152=FALSE),"-",H152))</f>
        <v/>
      </c>
      <c r="J152" s="8">
</c>
      <c r="K152" s="8">
</c>
      <c r="L152" s="9" cm="1" t="str">
        <f t="array" ref="L152">IF(C152="","",IF(K152="Mort / Plus rien à faire","KO","OK"))</f>
        <v/>
      </c>
      <c r="M152" s="17">
</c>
      <c r="N152" s="15" cm="1" t="str">
        <f t="array" ref="N152">IF(OR(C152="",M152="",M152=0),"",M152)</f>
        <v/>
      </c>
      <c r="O152" s="17">
</c>
      <c r="P152" s="15" cm="1" t="str">
        <f t="array" ref="P152">IF(C152="","",IF(OR(O152="",O152=0),"-",O152))</f>
        <v/>
      </c>
      <c r="Q152" s="18">
</c>
      <c r="R152" s="16" cm="1" t="str">
        <f t="array" ref="R152">IF(C152="","",ROUND(Q152/1000000,3)&amp;" M€")</f>
        <v/>
      </c>
      <c r="S152" s="19">
</c>
      <c r="T152" s="9" cm="1" t="str">
        <f t="array" ref="T152">IF(C152="","",SUBSTITUTE(S152,"","")&amp;"%")</f>
        <v/>
      </c>
      <c r="U152" s="9" cm="1" t="str">
        <f t="array" ref="U152">IF(($N152="")*($P152=""),"",IF(($N152&lt;&gt;"")*($N152&gt;TODAY()-9)*($N152&lt;TODAY()+1)*($P152&lt;&gt;"")*($P152&gt;=TODAY())*($P152&lt;=TODAY()+13),"Semaine passée &amp; à venir",IF(($N152&lt;&gt;"")*($N152&gt;TODAY()-9)*($N152&lt;TODAY()+1),"Semaine passée",IF(($P152&lt;&gt;"")*($P152&gt;=TODAY())*($P152&lt;=TODAY()+13),"À venir","Autre"))))</f>
        <v/>
      </c>
      <c r="V152" s="8" cm="1" t="n">
        <f t="array" ref="V152">IF(C152&lt;&gt;"",1,0)</f>
        <v>0</v>
      </c>
      <c r="W152" s="8">
</c>
      <c r="X152" s="8">
</c>
      <c r="Y152" s="8">
</c>
      <c r="Z152" s="8">
</c>
      <c r="AA152" s="8">
</c>
      <c r="AB152" s="8">
</c>
      <c r="AC152" s="8">
</c>
      <c r="AD152" s="8">
</c>
      <c r="AE152" s="8">
</c>
      <c r="AF152" s="8">
</c>
      <c r="AG152" s="8">
</c>
      <c r="AH152" s="8">
</c>
      <c r="AI152" s="8">
</c>
      <c r="AJ152" s="8">
</c>
      <c r="AK152" s="8">
</c>
    </row>
    <row r="153" ht="76.5" customHeight="1">
      <c r="A153" s="8">
</c>
      <c r="B153" s="8">
</c>
      <c r="C153" s="8">
</c>
      <c r="D153" s="8">
</c>
      <c r="E153" s="8">
</c>
      <c r="F153" s="8">
</c>
      <c r="G153" s="13" cm="1" t="str">
        <f t="array" ref="G153">IF(F153="","",SUBSTITUTE(SUBSTITUTE(SUBSTITUTE(SUBSTITUTE(F153,"&lt;li&gt;",CHAR(10)),"&lt;/li&gt;",""),"&lt;br&gt;",CHAR(10)),"&lt;strong&gt;",""))</f>
        <v/>
      </c>
      <c r="H153" s="13" cm="1" t="str">
        <f t="array" ref="H153">IF(G153="","",SUBSTITUTE(SUBSTITUTE(SUBSTITUTE(SUBSTITUTE(SUBSTITUTE(G153,"&lt;p&gt;",""),"&lt;/p&gt;",""),"&lt;ul&gt;",""),"&lt;/ul&gt;",""),"&lt;/strong&gt;",""))</f>
        <v/>
      </c>
      <c r="I153" s="14" cm="1" t="str">
        <f t="array" ref="I153">IF(C153="","",IF(OR(H153="",H153=0,H153=FALSE),"-",H153))</f>
        <v/>
      </c>
      <c r="J153" s="8">
</c>
      <c r="K153" s="8">
</c>
      <c r="L153" s="9" cm="1" t="str">
        <f t="array" ref="L153">IF(C153="","",IF(K153="Mort / Plus rien à faire","KO","OK"))</f>
        <v/>
      </c>
      <c r="M153" s="17">
</c>
      <c r="N153" s="15" cm="1" t="str">
        <f t="array" ref="N153">IF(OR(C153="",M153="",M153=0),"",M153)</f>
        <v/>
      </c>
      <c r="O153" s="17">
</c>
      <c r="P153" s="15" cm="1" t="str">
        <f t="array" ref="P153">IF(C153="","",IF(OR(O153="",O153=0),"-",O153))</f>
        <v/>
      </c>
      <c r="Q153" s="18">
</c>
      <c r="R153" s="16" cm="1" t="str">
        <f t="array" ref="R153">IF(C153="","",ROUND(Q153/1000000,3)&amp;" M€")</f>
        <v/>
      </c>
      <c r="S153" s="19">
</c>
      <c r="T153" s="9" cm="1" t="str">
        <f t="array" ref="T153">IF(C153="","",SUBSTITUTE(S153,"","")&amp;"%")</f>
        <v/>
      </c>
      <c r="U153" s="9" cm="1" t="str">
        <f t="array" ref="U153">IF(($N153="")*($P153=""),"",IF(($N153&lt;&gt;"")*($N153&gt;TODAY()-9)*($N153&lt;TODAY()+1)*($P153&lt;&gt;"")*($P153&gt;=TODAY())*($P153&lt;=TODAY()+13),"Semaine passée &amp; à venir",IF(($N153&lt;&gt;"")*($N153&gt;TODAY()-9)*($N153&lt;TODAY()+1),"Semaine passée",IF(($P153&lt;&gt;"")*($P153&gt;=TODAY())*($P153&lt;=TODAY()+13),"À venir","Autre"))))</f>
        <v/>
      </c>
      <c r="V153" s="8" cm="1" t="n">
        <f t="array" ref="V153">IF(C153&lt;&gt;"",1,0)</f>
        <v>0</v>
      </c>
      <c r="W153" s="8">
</c>
      <c r="X153" s="8">
</c>
      <c r="Y153" s="8">
</c>
      <c r="Z153" s="8">
</c>
      <c r="AA153" s="8">
</c>
      <c r="AB153" s="8">
</c>
      <c r="AC153" s="8">
</c>
      <c r="AD153" s="8">
</c>
      <c r="AE153" s="8">
</c>
      <c r="AF153" s="8">
</c>
      <c r="AG153" s="8">
</c>
      <c r="AH153" s="8">
</c>
      <c r="AI153" s="8">
</c>
      <c r="AJ153" s="8">
</c>
      <c r="AK153" s="8">
</c>
    </row>
    <row r="154" ht="76.5" customHeight="1">
      <c r="A154" s="8">
</c>
      <c r="B154" s="8">
</c>
      <c r="C154" s="8">
</c>
      <c r="D154" s="8">
</c>
      <c r="E154" s="8">
</c>
      <c r="F154" s="8">
</c>
      <c r="G154" s="13" cm="1" t="str">
        <f t="array" ref="G154">IF(F154="","",SUBSTITUTE(SUBSTITUTE(SUBSTITUTE(SUBSTITUTE(F154,"&lt;li&gt;",CHAR(10)),"&lt;/li&gt;",""),"&lt;br&gt;",CHAR(10)),"&lt;strong&gt;",""))</f>
        <v/>
      </c>
      <c r="H154" s="13" cm="1" t="str">
        <f t="array" ref="H154">IF(G154="","",SUBSTITUTE(SUBSTITUTE(SUBSTITUTE(SUBSTITUTE(SUBSTITUTE(G154,"&lt;p&gt;",""),"&lt;/p&gt;",""),"&lt;ul&gt;",""),"&lt;/ul&gt;",""),"&lt;/strong&gt;",""))</f>
        <v/>
      </c>
      <c r="I154" s="14" cm="1" t="str">
        <f t="array" ref="I154">IF(C154="","",IF(OR(H154="",H154=0,H154=FALSE),"-",H154))</f>
        <v/>
      </c>
      <c r="J154" s="8">
</c>
      <c r="K154" s="8">
</c>
      <c r="L154" s="9" cm="1" t="str">
        <f t="array" ref="L154">IF(C154="","",IF(K154="Mort / Plus rien à faire","KO","OK"))</f>
        <v/>
      </c>
      <c r="M154" s="17">
</c>
      <c r="N154" s="15" cm="1" t="str">
        <f t="array" ref="N154">IF(OR(C154="",M154="",M154=0),"",M154)</f>
        <v/>
      </c>
      <c r="O154" s="17">
</c>
      <c r="P154" s="15" cm="1" t="str">
        <f t="array" ref="P154">IF(C154="","",IF(OR(O154="",O154=0),"-",O154))</f>
        <v/>
      </c>
      <c r="Q154" s="18">
</c>
      <c r="R154" s="16" cm="1" t="str">
        <f t="array" ref="R154">IF(C154="","",ROUND(Q154/1000000,3)&amp;" M€")</f>
        <v/>
      </c>
      <c r="S154" s="19">
</c>
      <c r="T154" s="9" cm="1" t="str">
        <f t="array" ref="T154">IF(C154="","",SUBSTITUTE(S154,"","")&amp;"%")</f>
        <v/>
      </c>
      <c r="U154" s="9" cm="1" t="str">
        <f t="array" ref="U154">IF(($N154="")*($P154=""),"",IF(($N154&lt;&gt;"")*($N154&gt;TODAY()-9)*($N154&lt;TODAY()+1)*($P154&lt;&gt;"")*($P154&gt;=TODAY())*($P154&lt;=TODAY()+13),"Semaine passée &amp; à venir",IF(($N154&lt;&gt;"")*($N154&gt;TODAY()-9)*($N154&lt;TODAY()+1),"Semaine passée",IF(($P154&lt;&gt;"")*($P154&gt;=TODAY())*($P154&lt;=TODAY()+13),"À venir","Autre"))))</f>
        <v/>
      </c>
      <c r="V154" s="8" cm="1" t="n">
        <f t="array" ref="V154">IF(C154&lt;&gt;"",1,0)</f>
        <v>0</v>
      </c>
      <c r="W154" s="8">
</c>
      <c r="X154" s="8">
</c>
      <c r="Y154" s="8">
</c>
      <c r="Z154" s="8">
</c>
      <c r="AA154" s="8">
</c>
      <c r="AB154" s="8">
</c>
      <c r="AC154" s="8">
</c>
      <c r="AD154" s="8">
</c>
      <c r="AE154" s="8">
</c>
      <c r="AF154" s="8">
</c>
      <c r="AG154" s="8">
</c>
      <c r="AH154" s="8">
</c>
      <c r="AI154" s="8">
</c>
      <c r="AJ154" s="8">
</c>
      <c r="AK154" s="8">
</c>
    </row>
    <row r="155" ht="76.5" customHeight="1">
      <c r="A155" s="8">
</c>
      <c r="B155" s="8">
</c>
      <c r="C155" s="8">
</c>
      <c r="D155" s="8">
</c>
      <c r="E155" s="8">
</c>
      <c r="F155" s="8">
</c>
      <c r="G155" s="13" cm="1" t="str">
        <f t="array" ref="G155">IF(F155="","",SUBSTITUTE(SUBSTITUTE(SUBSTITUTE(SUBSTITUTE(F155,"&lt;li&gt;",CHAR(10)),"&lt;/li&gt;",""),"&lt;br&gt;",CHAR(10)),"&lt;strong&gt;",""))</f>
        <v/>
      </c>
      <c r="H155" s="13" cm="1" t="str">
        <f t="array" ref="H155">IF(G155="","",SUBSTITUTE(SUBSTITUTE(SUBSTITUTE(SUBSTITUTE(SUBSTITUTE(G155,"&lt;p&gt;",""),"&lt;/p&gt;",""),"&lt;ul&gt;",""),"&lt;/ul&gt;",""),"&lt;/strong&gt;",""))</f>
        <v/>
      </c>
      <c r="I155" s="14" cm="1" t="str">
        <f t="array" ref="I155">IF(C155="","",IF(OR(H155="",H155=0,H155=FALSE),"-",H155))</f>
        <v/>
      </c>
      <c r="J155" s="8">
</c>
      <c r="K155" s="8">
</c>
      <c r="L155" s="9" cm="1" t="str">
        <f t="array" ref="L155">IF(C155="","",IF(K155="Mort / Plus rien à faire","KO","OK"))</f>
        <v/>
      </c>
      <c r="M155" s="17">
</c>
      <c r="N155" s="15" cm="1" t="str">
        <f t="array" ref="N155">IF(OR(C155="",M155="",M155=0),"",M155)</f>
        <v/>
      </c>
      <c r="O155" s="17">
</c>
      <c r="P155" s="15" cm="1" t="str">
        <f t="array" ref="P155">IF(C155="","",IF(OR(O155="",O155=0),"-",O155))</f>
        <v/>
      </c>
      <c r="Q155" s="18">
</c>
      <c r="R155" s="16" cm="1" t="str">
        <f t="array" ref="R155">IF(C155="","",ROUND(Q155/1000000,3)&amp;" M€")</f>
        <v/>
      </c>
      <c r="S155" s="19">
</c>
      <c r="T155" s="9" cm="1" t="str">
        <f t="array" ref="T155">IF(C155="","",SUBSTITUTE(S155,"","")&amp;"%")</f>
        <v/>
      </c>
      <c r="U155" s="9" cm="1" t="str">
        <f t="array" ref="U155">IF(($N155="")*($P155=""),"",IF(($N155&lt;&gt;"")*($N155&gt;TODAY()-9)*($N155&lt;TODAY()+1)*($P155&lt;&gt;"")*($P155&gt;=TODAY())*($P155&lt;=TODAY()+13),"Semaine passée &amp; à venir",IF(($N155&lt;&gt;"")*($N155&gt;TODAY()-9)*($N155&lt;TODAY()+1),"Semaine passée",IF(($P155&lt;&gt;"")*($P155&gt;=TODAY())*($P155&lt;=TODAY()+13),"À venir","Autre"))))</f>
        <v/>
      </c>
      <c r="V155" s="8" cm="1" t="n">
        <f t="array" ref="V155">IF(C155&lt;&gt;"",1,0)</f>
        <v>0</v>
      </c>
      <c r="W155" s="8">
</c>
      <c r="X155" s="8">
</c>
      <c r="Y155" s="8">
</c>
      <c r="Z155" s="8">
</c>
      <c r="AA155" s="8">
</c>
      <c r="AB155" s="8">
</c>
      <c r="AC155" s="8">
</c>
      <c r="AD155" s="8">
</c>
      <c r="AE155" s="8">
</c>
      <c r="AF155" s="8">
</c>
      <c r="AG155" s="8">
</c>
      <c r="AH155" s="8">
</c>
      <c r="AI155" s="8">
</c>
      <c r="AJ155" s="8">
</c>
      <c r="AK155" s="8">
</c>
    </row>
    <row r="156" ht="76.5" customHeight="1">
      <c r="A156" s="8">
</c>
      <c r="B156" s="8">
</c>
      <c r="C156" s="8">
</c>
      <c r="D156" s="8">
</c>
      <c r="E156" s="8">
</c>
      <c r="F156" s="8">
</c>
      <c r="G156" s="13" cm="1" t="str">
        <f t="array" ref="G156">IF(F156="","",SUBSTITUTE(SUBSTITUTE(SUBSTITUTE(SUBSTITUTE(F156,"&lt;li&gt;",CHAR(10)),"&lt;/li&gt;",""),"&lt;br&gt;",CHAR(10)),"&lt;strong&gt;",""))</f>
        <v/>
      </c>
      <c r="H156" s="13" cm="1" t="str">
        <f t="array" ref="H156">IF(G156="","",SUBSTITUTE(SUBSTITUTE(SUBSTITUTE(SUBSTITUTE(SUBSTITUTE(G156,"&lt;p&gt;",""),"&lt;/p&gt;",""),"&lt;ul&gt;",""),"&lt;/ul&gt;",""),"&lt;/strong&gt;",""))</f>
        <v/>
      </c>
      <c r="I156" s="14" cm="1" t="str">
        <f t="array" ref="I156">IF(C156="","",IF(OR(H156="",H156=0,H156=FALSE),"-",H156))</f>
        <v/>
      </c>
      <c r="J156" s="8">
</c>
      <c r="K156" s="8">
</c>
      <c r="L156" s="9" cm="1" t="str">
        <f t="array" ref="L156">IF(C156="","",IF(K156="Mort / Plus rien à faire","KO","OK"))</f>
        <v/>
      </c>
      <c r="M156" s="17">
</c>
      <c r="N156" s="15" cm="1" t="str">
        <f t="array" ref="N156">IF(OR(C156="",M156="",M156=0),"",M156)</f>
        <v/>
      </c>
      <c r="O156" s="17">
</c>
      <c r="P156" s="15" cm="1" t="str">
        <f t="array" ref="P156">IF(C156="","",IF(OR(O156="",O156=0),"-",O156))</f>
        <v/>
      </c>
      <c r="Q156" s="18">
</c>
      <c r="R156" s="16" cm="1" t="str">
        <f t="array" ref="R156">IF(C156="","",ROUND(Q156/1000000,3)&amp;" M€")</f>
        <v/>
      </c>
      <c r="S156" s="19">
</c>
      <c r="T156" s="9" cm="1" t="str">
        <f t="array" ref="T156">IF(C156="","",SUBSTITUTE(S156,"","")&amp;"%")</f>
        <v/>
      </c>
      <c r="U156" s="9" cm="1" t="str">
        <f t="array" ref="U156">IF(($N156="")*($P156=""),"",IF(($N156&lt;&gt;"")*($N156&gt;TODAY()-9)*($N156&lt;TODAY()+1)*($P156&lt;&gt;"")*($P156&gt;=TODAY())*($P156&lt;=TODAY()+13),"Semaine passée &amp; à venir",IF(($N156&lt;&gt;"")*($N156&gt;TODAY()-9)*($N156&lt;TODAY()+1),"Semaine passée",IF(($P156&lt;&gt;"")*($P156&gt;=TODAY())*($P156&lt;=TODAY()+13),"À venir","Autre"))))</f>
        <v/>
      </c>
      <c r="V156" s="8" cm="1" t="n">
        <f t="array" ref="V156">IF(C156&lt;&gt;"",1,0)</f>
        <v>0</v>
      </c>
      <c r="W156" s="8">
</c>
      <c r="X156" s="8">
</c>
      <c r="Y156" s="8">
</c>
      <c r="Z156" s="8">
</c>
      <c r="AA156" s="8">
</c>
      <c r="AB156" s="8">
</c>
      <c r="AC156" s="8">
</c>
      <c r="AD156" s="8">
</c>
      <c r="AE156" s="8">
</c>
      <c r="AF156" s="8">
</c>
      <c r="AG156" s="8">
</c>
      <c r="AH156" s="8">
</c>
      <c r="AI156" s="8">
</c>
      <c r="AJ156" s="8">
</c>
      <c r="AK156" s="8">
</c>
    </row>
    <row r="157" ht="76.5" customHeight="1">
      <c r="A157" s="8">
</c>
      <c r="B157" s="8">
</c>
      <c r="C157" s="8">
</c>
      <c r="D157" s="8">
</c>
      <c r="E157" s="8">
</c>
      <c r="F157" s="8">
</c>
      <c r="G157" s="13" cm="1" t="str">
        <f t="array" ref="G157">IF(F157="","",SUBSTITUTE(SUBSTITUTE(SUBSTITUTE(SUBSTITUTE(F157,"&lt;li&gt;",CHAR(10)),"&lt;/li&gt;",""),"&lt;br&gt;",CHAR(10)),"&lt;strong&gt;",""))</f>
        <v/>
      </c>
      <c r="H157" s="13" cm="1" t="str">
        <f t="array" ref="H157">IF(G157="","",SUBSTITUTE(SUBSTITUTE(SUBSTITUTE(SUBSTITUTE(SUBSTITUTE(G157,"&lt;p&gt;",""),"&lt;/p&gt;",""),"&lt;ul&gt;",""),"&lt;/ul&gt;",""),"&lt;/strong&gt;",""))</f>
        <v/>
      </c>
      <c r="I157" s="14" cm="1" t="str">
        <f t="array" ref="I157">IF(C157="","",IF(OR(H157="",H157=0,H157=FALSE),"-",H157))</f>
        <v/>
      </c>
      <c r="J157" s="8">
</c>
      <c r="K157" s="8">
</c>
      <c r="L157" s="9" cm="1" t="str">
        <f t="array" ref="L157">IF(C157="","",IF(K157="Mort / Plus rien à faire","KO","OK"))</f>
        <v/>
      </c>
      <c r="M157" s="17">
</c>
      <c r="N157" s="15" cm="1" t="str">
        <f t="array" ref="N157">IF(OR(C157="",M157="",M157=0),"",M157)</f>
        <v/>
      </c>
      <c r="O157" s="17">
</c>
      <c r="P157" s="15" cm="1" t="str">
        <f t="array" ref="P157">IF(C157="","",IF(OR(O157="",O157=0),"-",O157))</f>
        <v/>
      </c>
      <c r="Q157" s="18">
</c>
      <c r="R157" s="16" cm="1" t="str">
        <f t="array" ref="R157">IF(C157="","",ROUND(Q157/1000000,3)&amp;" M€")</f>
        <v/>
      </c>
      <c r="S157" s="19">
</c>
      <c r="T157" s="9" cm="1" t="str">
        <f t="array" ref="T157">IF(C157="","",SUBSTITUTE(S157,"","")&amp;"%")</f>
        <v/>
      </c>
      <c r="U157" s="9" cm="1" t="str">
        <f t="array" ref="U157">IF(($N157="")*($P157=""),"",IF(($N157&lt;&gt;"")*($N157&gt;TODAY()-9)*($N157&lt;TODAY()+1)*($P157&lt;&gt;"")*($P157&gt;=TODAY())*($P157&lt;=TODAY()+13),"Semaine passée &amp; à venir",IF(($N157&lt;&gt;"")*($N157&gt;TODAY()-9)*($N157&lt;TODAY()+1),"Semaine passée",IF(($P157&lt;&gt;"")*($P157&gt;=TODAY())*($P157&lt;=TODAY()+13),"À venir","Autre"))))</f>
        <v/>
      </c>
      <c r="V157" s="8" cm="1" t="n">
        <f t="array" ref="V157">IF(C157&lt;&gt;"",1,0)</f>
        <v>0</v>
      </c>
      <c r="W157" s="8">
</c>
      <c r="X157" s="8">
</c>
      <c r="Y157" s="8">
</c>
      <c r="Z157" s="8">
</c>
      <c r="AA157" s="8">
</c>
      <c r="AB157" s="8">
</c>
      <c r="AC157" s="8">
</c>
      <c r="AD157" s="8">
</c>
      <c r="AE157" s="8">
</c>
      <c r="AF157" s="8">
</c>
      <c r="AG157" s="8">
</c>
      <c r="AH157" s="8">
</c>
      <c r="AI157" s="8">
</c>
      <c r="AJ157" s="8">
</c>
      <c r="AK157" s="8">
</c>
    </row>
    <row r="158" ht="76.5" customHeight="1">
      <c r="A158" s="8">
</c>
      <c r="B158" s="8">
</c>
      <c r="C158" s="8">
</c>
      <c r="D158" s="8">
</c>
      <c r="E158" s="8">
</c>
      <c r="F158" s="8">
</c>
      <c r="G158" s="13" cm="1" t="str">
        <f t="array" ref="G158">IF(F158="","",SUBSTITUTE(SUBSTITUTE(SUBSTITUTE(SUBSTITUTE(F158,"&lt;li&gt;",CHAR(10)),"&lt;/li&gt;",""),"&lt;br&gt;",CHAR(10)),"&lt;strong&gt;",""))</f>
        <v/>
      </c>
      <c r="H158" s="13" cm="1" t="str">
        <f t="array" ref="H158">IF(G158="","",SUBSTITUTE(SUBSTITUTE(SUBSTITUTE(SUBSTITUTE(SUBSTITUTE(G158,"&lt;p&gt;",""),"&lt;/p&gt;",""),"&lt;ul&gt;",""),"&lt;/ul&gt;",""),"&lt;/strong&gt;",""))</f>
        <v/>
      </c>
      <c r="I158" s="14" cm="1" t="str">
        <f t="array" ref="I158">IF(C158="","",IF(OR(H158="",H158=0,H158=FALSE),"-",H158))</f>
        <v/>
      </c>
      <c r="J158" s="8">
</c>
      <c r="K158" s="8">
</c>
      <c r="L158" s="9" cm="1" t="str">
        <f t="array" ref="L158">IF(C158="","",IF(K158="Mort / Plus rien à faire","KO","OK"))</f>
        <v/>
      </c>
      <c r="M158" s="17">
</c>
      <c r="N158" s="15" cm="1" t="str">
        <f t="array" ref="N158">IF(OR(C158="",M158="",M158=0),"",M158)</f>
        <v/>
      </c>
      <c r="O158" s="17">
</c>
      <c r="P158" s="15" cm="1" t="str">
        <f t="array" ref="P158">IF(C158="","",IF(OR(O158="",O158=0),"-",O158))</f>
        <v/>
      </c>
      <c r="Q158" s="18">
</c>
      <c r="R158" s="16" cm="1" t="str">
        <f t="array" ref="R158">IF(C158="","",ROUND(Q158/1000000,3)&amp;" M€")</f>
        <v/>
      </c>
      <c r="S158" s="19">
</c>
      <c r="T158" s="9" cm="1" t="str">
        <f t="array" ref="T158">IF(C158="","",SUBSTITUTE(S158,"","")&amp;"%")</f>
        <v/>
      </c>
      <c r="U158" s="9" cm="1" t="str">
        <f t="array" ref="U158">IF(($N158="")*($P158=""),"",IF(($N158&lt;&gt;"")*($N158&gt;TODAY()-9)*($N158&lt;TODAY()+1)*($P158&lt;&gt;"")*($P158&gt;=TODAY())*($P158&lt;=TODAY()+13),"Semaine passée &amp; à venir",IF(($N158&lt;&gt;"")*($N158&gt;TODAY()-9)*($N158&lt;TODAY()+1),"Semaine passée",IF(($P158&lt;&gt;"")*($P158&gt;=TODAY())*($P158&lt;=TODAY()+13),"À venir","Autre"))))</f>
        <v/>
      </c>
      <c r="V158" s="8" cm="1" t="n">
        <f t="array" ref="V158">IF(C158&lt;&gt;"",1,0)</f>
        <v>0</v>
      </c>
      <c r="W158" s="8">
</c>
      <c r="X158" s="8">
</c>
      <c r="Y158" s="8">
</c>
      <c r="Z158" s="8">
</c>
      <c r="AA158" s="8">
</c>
      <c r="AB158" s="8">
</c>
      <c r="AC158" s="8">
</c>
      <c r="AD158" s="8">
</c>
      <c r="AE158" s="8">
</c>
      <c r="AF158" s="8">
</c>
      <c r="AG158" s="8">
</c>
      <c r="AH158" s="8">
</c>
      <c r="AI158" s="8">
</c>
      <c r="AJ158" s="8">
</c>
      <c r="AK158" s="8">
</c>
    </row>
    <row r="159" ht="76.5" customHeight="1">
      <c r="A159" s="8">
</c>
      <c r="B159" s="8">
</c>
      <c r="C159" s="8">
</c>
      <c r="D159" s="8">
</c>
      <c r="E159" s="8">
</c>
      <c r="F159" s="8">
</c>
      <c r="G159" s="13" cm="1" t="str">
        <f t="array" ref="G159">IF(F159="","",SUBSTITUTE(SUBSTITUTE(SUBSTITUTE(SUBSTITUTE(F159,"&lt;li&gt;",CHAR(10)),"&lt;/li&gt;",""),"&lt;br&gt;",CHAR(10)),"&lt;strong&gt;",""))</f>
        <v/>
      </c>
      <c r="H159" s="13" cm="1" t="str">
        <f t="array" ref="H159">IF(G159="","",SUBSTITUTE(SUBSTITUTE(SUBSTITUTE(SUBSTITUTE(SUBSTITUTE(G159,"&lt;p&gt;",""),"&lt;/p&gt;",""),"&lt;ul&gt;",""),"&lt;/ul&gt;",""),"&lt;/strong&gt;",""))</f>
        <v/>
      </c>
      <c r="I159" s="14" cm="1" t="str">
        <f t="array" ref="I159">IF(C159="","",IF(OR(H159="",H159=0,H159=FALSE),"-",H159))</f>
        <v/>
      </c>
      <c r="J159" s="8">
</c>
      <c r="K159" s="8">
</c>
      <c r="L159" s="9" cm="1" t="str">
        <f t="array" ref="L159">IF(C159="","",IF(K159="Mort / Plus rien à faire","KO","OK"))</f>
        <v/>
      </c>
      <c r="M159" s="17">
</c>
      <c r="N159" s="15" cm="1" t="str">
        <f t="array" ref="N159">IF(OR(C159="",M159="",M159=0),"",M159)</f>
        <v/>
      </c>
      <c r="O159" s="17">
</c>
      <c r="P159" s="15" cm="1" t="str">
        <f t="array" ref="P159">IF(C159="","",IF(OR(O159="",O159=0),"-",O159))</f>
        <v/>
      </c>
      <c r="Q159" s="18">
</c>
      <c r="R159" s="16" cm="1" t="str">
        <f t="array" ref="R159">IF(C159="","",ROUND(Q159/1000000,3)&amp;" M€")</f>
        <v/>
      </c>
      <c r="S159" s="19">
</c>
      <c r="T159" s="9" cm="1" t="str">
        <f t="array" ref="T159">IF(C159="","",SUBSTITUTE(S159,"","")&amp;"%")</f>
        <v/>
      </c>
      <c r="U159" s="9" cm="1" t="str">
        <f t="array" ref="U159">IF(($N159="")*($P159=""),"",IF(($N159&lt;&gt;"")*($N159&gt;TODAY()-9)*($N159&lt;TODAY()+1)*($P159&lt;&gt;"")*($P159&gt;=TODAY())*($P159&lt;=TODAY()+13),"Semaine passée &amp; à venir",IF(($N159&lt;&gt;"")*($N159&gt;TODAY()-9)*($N159&lt;TODAY()+1),"Semaine passée",IF(($P159&lt;&gt;"")*($P159&gt;=TODAY())*($P159&lt;=TODAY()+13),"À venir","Autre"))))</f>
        <v/>
      </c>
      <c r="V159" s="8" cm="1" t="n">
        <f t="array" ref="V159">IF(C159&lt;&gt;"",1,0)</f>
        <v>0</v>
      </c>
      <c r="W159" s="8">
</c>
      <c r="X159" s="8">
</c>
      <c r="Y159" s="8">
</c>
      <c r="Z159" s="8">
</c>
      <c r="AA159" s="8">
</c>
      <c r="AB159" s="8">
</c>
      <c r="AC159" s="8">
</c>
      <c r="AD159" s="8">
</c>
      <c r="AE159" s="8">
</c>
      <c r="AF159" s="8">
</c>
      <c r="AG159" s="8">
</c>
      <c r="AH159" s="8">
</c>
      <c r="AI159" s="8">
</c>
      <c r="AJ159" s="8">
</c>
      <c r="AK159" s="8">
</c>
    </row>
    <row r="160" ht="76.5" customHeight="1">
      <c r="A160" s="8">
</c>
      <c r="B160" s="8">
</c>
      <c r="C160" s="8">
</c>
      <c r="D160" s="8">
</c>
      <c r="E160" s="8">
</c>
      <c r="F160" s="8">
</c>
      <c r="G160" s="13" cm="1" t="str">
        <f t="array" ref="G160">IF(F160="","",SUBSTITUTE(SUBSTITUTE(SUBSTITUTE(SUBSTITUTE(F160,"&lt;li&gt;",CHAR(10)),"&lt;/li&gt;",""),"&lt;br&gt;",CHAR(10)),"&lt;strong&gt;",""))</f>
        <v/>
      </c>
      <c r="H160" s="13" cm="1" t="str">
        <f t="array" ref="H160">IF(G160="","",SUBSTITUTE(SUBSTITUTE(SUBSTITUTE(SUBSTITUTE(SUBSTITUTE(G160,"&lt;p&gt;",""),"&lt;/p&gt;",""),"&lt;ul&gt;",""),"&lt;/ul&gt;",""),"&lt;/strong&gt;",""))</f>
        <v/>
      </c>
      <c r="I160" s="14" cm="1" t="str">
        <f t="array" ref="I160">IF(C160="","",IF(OR(H160="",H160=0,H160=FALSE),"-",H160))</f>
        <v/>
      </c>
      <c r="J160" s="8">
</c>
      <c r="K160" s="8">
</c>
      <c r="L160" s="9" cm="1" t="str">
        <f t="array" ref="L160">IF(C160="","",IF(K160="Mort / Plus rien à faire","KO","OK"))</f>
        <v/>
      </c>
      <c r="M160" s="17">
</c>
      <c r="N160" s="15" cm="1" t="str">
        <f t="array" ref="N160">IF(OR(C160="",M160="",M160=0),"",M160)</f>
        <v/>
      </c>
      <c r="O160" s="17">
</c>
      <c r="P160" s="15" cm="1" t="str">
        <f t="array" ref="P160">IF(C160="","",IF(OR(O160="",O160=0),"-",O160))</f>
        <v/>
      </c>
      <c r="Q160" s="18">
</c>
      <c r="R160" s="16" cm="1" t="str">
        <f t="array" ref="R160">IF(C160="","",ROUND(Q160/1000000,3)&amp;" M€")</f>
        <v/>
      </c>
      <c r="S160" s="19">
</c>
      <c r="T160" s="9" cm="1" t="str">
        <f t="array" ref="T160">IF(C160="","",SUBSTITUTE(S160,"","")&amp;"%")</f>
        <v/>
      </c>
      <c r="U160" s="9" cm="1" t="str">
        <f t="array" ref="U160">IF(($N160="")*($P160=""),"",IF(($N160&lt;&gt;"")*($N160&gt;TODAY()-9)*($N160&lt;TODAY()+1)*($P160&lt;&gt;"")*($P160&gt;=TODAY())*($P160&lt;=TODAY()+13),"Semaine passée &amp; à venir",IF(($N160&lt;&gt;"")*($N160&gt;TODAY()-9)*($N160&lt;TODAY()+1),"Semaine passée",IF(($P160&lt;&gt;"")*($P160&gt;=TODAY())*($P160&lt;=TODAY()+13),"À venir","Autre"))))</f>
        <v/>
      </c>
      <c r="V160" s="8" cm="1" t="n">
        <f t="array" ref="V160">IF(C160&lt;&gt;"",1,0)</f>
        <v>0</v>
      </c>
      <c r="W160" s="8">
</c>
      <c r="X160" s="8">
</c>
      <c r="Y160" s="8">
</c>
      <c r="Z160" s="8">
</c>
      <c r="AA160" s="8">
</c>
      <c r="AB160" s="8">
</c>
      <c r="AC160" s="8">
</c>
      <c r="AD160" s="8">
</c>
      <c r="AE160" s="8">
</c>
      <c r="AF160" s="8">
</c>
      <c r="AG160" s="8">
</c>
      <c r="AH160" s="8">
</c>
      <c r="AI160" s="8">
</c>
      <c r="AJ160" s="8">
</c>
      <c r="AK160" s="8">
</c>
    </row>
    <row r="161" ht="76.5" customHeight="1">
      <c r="A161" s="8">
</c>
      <c r="B161" s="8">
</c>
      <c r="C161" s="8">
</c>
      <c r="D161" s="8">
</c>
      <c r="E161" s="8">
</c>
      <c r="F161" s="8">
</c>
      <c r="G161" s="13" cm="1" t="str">
        <f t="array" ref="G161">IF(F161="","",SUBSTITUTE(SUBSTITUTE(SUBSTITUTE(SUBSTITUTE(F161,"&lt;li&gt;",CHAR(10)),"&lt;/li&gt;",""),"&lt;br&gt;",CHAR(10)),"&lt;strong&gt;",""))</f>
        <v/>
      </c>
      <c r="H161" s="13" cm="1" t="str">
        <f t="array" ref="H161">IF(G161="","",SUBSTITUTE(SUBSTITUTE(SUBSTITUTE(SUBSTITUTE(SUBSTITUTE(G161,"&lt;p&gt;",""),"&lt;/p&gt;",""),"&lt;ul&gt;",""),"&lt;/ul&gt;",""),"&lt;/strong&gt;",""))</f>
        <v/>
      </c>
      <c r="I161" s="14" cm="1" t="str">
        <f t="array" ref="I161">IF(C161="","",IF(OR(H161="",H161=0,H161=FALSE),"-",H161))</f>
        <v/>
      </c>
      <c r="J161" s="8">
</c>
      <c r="K161" s="8">
</c>
      <c r="L161" s="9" cm="1" t="str">
        <f t="array" ref="L161">IF(C161="","",IF(K161="Mort / Plus rien à faire","KO","OK"))</f>
        <v/>
      </c>
      <c r="M161" s="17">
</c>
      <c r="N161" s="15" cm="1" t="str">
        <f t="array" ref="N161">IF(OR(C161="",M161="",M161=0),"",M161)</f>
        <v/>
      </c>
      <c r="O161" s="17">
</c>
      <c r="P161" s="15" cm="1" t="str">
        <f t="array" ref="P161">IF(C161="","",IF(OR(O161="",O161=0),"-",O161))</f>
        <v/>
      </c>
      <c r="Q161" s="18">
</c>
      <c r="R161" s="16" cm="1" t="str">
        <f t="array" ref="R161">IF(C161="","",ROUND(Q161/1000000,3)&amp;" M€")</f>
        <v/>
      </c>
      <c r="S161" s="19">
</c>
      <c r="T161" s="9" cm="1" t="str">
        <f t="array" ref="T161">IF(C161="","",SUBSTITUTE(S161,"","")&amp;"%")</f>
        <v/>
      </c>
      <c r="U161" s="9" cm="1" t="str">
        <f t="array" ref="U161">IF(($N161="")*($P161=""),"",IF(($N161&lt;&gt;"")*($N161&gt;TODAY()-9)*($N161&lt;TODAY()+1)*($P161&lt;&gt;"")*($P161&gt;=TODAY())*($P161&lt;=TODAY()+13),"Semaine passée &amp; à venir",IF(($N161&lt;&gt;"")*($N161&gt;TODAY()-9)*($N161&lt;TODAY()+1),"Semaine passée",IF(($P161&lt;&gt;"")*($P161&gt;=TODAY())*($P161&lt;=TODAY()+13),"À venir","Autre"))))</f>
        <v/>
      </c>
      <c r="V161" s="8" cm="1" t="n">
        <f t="array" ref="V161">IF(C161&lt;&gt;"",1,0)</f>
        <v>0</v>
      </c>
      <c r="W161" s="8">
</c>
      <c r="X161" s="8">
</c>
      <c r="Y161" s="8">
</c>
      <c r="Z161" s="8">
</c>
      <c r="AA161" s="8">
</c>
      <c r="AB161" s="8">
</c>
      <c r="AC161" s="8">
</c>
      <c r="AD161" s="8">
</c>
      <c r="AE161" s="8">
</c>
      <c r="AF161" s="8">
</c>
      <c r="AG161" s="8">
</c>
      <c r="AH161" s="8">
</c>
      <c r="AI161" s="8">
</c>
      <c r="AJ161" s="8">
</c>
      <c r="AK161" s="8">
</c>
    </row>
    <row r="162" ht="76.5" customHeight="1">
      <c r="A162" s="8">
</c>
      <c r="B162" s="8">
</c>
      <c r="C162" s="8">
</c>
      <c r="D162" s="8">
</c>
      <c r="E162" s="8">
</c>
      <c r="F162" s="8">
</c>
      <c r="G162" s="13" cm="1" t="str">
        <f t="array" ref="G162">IF(F162="","",SUBSTITUTE(SUBSTITUTE(SUBSTITUTE(SUBSTITUTE(F162,"&lt;li&gt;",CHAR(10)),"&lt;/li&gt;",""),"&lt;br&gt;",CHAR(10)),"&lt;strong&gt;",""))</f>
        <v/>
      </c>
      <c r="H162" s="13" cm="1" t="str">
        <f t="array" ref="H162">IF(G162="","",SUBSTITUTE(SUBSTITUTE(SUBSTITUTE(SUBSTITUTE(SUBSTITUTE(G162,"&lt;p&gt;",""),"&lt;/p&gt;",""),"&lt;ul&gt;",""),"&lt;/ul&gt;",""),"&lt;/strong&gt;",""))</f>
        <v/>
      </c>
      <c r="I162" s="14" cm="1" t="str">
        <f t="array" ref="I162">IF(C162="","",IF(OR(H162="",H162=0,H162=FALSE),"-",H162))</f>
        <v/>
      </c>
      <c r="J162" s="8">
</c>
      <c r="K162" s="8">
</c>
      <c r="L162" s="9" cm="1" t="str">
        <f t="array" ref="L162">IF(C162="","",IF(K162="Mort / Plus rien à faire","KO","OK"))</f>
        <v/>
      </c>
      <c r="M162" s="17">
</c>
      <c r="N162" s="15" cm="1" t="str">
        <f t="array" ref="N162">IF(OR(C162="",M162="",M162=0),"",M162)</f>
        <v/>
      </c>
      <c r="O162" s="17">
</c>
      <c r="P162" s="15" cm="1" t="str">
        <f t="array" ref="P162">IF(C162="","",IF(OR(O162="",O162=0),"-",O162))</f>
        <v/>
      </c>
      <c r="Q162" s="18">
</c>
      <c r="R162" s="16" cm="1" t="str">
        <f t="array" ref="R162">IF(C162="","",ROUND(Q162/1000000,3)&amp;" M€")</f>
        <v/>
      </c>
      <c r="S162" s="19">
</c>
      <c r="T162" s="9" cm="1" t="str">
        <f t="array" ref="T162">IF(C162="","",SUBSTITUTE(S162,"","")&amp;"%")</f>
        <v/>
      </c>
      <c r="U162" s="9" cm="1" t="str">
        <f t="array" ref="U162">IF(($N162="")*($P162=""),"",IF(($N162&lt;&gt;"")*($N162&gt;TODAY()-9)*($N162&lt;TODAY()+1)*($P162&lt;&gt;"")*($P162&gt;=TODAY())*($P162&lt;=TODAY()+13),"Semaine passée &amp; à venir",IF(($N162&lt;&gt;"")*($N162&gt;TODAY()-9)*($N162&lt;TODAY()+1),"Semaine passée",IF(($P162&lt;&gt;"")*($P162&gt;=TODAY())*($P162&lt;=TODAY()+13),"À venir","Autre"))))</f>
        <v/>
      </c>
      <c r="V162" s="8" cm="1" t="n">
        <f t="array" ref="V162">IF(C162&lt;&gt;"",1,0)</f>
        <v>0</v>
      </c>
      <c r="W162" s="8">
</c>
      <c r="X162" s="8">
</c>
      <c r="Y162" s="8">
</c>
      <c r="Z162" s="8">
</c>
      <c r="AA162" s="8">
</c>
      <c r="AB162" s="8">
</c>
      <c r="AC162" s="8">
</c>
      <c r="AD162" s="8">
</c>
      <c r="AE162" s="8">
</c>
      <c r="AF162" s="8">
</c>
      <c r="AG162" s="8">
</c>
      <c r="AH162" s="8">
</c>
      <c r="AI162" s="8">
</c>
      <c r="AJ162" s="8">
</c>
      <c r="AK162" s="8">
</c>
    </row>
    <row r="163" ht="76.5" customHeight="1">
      <c r="A163" s="8">
</c>
      <c r="B163" s="8">
</c>
      <c r="C163" s="8">
</c>
      <c r="D163" s="8">
</c>
      <c r="E163" s="8">
</c>
      <c r="F163" s="8">
</c>
      <c r="G163" s="13" cm="1" t="str">
        <f t="array" ref="G163">IF(F163="","",SUBSTITUTE(SUBSTITUTE(SUBSTITUTE(SUBSTITUTE(F163,"&lt;li&gt;",CHAR(10)),"&lt;/li&gt;",""),"&lt;br&gt;",CHAR(10)),"&lt;strong&gt;",""))</f>
        <v/>
      </c>
      <c r="H163" s="13" cm="1" t="str">
        <f t="array" ref="H163">IF(G163="","",SUBSTITUTE(SUBSTITUTE(SUBSTITUTE(SUBSTITUTE(SUBSTITUTE(G163,"&lt;p&gt;",""),"&lt;/p&gt;",""),"&lt;ul&gt;",""),"&lt;/ul&gt;",""),"&lt;/strong&gt;",""))</f>
        <v/>
      </c>
      <c r="I163" s="14" cm="1" t="str">
        <f t="array" ref="I163">IF(C163="","",IF(OR(H163="",H163=0,H163=FALSE),"-",H163))</f>
        <v/>
      </c>
      <c r="J163" s="8">
</c>
      <c r="K163" s="8">
</c>
      <c r="L163" s="9" cm="1" t="str">
        <f t="array" ref="L163">IF(C163="","",IF(K163="Mort / Plus rien à faire","KO","OK"))</f>
        <v/>
      </c>
      <c r="M163" s="17">
</c>
      <c r="N163" s="15" cm="1" t="str">
        <f t="array" ref="N163">IF(OR(C163="",M163="",M163=0),"",M163)</f>
        <v/>
      </c>
      <c r="O163" s="17">
</c>
      <c r="P163" s="15" cm="1" t="str">
        <f t="array" ref="P163">IF(C163="","",IF(OR(O163="",O163=0),"-",O163))</f>
        <v/>
      </c>
      <c r="Q163" s="18">
</c>
      <c r="R163" s="16" cm="1" t="str">
        <f t="array" ref="R163">IF(C163="","",ROUND(Q163/1000000,3)&amp;" M€")</f>
        <v/>
      </c>
      <c r="S163" s="19">
</c>
      <c r="T163" s="9" cm="1" t="str">
        <f t="array" ref="T163">IF(C163="","",SUBSTITUTE(S163,"","")&amp;"%")</f>
        <v/>
      </c>
      <c r="U163" s="9" cm="1" t="str">
        <f t="array" ref="U163">IF(($N163="")*($P163=""),"",IF(($N163&lt;&gt;"")*($N163&gt;TODAY()-9)*($N163&lt;TODAY()+1)*($P163&lt;&gt;"")*($P163&gt;=TODAY())*($P163&lt;=TODAY()+13),"Semaine passée &amp; à venir",IF(($N163&lt;&gt;"")*($N163&gt;TODAY()-9)*($N163&lt;TODAY()+1),"Semaine passée",IF(($P163&lt;&gt;"")*($P163&gt;=TODAY())*($P163&lt;=TODAY()+13),"À venir","Autre"))))</f>
        <v/>
      </c>
      <c r="V163" s="8" cm="1" t="n">
        <f t="array" ref="V163">IF(C163&lt;&gt;"",1,0)</f>
        <v>0</v>
      </c>
      <c r="W163" s="8">
</c>
      <c r="X163" s="8">
</c>
      <c r="Y163" s="8">
</c>
      <c r="Z163" s="8">
</c>
      <c r="AA163" s="8">
</c>
      <c r="AB163" s="8">
</c>
      <c r="AC163" s="8">
</c>
      <c r="AD163" s="8">
</c>
      <c r="AE163" s="8">
</c>
      <c r="AF163" s="8">
</c>
      <c r="AG163" s="8">
</c>
      <c r="AH163" s="8">
</c>
      <c r="AI163" s="8">
</c>
      <c r="AJ163" s="8">
</c>
      <c r="AK163" s="8">
</c>
    </row>
    <row r="164" ht="76.5" customHeight="1">
      <c r="A164" s="8">
</c>
      <c r="B164" s="8">
</c>
      <c r="C164" s="8">
</c>
      <c r="D164" s="8">
</c>
      <c r="E164" s="8">
</c>
      <c r="F164" s="8">
</c>
      <c r="G164" s="13" cm="1" t="str">
        <f t="array" ref="G164">IF(F164="","",SUBSTITUTE(SUBSTITUTE(SUBSTITUTE(SUBSTITUTE(F164,"&lt;li&gt;",CHAR(10)),"&lt;/li&gt;",""),"&lt;br&gt;",CHAR(10)),"&lt;strong&gt;",""))</f>
        <v/>
      </c>
      <c r="H164" s="13" cm="1" t="str">
        <f t="array" ref="H164">IF(G164="","",SUBSTITUTE(SUBSTITUTE(SUBSTITUTE(SUBSTITUTE(SUBSTITUTE(G164,"&lt;p&gt;",""),"&lt;/p&gt;",""),"&lt;ul&gt;",""),"&lt;/ul&gt;",""),"&lt;/strong&gt;",""))</f>
        <v/>
      </c>
      <c r="I164" s="14" cm="1" t="str">
        <f t="array" ref="I164">IF(C164="","",IF(OR(H164="",H164=0,H164=FALSE),"-",H164))</f>
        <v/>
      </c>
      <c r="J164" s="8">
</c>
      <c r="K164" s="8">
</c>
      <c r="L164" s="9" cm="1" t="str">
        <f t="array" ref="L164">IF(C164="","",IF(K164="Mort / Plus rien à faire","KO","OK"))</f>
        <v/>
      </c>
      <c r="M164" s="17">
</c>
      <c r="N164" s="15" cm="1" t="str">
        <f t="array" ref="N164">IF(OR(C164="",M164="",M164=0),"",M164)</f>
        <v/>
      </c>
      <c r="O164" s="17">
</c>
      <c r="P164" s="15" cm="1" t="str">
        <f t="array" ref="P164">IF(C164="","",IF(OR(O164="",O164=0),"-",O164))</f>
        <v/>
      </c>
      <c r="Q164" s="18">
</c>
      <c r="R164" s="16" cm="1" t="str">
        <f t="array" ref="R164">IF(C164="","",ROUND(Q164/1000000,3)&amp;" M€")</f>
        <v/>
      </c>
      <c r="S164" s="19">
</c>
      <c r="T164" s="9" cm="1" t="str">
        <f t="array" ref="T164">IF(C164="","",SUBSTITUTE(S164,"","")&amp;"%")</f>
        <v/>
      </c>
      <c r="U164" s="9" cm="1" t="str">
        <f t="array" ref="U164">IF(($N164="")*($P164=""),"",IF(($N164&lt;&gt;"")*($N164&gt;TODAY()-9)*($N164&lt;TODAY()+1)*($P164&lt;&gt;"")*($P164&gt;=TODAY())*($P164&lt;=TODAY()+13),"Semaine passée &amp; à venir",IF(($N164&lt;&gt;"")*($N164&gt;TODAY()-9)*($N164&lt;TODAY()+1),"Semaine passée",IF(($P164&lt;&gt;"")*($P164&gt;=TODAY())*($P164&lt;=TODAY()+13),"À venir","Autre"))))</f>
        <v/>
      </c>
      <c r="V164" s="8" cm="1" t="n">
        <f t="array" ref="V164">IF(C164&lt;&gt;"",1,0)</f>
        <v>0</v>
      </c>
      <c r="W164" s="8">
</c>
      <c r="X164" s="8">
</c>
      <c r="Y164" s="8">
</c>
      <c r="Z164" s="8">
</c>
      <c r="AA164" s="8">
</c>
      <c r="AB164" s="8">
</c>
      <c r="AC164" s="8">
</c>
      <c r="AD164" s="8">
</c>
      <c r="AE164" s="8">
</c>
      <c r="AF164" s="8">
</c>
      <c r="AG164" s="8">
</c>
      <c r="AH164" s="8">
</c>
      <c r="AI164" s="8">
</c>
      <c r="AJ164" s="8">
</c>
      <c r="AK164" s="8">
</c>
    </row>
    <row r="165" ht="76.5" customHeight="1">
      <c r="A165" s="8">
</c>
      <c r="B165" s="8">
</c>
      <c r="C165" s="8">
</c>
      <c r="D165" s="8">
</c>
      <c r="E165" s="8">
</c>
      <c r="F165" s="8">
</c>
      <c r="G165" s="13" cm="1" t="str">
        <f t="array" ref="G165">IF(F165="","",SUBSTITUTE(SUBSTITUTE(SUBSTITUTE(SUBSTITUTE(F165,"&lt;li&gt;",CHAR(10)),"&lt;/li&gt;",""),"&lt;br&gt;",CHAR(10)),"&lt;strong&gt;",""))</f>
        <v/>
      </c>
      <c r="H165" s="13" cm="1" t="str">
        <f t="array" ref="H165">IF(G165="","",SUBSTITUTE(SUBSTITUTE(SUBSTITUTE(SUBSTITUTE(SUBSTITUTE(G165,"&lt;p&gt;",""),"&lt;/p&gt;",""),"&lt;ul&gt;",""),"&lt;/ul&gt;",""),"&lt;/strong&gt;",""))</f>
        <v/>
      </c>
      <c r="I165" s="14" cm="1" t="str">
        <f t="array" ref="I165">IF(C165="","",IF(OR(H165="",H165=0,H165=FALSE),"-",H165))</f>
        <v/>
      </c>
      <c r="J165" s="8">
</c>
      <c r="K165" s="8">
</c>
      <c r="L165" s="9" cm="1" t="str">
        <f t="array" ref="L165">IF(C165="","",IF(K165="Mort / Plus rien à faire","KO","OK"))</f>
        <v/>
      </c>
      <c r="M165" s="17">
</c>
      <c r="N165" s="15" cm="1" t="str">
        <f t="array" ref="N165">IF(OR(C165="",M165="",M165=0),"",M165)</f>
        <v/>
      </c>
      <c r="O165" s="17">
</c>
      <c r="P165" s="15" cm="1" t="str">
        <f t="array" ref="P165">IF(C165="","",IF(OR(O165="",O165=0),"-",O165))</f>
        <v/>
      </c>
      <c r="Q165" s="18">
</c>
      <c r="R165" s="16" cm="1" t="str">
        <f t="array" ref="R165">IF(C165="","",ROUND(Q165/1000000,3)&amp;" M€")</f>
        <v/>
      </c>
      <c r="S165" s="19">
</c>
      <c r="T165" s="9" cm="1" t="str">
        <f t="array" ref="T165">IF(C165="","",SUBSTITUTE(S165,"","")&amp;"%")</f>
        <v/>
      </c>
      <c r="U165" s="9" cm="1" t="str">
        <f t="array" ref="U165">IF(($N165="")*($P165=""),"",IF(($N165&lt;&gt;"")*($N165&gt;TODAY()-9)*($N165&lt;TODAY()+1)*($P165&lt;&gt;"")*($P165&gt;=TODAY())*($P165&lt;=TODAY()+13),"Semaine passée &amp; à venir",IF(($N165&lt;&gt;"")*($N165&gt;TODAY()-9)*($N165&lt;TODAY()+1),"Semaine passée",IF(($P165&lt;&gt;"")*($P165&gt;=TODAY())*($P165&lt;=TODAY()+13),"À venir","Autre"))))</f>
        <v/>
      </c>
      <c r="V165" s="8" cm="1" t="n">
        <f t="array" ref="V165">IF(C165&lt;&gt;"",1,0)</f>
        <v>0</v>
      </c>
      <c r="W165" s="8">
</c>
      <c r="X165" s="8">
</c>
      <c r="Y165" s="8">
</c>
      <c r="Z165" s="8">
</c>
      <c r="AA165" s="8">
</c>
      <c r="AB165" s="8">
</c>
      <c r="AC165" s="8">
</c>
      <c r="AD165" s="8">
</c>
      <c r="AE165" s="8">
</c>
      <c r="AF165" s="8">
</c>
      <c r="AG165" s="8">
</c>
      <c r="AH165" s="8">
</c>
      <c r="AI165" s="8">
</c>
      <c r="AJ165" s="8">
</c>
      <c r="AK165" s="8">
</c>
    </row>
    <row r="166" ht="76.5" customHeight="1">
      <c r="A166" s="8">
</c>
      <c r="B166" s="8">
</c>
      <c r="C166" s="8">
</c>
      <c r="D166" s="8">
</c>
      <c r="E166" s="8">
</c>
      <c r="F166" s="8">
</c>
      <c r="G166" s="13" cm="1" t="str">
        <f t="array" ref="G166">IF(F166="","",SUBSTITUTE(SUBSTITUTE(SUBSTITUTE(SUBSTITUTE(F166,"&lt;li&gt;",CHAR(10)),"&lt;/li&gt;",""),"&lt;br&gt;",CHAR(10)),"&lt;strong&gt;",""))</f>
        <v/>
      </c>
      <c r="H166" s="13" cm="1" t="str">
        <f t="array" ref="H166">IF(G166="","",SUBSTITUTE(SUBSTITUTE(SUBSTITUTE(SUBSTITUTE(SUBSTITUTE(G166,"&lt;p&gt;",""),"&lt;/p&gt;",""),"&lt;ul&gt;",""),"&lt;/ul&gt;",""),"&lt;/strong&gt;",""))</f>
        <v/>
      </c>
      <c r="I166" s="14" cm="1" t="str">
        <f t="array" ref="I166">IF(C166="","",IF(OR(H166="",H166=0,H166=FALSE),"-",H166))</f>
        <v/>
      </c>
      <c r="J166" s="8">
</c>
      <c r="K166" s="8">
</c>
      <c r="L166" s="9" cm="1" t="str">
        <f t="array" ref="L166">IF(C166="","",IF(K166="Mort / Plus rien à faire","KO","OK"))</f>
        <v/>
      </c>
      <c r="M166" s="17">
</c>
      <c r="N166" s="15" cm="1" t="str">
        <f t="array" ref="N166">IF(OR(C166="",M166="",M166=0),"",M166)</f>
        <v/>
      </c>
      <c r="O166" s="17">
</c>
      <c r="P166" s="15" cm="1" t="str">
        <f t="array" ref="P166">IF(C166="","",IF(OR(O166="",O166=0),"-",O166))</f>
        <v/>
      </c>
      <c r="Q166" s="18">
</c>
      <c r="R166" s="16" cm="1" t="str">
        <f t="array" ref="R166">IF(C166="","",ROUND(Q166/1000000,3)&amp;" M€")</f>
        <v/>
      </c>
      <c r="S166" s="19">
</c>
      <c r="T166" s="9" cm="1" t="str">
        <f t="array" ref="T166">IF(C166="","",SUBSTITUTE(S166,"","")&amp;"%")</f>
        <v/>
      </c>
      <c r="U166" s="9" cm="1" t="str">
        <f t="array" ref="U166">IF(($N166="")*($P166=""),"",IF(($N166&lt;&gt;"")*($N166&gt;TODAY()-9)*($N166&lt;TODAY()+1)*($P166&lt;&gt;"")*($P166&gt;=TODAY())*($P166&lt;=TODAY()+13),"Semaine passée &amp; à venir",IF(($N166&lt;&gt;"")*($N166&gt;TODAY()-9)*($N166&lt;TODAY()+1),"Semaine passée",IF(($P166&lt;&gt;"")*($P166&gt;=TODAY())*($P166&lt;=TODAY()+13),"À venir","Autre"))))</f>
        <v/>
      </c>
      <c r="V166" s="8" cm="1" t="n">
        <f t="array" ref="V166">IF(C166&lt;&gt;"",1,0)</f>
        <v>0</v>
      </c>
      <c r="W166" s="8">
</c>
      <c r="X166" s="8">
</c>
      <c r="Y166" s="8">
</c>
      <c r="Z166" s="8">
</c>
      <c r="AA166" s="8">
</c>
      <c r="AB166" s="8">
</c>
      <c r="AC166" s="8">
</c>
      <c r="AD166" s="8">
</c>
      <c r="AE166" s="8">
</c>
      <c r="AF166" s="8">
</c>
      <c r="AG166" s="8">
</c>
      <c r="AH166" s="8">
</c>
      <c r="AI166" s="8">
</c>
      <c r="AJ166" s="8">
</c>
      <c r="AK166" s="8">
</c>
    </row>
    <row r="167" ht="76.5" customHeight="1">
      <c r="A167" s="8">
</c>
      <c r="B167" s="8">
</c>
      <c r="C167" s="8">
</c>
      <c r="D167" s="8">
</c>
      <c r="E167" s="8">
</c>
      <c r="F167" s="8">
</c>
      <c r="G167" s="13" cm="1" t="str">
        <f t="array" ref="G167">IF(F167="","",SUBSTITUTE(SUBSTITUTE(SUBSTITUTE(SUBSTITUTE(F167,"&lt;li&gt;",CHAR(10)),"&lt;/li&gt;",""),"&lt;br&gt;",CHAR(10)),"&lt;strong&gt;",""))</f>
        <v/>
      </c>
      <c r="H167" s="13" cm="1" t="str">
        <f t="array" ref="H167">IF(G167="","",SUBSTITUTE(SUBSTITUTE(SUBSTITUTE(SUBSTITUTE(SUBSTITUTE(G167,"&lt;p&gt;",""),"&lt;/p&gt;",""),"&lt;ul&gt;",""),"&lt;/ul&gt;",""),"&lt;/strong&gt;",""))</f>
        <v/>
      </c>
      <c r="I167" s="14" cm="1" t="str">
        <f t="array" ref="I167">IF(C167="","",IF(OR(H167="",H167=0,H167=FALSE),"-",H167))</f>
        <v/>
      </c>
      <c r="J167" s="8">
</c>
      <c r="K167" s="8">
</c>
      <c r="L167" s="9" cm="1" t="str">
        <f t="array" ref="L167">IF(C167="","",IF(K167="Mort / Plus rien à faire","KO","OK"))</f>
        <v/>
      </c>
      <c r="M167" s="17">
</c>
      <c r="N167" s="15" cm="1" t="str">
        <f t="array" ref="N167">IF(OR(C167="",M167="",M167=0),"",M167)</f>
        <v/>
      </c>
      <c r="O167" s="17">
</c>
      <c r="P167" s="15" cm="1" t="str">
        <f t="array" ref="P167">IF(C167="","",IF(OR(O167="",O167=0),"-",O167))</f>
        <v/>
      </c>
      <c r="Q167" s="18">
</c>
      <c r="R167" s="16" cm="1" t="str">
        <f t="array" ref="R167">IF(C167="","",ROUND(Q167/1000000,3)&amp;" M€")</f>
        <v/>
      </c>
      <c r="S167" s="19">
</c>
      <c r="T167" s="9" cm="1" t="str">
        <f t="array" ref="T167">IF(C167="","",SUBSTITUTE(S167,"","")&amp;"%")</f>
        <v/>
      </c>
      <c r="U167" s="9" cm="1" t="str">
        <f t="array" ref="U167">IF(($N167="")*($P167=""),"",IF(($N167&lt;&gt;"")*($N167&gt;TODAY()-9)*($N167&lt;TODAY()+1)*($P167&lt;&gt;"")*($P167&gt;=TODAY())*($P167&lt;=TODAY()+13),"Semaine passée &amp; à venir",IF(($N167&lt;&gt;"")*($N167&gt;TODAY()-9)*($N167&lt;TODAY()+1),"Semaine passée",IF(($P167&lt;&gt;"")*($P167&gt;=TODAY())*($P167&lt;=TODAY()+13),"À venir","Autre"))))</f>
        <v/>
      </c>
      <c r="V167" s="8" cm="1" t="n">
        <f t="array" ref="V167">IF(C167&lt;&gt;"",1,0)</f>
        <v>0</v>
      </c>
      <c r="W167" s="8">
</c>
      <c r="X167" s="8">
</c>
      <c r="Y167" s="8">
</c>
      <c r="Z167" s="8">
</c>
      <c r="AA167" s="8">
</c>
      <c r="AB167" s="8">
</c>
      <c r="AC167" s="8">
</c>
      <c r="AD167" s="8">
</c>
      <c r="AE167" s="8">
</c>
      <c r="AF167" s="8">
</c>
      <c r="AG167" s="8">
</c>
      <c r="AH167" s="8">
</c>
      <c r="AI167" s="8">
</c>
      <c r="AJ167" s="8">
</c>
      <c r="AK167" s="8">
</c>
    </row>
    <row r="168" ht="76.5" customHeight="1">
      <c r="A168" s="8">
</c>
      <c r="B168" s="8">
</c>
      <c r="C168" s="8">
</c>
      <c r="D168" s="8">
</c>
      <c r="E168" s="8">
</c>
      <c r="F168" s="8">
</c>
      <c r="G168" s="13" cm="1" t="str">
        <f t="array" ref="G168">IF(F168="","",SUBSTITUTE(SUBSTITUTE(SUBSTITUTE(SUBSTITUTE(F168,"&lt;li&gt;",CHAR(10)),"&lt;/li&gt;",""),"&lt;br&gt;",CHAR(10)),"&lt;strong&gt;",""))</f>
        <v/>
      </c>
      <c r="H168" s="13" cm="1" t="str">
        <f t="array" ref="H168">IF(G168="","",SUBSTITUTE(SUBSTITUTE(SUBSTITUTE(SUBSTITUTE(SUBSTITUTE(G168,"&lt;p&gt;",""),"&lt;/p&gt;",""),"&lt;ul&gt;",""),"&lt;/ul&gt;",""),"&lt;/strong&gt;",""))</f>
        <v/>
      </c>
      <c r="I168" s="14" cm="1" t="str">
        <f t="array" ref="I168">IF(C168="","",IF(OR(H168="",H168=0,H168=FALSE),"-",H168))</f>
        <v/>
      </c>
      <c r="J168" s="8">
</c>
      <c r="K168" s="8">
</c>
      <c r="L168" s="9" cm="1" t="str">
        <f t="array" ref="L168">IF(C168="","",IF(K168="Mort / Plus rien à faire","KO","OK"))</f>
        <v/>
      </c>
      <c r="M168" s="17">
</c>
      <c r="N168" s="15" cm="1" t="str">
        <f t="array" ref="N168">IF(OR(C168="",M168="",M168=0),"",M168)</f>
        <v/>
      </c>
      <c r="O168" s="17">
</c>
      <c r="P168" s="15" cm="1" t="str">
        <f t="array" ref="P168">IF(C168="","",IF(OR(O168="",O168=0),"-",O168))</f>
        <v/>
      </c>
      <c r="Q168" s="18">
</c>
      <c r="R168" s="16" cm="1" t="str">
        <f t="array" ref="R168">IF(C168="","",ROUND(Q168/1000000,3)&amp;" M€")</f>
        <v/>
      </c>
      <c r="S168" s="19">
</c>
      <c r="T168" s="9" cm="1" t="str">
        <f t="array" ref="T168">IF(C168="","",SUBSTITUTE(S168,"","")&amp;"%")</f>
        <v/>
      </c>
      <c r="U168" s="9" cm="1" t="str">
        <f t="array" ref="U168">IF(($N168="")*($P168=""),"",IF(($N168&lt;&gt;"")*($N168&gt;TODAY()-9)*($N168&lt;TODAY()+1)*($P168&lt;&gt;"")*($P168&gt;=TODAY())*($P168&lt;=TODAY()+13),"Semaine passée &amp; à venir",IF(($N168&lt;&gt;"")*($N168&gt;TODAY()-9)*($N168&lt;TODAY()+1),"Semaine passée",IF(($P168&lt;&gt;"")*($P168&gt;=TODAY())*($P168&lt;=TODAY()+13),"À venir","Autre"))))</f>
        <v/>
      </c>
      <c r="V168" s="8" cm="1" t="n">
        <f t="array" ref="V168">IF(C168&lt;&gt;"",1,0)</f>
        <v>0</v>
      </c>
      <c r="W168" s="8">
</c>
      <c r="X168" s="8">
</c>
      <c r="Y168" s="8">
</c>
      <c r="Z168" s="8">
</c>
      <c r="AA168" s="8">
</c>
      <c r="AB168" s="8">
</c>
      <c r="AC168" s="8">
</c>
      <c r="AD168" s="8">
</c>
      <c r="AE168" s="8">
</c>
      <c r="AF168" s="8">
</c>
      <c r="AG168" s="8">
</c>
      <c r="AH168" s="8">
</c>
      <c r="AI168" s="8">
</c>
      <c r="AJ168" s="8">
</c>
      <c r="AK168" s="8">
</c>
    </row>
    <row r="169" ht="76.5" customHeight="1">
      <c r="A169" s="8">
</c>
      <c r="B169" s="8">
</c>
      <c r="C169" s="8">
</c>
      <c r="D169" s="8">
</c>
      <c r="E169" s="8">
</c>
      <c r="F169" s="8">
</c>
      <c r="G169" s="13" cm="1" t="str">
        <f t="array" ref="G169">IF(F169="","",SUBSTITUTE(SUBSTITUTE(SUBSTITUTE(SUBSTITUTE(F169,"&lt;li&gt;",CHAR(10)),"&lt;/li&gt;",""),"&lt;br&gt;",CHAR(10)),"&lt;strong&gt;",""))</f>
        <v/>
      </c>
      <c r="H169" s="13" cm="1" t="str">
        <f t="array" ref="H169">IF(G169="","",SUBSTITUTE(SUBSTITUTE(SUBSTITUTE(SUBSTITUTE(SUBSTITUTE(G169,"&lt;p&gt;",""),"&lt;/p&gt;",""),"&lt;ul&gt;",""),"&lt;/ul&gt;",""),"&lt;/strong&gt;",""))</f>
        <v/>
      </c>
      <c r="I169" s="14" cm="1" t="str">
        <f t="array" ref="I169">IF(C169="","",IF(OR(H169="",H169=0,H169=FALSE),"-",H169))</f>
        <v/>
      </c>
      <c r="J169" s="8">
</c>
      <c r="K169" s="8">
</c>
      <c r="L169" s="9" cm="1" t="str">
        <f t="array" ref="L169">IF(C169="","",IF(K169="Mort / Plus rien à faire","KO","OK"))</f>
        <v/>
      </c>
      <c r="M169" s="17">
</c>
      <c r="N169" s="15" cm="1" t="str">
        <f t="array" ref="N169">IF(OR(C169="",M169="",M169=0),"",M169)</f>
        <v/>
      </c>
      <c r="O169" s="17">
</c>
      <c r="P169" s="15" cm="1" t="str">
        <f t="array" ref="P169">IF(C169="","",IF(OR(O169="",O169=0),"-",O169))</f>
        <v/>
      </c>
      <c r="Q169" s="18">
</c>
      <c r="R169" s="16" cm="1" t="str">
        <f t="array" ref="R169">IF(C169="","",ROUND(Q169/1000000,3)&amp;" M€")</f>
        <v/>
      </c>
      <c r="S169" s="19">
</c>
      <c r="T169" s="9" cm="1" t="str">
        <f t="array" ref="T169">IF(C169="","",SUBSTITUTE(S169,"","")&amp;"%")</f>
        <v/>
      </c>
      <c r="U169" s="9" cm="1" t="str">
        <f t="array" ref="U169">IF(($N169="")*($P169=""),"",IF(($N169&lt;&gt;"")*($N169&gt;TODAY()-9)*($N169&lt;TODAY()+1)*($P169&lt;&gt;"")*($P169&gt;=TODAY())*($P169&lt;=TODAY()+13),"Semaine passée &amp; à venir",IF(($N169&lt;&gt;"")*($N169&gt;TODAY()-9)*($N169&lt;TODAY()+1),"Semaine passée",IF(($P169&lt;&gt;"")*($P169&gt;=TODAY())*($P169&lt;=TODAY()+13),"À venir","Autre"))))</f>
        <v/>
      </c>
      <c r="V169" s="8" cm="1" t="n">
        <f t="array" ref="V169">IF(C169&lt;&gt;"",1,0)</f>
        <v>0</v>
      </c>
      <c r="W169" s="8">
</c>
      <c r="X169" s="8">
</c>
      <c r="Y169" s="8">
</c>
      <c r="Z169" s="8">
</c>
      <c r="AA169" s="8">
</c>
      <c r="AB169" s="8">
</c>
      <c r="AC169" s="8">
</c>
      <c r="AD169" s="8">
</c>
      <c r="AE169" s="8">
</c>
      <c r="AF169" s="8">
</c>
      <c r="AG169" s="8">
</c>
      <c r="AH169" s="8">
</c>
      <c r="AI169" s="8">
</c>
      <c r="AJ169" s="8">
</c>
      <c r="AK169" s="8">
</c>
    </row>
    <row r="170" ht="76.5" customHeight="1">
      <c r="A170" s="8">
</c>
      <c r="B170" s="8">
</c>
      <c r="C170" s="8">
</c>
      <c r="D170" s="8">
</c>
      <c r="E170" s="8">
</c>
      <c r="F170" s="8">
</c>
      <c r="G170" s="13" cm="1" t="str">
        <f t="array" ref="G170">IF(F170="","",SUBSTITUTE(SUBSTITUTE(SUBSTITUTE(SUBSTITUTE(F170,"&lt;li&gt;",CHAR(10)),"&lt;/li&gt;",""),"&lt;br&gt;",CHAR(10)),"&lt;strong&gt;",""))</f>
        <v/>
      </c>
      <c r="H170" s="13" cm="1" t="str">
        <f t="array" ref="H170">IF(G170="","",SUBSTITUTE(SUBSTITUTE(SUBSTITUTE(SUBSTITUTE(SUBSTITUTE(G170,"&lt;p&gt;",""),"&lt;/p&gt;",""),"&lt;ul&gt;",""),"&lt;/ul&gt;",""),"&lt;/strong&gt;",""))</f>
        <v/>
      </c>
      <c r="I170" s="14" cm="1" t="str">
        <f t="array" ref="I170">IF(C170="","",IF(OR(H170="",H170=0,H170=FALSE),"-",H170))</f>
        <v/>
      </c>
      <c r="J170" s="8">
</c>
      <c r="K170" s="8">
</c>
      <c r="L170" s="9" cm="1" t="str">
        <f t="array" ref="L170">IF(C170="","",IF(K170="Mort / Plus rien à faire","KO","OK"))</f>
        <v/>
      </c>
      <c r="M170" s="17">
</c>
      <c r="N170" s="15" cm="1" t="str">
        <f t="array" ref="N170">IF(OR(C170="",M170="",M170=0),"",M170)</f>
        <v/>
      </c>
      <c r="O170" s="17">
</c>
      <c r="P170" s="15" cm="1" t="str">
        <f t="array" ref="P170">IF(C170="","",IF(OR(O170="",O170=0),"-",O170))</f>
        <v/>
      </c>
      <c r="Q170" s="18">
</c>
      <c r="R170" s="16" cm="1" t="str">
        <f t="array" ref="R170">IF(C170="","",ROUND(Q170/1000000,3)&amp;" M€")</f>
        <v/>
      </c>
      <c r="S170" s="19">
</c>
      <c r="T170" s="9" cm="1" t="str">
        <f t="array" ref="T170">IF(C170="","",SUBSTITUTE(S170,"","")&amp;"%")</f>
        <v/>
      </c>
      <c r="U170" s="9" cm="1" t="str">
        <f t="array" ref="U170">IF(($N170="")*($P170=""),"",IF(($N170&lt;&gt;"")*($N170&gt;TODAY()-9)*($N170&lt;TODAY()+1)*($P170&lt;&gt;"")*($P170&gt;=TODAY())*($P170&lt;=TODAY()+13),"Semaine passée &amp; à venir",IF(($N170&lt;&gt;"")*($N170&gt;TODAY()-9)*($N170&lt;TODAY()+1),"Semaine passée",IF(($P170&lt;&gt;"")*($P170&gt;=TODAY())*($P170&lt;=TODAY()+13),"À venir","Autre"))))</f>
        <v/>
      </c>
      <c r="V170" s="8" cm="1" t="n">
        <f t="array" ref="V170">IF(C170&lt;&gt;"",1,0)</f>
        <v>0</v>
      </c>
      <c r="W170" s="8">
</c>
      <c r="X170" s="8">
</c>
      <c r="Y170" s="8">
</c>
      <c r="Z170" s="8">
</c>
      <c r="AA170" s="8">
</c>
      <c r="AB170" s="8">
</c>
      <c r="AC170" s="8">
</c>
      <c r="AD170" s="8">
</c>
      <c r="AE170" s="8">
</c>
      <c r="AF170" s="8">
</c>
      <c r="AG170" s="8">
</c>
      <c r="AH170" s="8">
</c>
      <c r="AI170" s="8">
</c>
      <c r="AJ170" s="8">
</c>
      <c r="AK170" s="8">
</c>
    </row>
    <row r="171" ht="76.5" customHeight="1">
      <c r="A171" s="8">
</c>
      <c r="B171" s="8">
</c>
      <c r="C171" s="8">
</c>
      <c r="D171" s="8">
</c>
      <c r="E171" s="8">
</c>
      <c r="F171" s="8">
</c>
      <c r="G171" s="13" cm="1" t="str">
        <f t="array" ref="G171">IF(F171="","",SUBSTITUTE(SUBSTITUTE(SUBSTITUTE(SUBSTITUTE(F171,"&lt;li&gt;",CHAR(10)),"&lt;/li&gt;",""),"&lt;br&gt;",CHAR(10)),"&lt;strong&gt;",""))</f>
        <v/>
      </c>
      <c r="H171" s="13" cm="1" t="str">
        <f t="array" ref="H171">IF(G171="","",SUBSTITUTE(SUBSTITUTE(SUBSTITUTE(SUBSTITUTE(SUBSTITUTE(G171,"&lt;p&gt;",""),"&lt;/p&gt;",""),"&lt;ul&gt;",""),"&lt;/ul&gt;",""),"&lt;/strong&gt;",""))</f>
        <v/>
      </c>
      <c r="I171" s="14" cm="1" t="str">
        <f t="array" ref="I171">IF(C171="","",IF(OR(H171="",H171=0,H171=FALSE),"-",H171))</f>
        <v/>
      </c>
      <c r="J171" s="8">
</c>
      <c r="K171" s="8">
</c>
      <c r="L171" s="9" cm="1" t="str">
        <f t="array" ref="L171">IF(C171="","",IF(K171="Mort / Plus rien à faire","KO","OK"))</f>
        <v/>
      </c>
      <c r="M171" s="17">
</c>
      <c r="N171" s="15" cm="1" t="str">
        <f t="array" ref="N171">IF(OR(C171="",M171="",M171=0),"",M171)</f>
        <v/>
      </c>
      <c r="O171" s="17">
</c>
      <c r="P171" s="15" cm="1" t="str">
        <f t="array" ref="P171">IF(C171="","",IF(OR(O171="",O171=0),"-",O171))</f>
        <v/>
      </c>
      <c r="Q171" s="18">
</c>
      <c r="R171" s="16" cm="1" t="str">
        <f t="array" ref="R171">IF(C171="","",ROUND(Q171/1000000,3)&amp;" M€")</f>
        <v/>
      </c>
      <c r="S171" s="19">
</c>
      <c r="T171" s="9" cm="1" t="str">
        <f t="array" ref="T171">IF(C171="","",SUBSTITUTE(S171,"","")&amp;"%")</f>
        <v/>
      </c>
      <c r="U171" s="9" cm="1" t="str">
        <f t="array" ref="U171">IF(($N171="")*($P171=""),"",IF(($N171&lt;&gt;"")*($N171&gt;TODAY()-9)*($N171&lt;TODAY()+1)*($P171&lt;&gt;"")*($P171&gt;=TODAY())*($P171&lt;=TODAY()+13),"Semaine passée &amp; à venir",IF(($N171&lt;&gt;"")*($N171&gt;TODAY()-9)*($N171&lt;TODAY()+1),"Semaine passée",IF(($P171&lt;&gt;"")*($P171&gt;=TODAY())*($P171&lt;=TODAY()+13),"À venir","Autre"))))</f>
        <v/>
      </c>
      <c r="V171" s="8" cm="1" t="n">
        <f t="array" ref="V171">IF(C171&lt;&gt;"",1,0)</f>
        <v>0</v>
      </c>
      <c r="W171" s="8">
</c>
      <c r="X171" s="8">
</c>
      <c r="Y171" s="8">
</c>
      <c r="Z171" s="8">
</c>
      <c r="AA171" s="8">
</c>
      <c r="AB171" s="8">
</c>
      <c r="AC171" s="8">
</c>
      <c r="AD171" s="8">
</c>
      <c r="AE171" s="8">
</c>
      <c r="AF171" s="8">
</c>
      <c r="AG171" s="8">
</c>
      <c r="AH171" s="8">
</c>
      <c r="AI171" s="8">
</c>
      <c r="AJ171" s="8">
</c>
      <c r="AK171" s="8">
</c>
    </row>
    <row r="172" ht="76.5" customHeight="1">
      <c r="A172" s="8">
</c>
      <c r="B172" s="8">
</c>
      <c r="C172" s="8">
</c>
      <c r="D172" s="8">
</c>
      <c r="E172" s="8">
</c>
      <c r="F172" s="8">
</c>
      <c r="G172" s="13" cm="1" t="str">
        <f t="array" ref="G172">IF(F172="","",SUBSTITUTE(SUBSTITUTE(SUBSTITUTE(SUBSTITUTE(F172,"&lt;li&gt;",CHAR(10)),"&lt;/li&gt;",""),"&lt;br&gt;",CHAR(10)),"&lt;strong&gt;",""))</f>
        <v/>
      </c>
      <c r="H172" s="13" cm="1" t="str">
        <f t="array" ref="H172">IF(G172="","",SUBSTITUTE(SUBSTITUTE(SUBSTITUTE(SUBSTITUTE(SUBSTITUTE(G172,"&lt;p&gt;",""),"&lt;/p&gt;",""),"&lt;ul&gt;",""),"&lt;/ul&gt;",""),"&lt;/strong&gt;",""))</f>
        <v/>
      </c>
      <c r="I172" s="14" cm="1" t="str">
        <f t="array" ref="I172">IF(C172="","",IF(OR(H172="",H172=0,H172=FALSE),"-",H172))</f>
        <v/>
      </c>
      <c r="J172" s="8">
</c>
      <c r="K172" s="8">
</c>
      <c r="L172" s="9" cm="1" t="str">
        <f t="array" ref="L172">IF(C172="","",IF(K172="Mort / Plus rien à faire","KO","OK"))</f>
        <v/>
      </c>
      <c r="M172" s="17">
</c>
      <c r="N172" s="15" cm="1" t="str">
        <f t="array" ref="N172">IF(OR(C172="",M172="",M172=0),"",M172)</f>
        <v/>
      </c>
      <c r="O172" s="17">
</c>
      <c r="P172" s="15" cm="1" t="str">
        <f t="array" ref="P172">IF(C172="","",IF(OR(O172="",O172=0),"-",O172))</f>
        <v/>
      </c>
      <c r="Q172" s="18">
</c>
      <c r="R172" s="16" cm="1" t="str">
        <f t="array" ref="R172">IF(C172="","",ROUND(Q172/1000000,3)&amp;" M€")</f>
        <v/>
      </c>
      <c r="S172" s="19">
</c>
      <c r="T172" s="9" cm="1" t="str">
        <f t="array" ref="T172">IF(C172="","",SUBSTITUTE(S172,"","")&amp;"%")</f>
        <v/>
      </c>
      <c r="U172" s="9" cm="1" t="str">
        <f t="array" ref="U172">IF(($N172="")*($P172=""),"",IF(($N172&lt;&gt;"")*($N172&gt;TODAY()-9)*($N172&lt;TODAY()+1)*($P172&lt;&gt;"")*($P172&gt;=TODAY())*($P172&lt;=TODAY()+13),"Semaine passée &amp; à venir",IF(($N172&lt;&gt;"")*($N172&gt;TODAY()-9)*($N172&lt;TODAY()+1),"Semaine passée",IF(($P172&lt;&gt;"")*($P172&gt;=TODAY())*($P172&lt;=TODAY()+13),"À venir","Autre"))))</f>
        <v/>
      </c>
      <c r="V172" s="8" cm="1" t="n">
        <f t="array" ref="V172">IF(C172&lt;&gt;"",1,0)</f>
        <v>0</v>
      </c>
      <c r="W172" s="8">
</c>
      <c r="X172" s="8">
</c>
      <c r="Y172" s="8">
</c>
      <c r="Z172" s="8">
</c>
      <c r="AA172" s="8">
</c>
      <c r="AB172" s="8">
</c>
      <c r="AC172" s="8">
</c>
      <c r="AD172" s="8">
</c>
      <c r="AE172" s="8">
</c>
      <c r="AF172" s="8">
</c>
      <c r="AG172" s="8">
</c>
      <c r="AH172" s="8">
</c>
      <c r="AI172" s="8">
</c>
      <c r="AJ172" s="8">
</c>
      <c r="AK172" s="8">
</c>
    </row>
    <row r="173" ht="76.5" customHeight="1">
      <c r="A173" s="8">
</c>
      <c r="B173" s="8">
</c>
      <c r="C173" s="8">
</c>
      <c r="D173" s="8">
</c>
      <c r="E173" s="8">
</c>
      <c r="F173" s="8">
</c>
      <c r="G173" s="13" cm="1" t="str">
        <f t="array" ref="G173">IF(F173="","",SUBSTITUTE(SUBSTITUTE(SUBSTITUTE(SUBSTITUTE(F173,"&lt;li&gt;",CHAR(10)),"&lt;/li&gt;",""),"&lt;br&gt;",CHAR(10)),"&lt;strong&gt;",""))</f>
        <v/>
      </c>
      <c r="H173" s="13" cm="1" t="str">
        <f t="array" ref="H173">IF(G173="","",SUBSTITUTE(SUBSTITUTE(SUBSTITUTE(SUBSTITUTE(SUBSTITUTE(G173,"&lt;p&gt;",""),"&lt;/p&gt;",""),"&lt;ul&gt;",""),"&lt;/ul&gt;",""),"&lt;/strong&gt;",""))</f>
        <v/>
      </c>
      <c r="I173" s="14" cm="1" t="str">
        <f t="array" ref="I173">IF(C173="","",IF(OR(H173="",H173=0,H173=FALSE),"-",H173))</f>
        <v/>
      </c>
      <c r="J173" s="8">
</c>
      <c r="K173" s="8">
</c>
      <c r="L173" s="9" cm="1" t="str">
        <f t="array" ref="L173">IF(C173="","",IF(K173="Mort / Plus rien à faire","KO","OK"))</f>
        <v/>
      </c>
      <c r="M173" s="17">
</c>
      <c r="N173" s="15" cm="1" t="str">
        <f t="array" ref="N173">IF(OR(C173="",M173="",M173=0),"",M173)</f>
        <v/>
      </c>
      <c r="O173" s="17">
</c>
      <c r="P173" s="15" cm="1" t="str">
        <f t="array" ref="P173">IF(C173="","",IF(OR(O173="",O173=0),"-",O173))</f>
        <v/>
      </c>
      <c r="Q173" s="18">
</c>
      <c r="R173" s="16" cm="1" t="str">
        <f t="array" ref="R173">IF(C173="","",ROUND(Q173/1000000,3)&amp;" M€")</f>
        <v/>
      </c>
      <c r="S173" s="19">
</c>
      <c r="T173" s="9" cm="1" t="str">
        <f t="array" ref="T173">IF(C173="","",SUBSTITUTE(S173,"","")&amp;"%")</f>
        <v/>
      </c>
      <c r="U173" s="9" cm="1" t="str">
        <f t="array" ref="U173">IF(($N173="")*($P173=""),"",IF(($N173&lt;&gt;"")*($N173&gt;TODAY()-9)*($N173&lt;TODAY()+1)*($P173&lt;&gt;"")*($P173&gt;=TODAY())*($P173&lt;=TODAY()+13),"Semaine passée &amp; à venir",IF(($N173&lt;&gt;"")*($N173&gt;TODAY()-9)*($N173&lt;TODAY()+1),"Semaine passée",IF(($P173&lt;&gt;"")*($P173&gt;=TODAY())*($P173&lt;=TODAY()+13),"À venir","Autre"))))</f>
        <v/>
      </c>
      <c r="V173" s="8" cm="1" t="n">
        <f t="array" ref="V173">IF(C173&lt;&gt;"",1,0)</f>
        <v>0</v>
      </c>
      <c r="W173" s="8">
</c>
      <c r="X173" s="8">
</c>
      <c r="Y173" s="8">
</c>
      <c r="Z173" s="8">
</c>
      <c r="AA173" s="8">
</c>
      <c r="AB173" s="8">
</c>
      <c r="AC173" s="8">
</c>
      <c r="AD173" s="8">
</c>
      <c r="AE173" s="8">
</c>
      <c r="AF173" s="8">
</c>
      <c r="AG173" s="8">
</c>
      <c r="AH173" s="8">
</c>
      <c r="AI173" s="8">
</c>
      <c r="AJ173" s="8">
</c>
      <c r="AK173" s="8">
</c>
    </row>
    <row r="174" ht="76.5" customHeight="1">
      <c r="A174" s="8">
</c>
      <c r="B174" s="8">
</c>
      <c r="C174" s="8">
</c>
      <c r="D174" s="8">
</c>
      <c r="E174" s="8">
</c>
      <c r="F174" s="8">
</c>
      <c r="G174" s="13" cm="1" t="str">
        <f t="array" ref="G174">IF(F174="","",SUBSTITUTE(SUBSTITUTE(SUBSTITUTE(SUBSTITUTE(F174,"&lt;li&gt;",CHAR(10)),"&lt;/li&gt;",""),"&lt;br&gt;",CHAR(10)),"&lt;strong&gt;",""))</f>
        <v/>
      </c>
      <c r="H174" s="13" cm="1" t="str">
        <f t="array" ref="H174">IF(G174="","",SUBSTITUTE(SUBSTITUTE(SUBSTITUTE(SUBSTITUTE(SUBSTITUTE(G174,"&lt;p&gt;",""),"&lt;/p&gt;",""),"&lt;ul&gt;",""),"&lt;/ul&gt;",""),"&lt;/strong&gt;",""))</f>
        <v/>
      </c>
      <c r="I174" s="14" cm="1" t="str">
        <f t="array" ref="I174">IF(C174="","",IF(OR(H174="",H174=0,H174=FALSE),"-",H174))</f>
        <v/>
      </c>
      <c r="J174" s="8">
</c>
      <c r="K174" s="8">
</c>
      <c r="L174" s="9" cm="1" t="str">
        <f t="array" ref="L174">IF(C174="","",IF(K174="Mort / Plus rien à faire","KO","OK"))</f>
        <v/>
      </c>
      <c r="M174" s="17">
</c>
      <c r="N174" s="15" cm="1" t="str">
        <f t="array" ref="N174">IF(OR(C174="",M174="",M174=0),"",M174)</f>
        <v/>
      </c>
      <c r="O174" s="17">
</c>
      <c r="P174" s="15" cm="1" t="str">
        <f t="array" ref="P174">IF(C174="","",IF(OR(O174="",O174=0),"-",O174))</f>
        <v/>
      </c>
      <c r="Q174" s="18">
</c>
      <c r="R174" s="16" cm="1" t="str">
        <f t="array" ref="R174">IF(C174="","",ROUND(Q174/1000000,3)&amp;" M€")</f>
        <v/>
      </c>
      <c r="S174" s="19">
</c>
      <c r="T174" s="9" cm="1" t="str">
        <f t="array" ref="T174">IF(C174="","",SUBSTITUTE(S174,"","")&amp;"%")</f>
        <v/>
      </c>
      <c r="U174" s="9" cm="1" t="str">
        <f t="array" ref="U174">IF(($N174="")*($P174=""),"",IF(($N174&lt;&gt;"")*($N174&gt;TODAY()-9)*($N174&lt;TODAY()+1)*($P174&lt;&gt;"")*($P174&gt;=TODAY())*($P174&lt;=TODAY()+13),"Semaine passée &amp; à venir",IF(($N174&lt;&gt;"")*($N174&gt;TODAY()-9)*($N174&lt;TODAY()+1),"Semaine passée",IF(($P174&lt;&gt;"")*($P174&gt;=TODAY())*($P174&lt;=TODAY()+13),"À venir","Autre"))))</f>
        <v/>
      </c>
      <c r="V174" s="8" cm="1" t="n">
        <f t="array" ref="V174">IF(C174&lt;&gt;"",1,0)</f>
        <v>0</v>
      </c>
      <c r="W174" s="8">
</c>
      <c r="X174" s="8">
</c>
      <c r="Y174" s="8">
</c>
      <c r="Z174" s="8">
</c>
      <c r="AA174" s="8">
</c>
      <c r="AB174" s="8">
</c>
      <c r="AC174" s="8">
</c>
      <c r="AD174" s="8">
</c>
      <c r="AE174" s="8">
</c>
      <c r="AF174" s="8">
</c>
      <c r="AG174" s="8">
</c>
      <c r="AH174" s="8">
</c>
      <c r="AI174" s="8">
</c>
      <c r="AJ174" s="8">
</c>
      <c r="AK174" s="8">
</c>
    </row>
    <row r="175" ht="76.5" customHeight="1">
      <c r="A175" s="8">
</c>
      <c r="B175" s="8">
</c>
      <c r="C175" s="8">
</c>
      <c r="D175" s="8">
</c>
      <c r="E175" s="8">
</c>
      <c r="F175" s="8">
</c>
      <c r="G175" s="13" cm="1" t="str">
        <f t="array" ref="G175">IF(F175="","",SUBSTITUTE(SUBSTITUTE(SUBSTITUTE(SUBSTITUTE(F175,"&lt;li&gt;",CHAR(10)),"&lt;/li&gt;",""),"&lt;br&gt;",CHAR(10)),"&lt;strong&gt;",""))</f>
        <v/>
      </c>
      <c r="H175" s="13" cm="1" t="str">
        <f t="array" ref="H175">IF(G175="","",SUBSTITUTE(SUBSTITUTE(SUBSTITUTE(SUBSTITUTE(SUBSTITUTE(G175,"&lt;p&gt;",""),"&lt;/p&gt;",""),"&lt;ul&gt;",""),"&lt;/ul&gt;",""),"&lt;/strong&gt;",""))</f>
        <v/>
      </c>
      <c r="I175" s="14" cm="1" t="str">
        <f t="array" ref="I175">IF(C175="","",IF(OR(H175="",H175=0,H175=FALSE),"-",H175))</f>
        <v/>
      </c>
      <c r="J175" s="8">
</c>
      <c r="K175" s="8">
</c>
      <c r="L175" s="9" cm="1" t="str">
        <f t="array" ref="L175">IF(C175="","",IF(K175="Mort / Plus rien à faire","KO","OK"))</f>
        <v/>
      </c>
      <c r="M175" s="17">
</c>
      <c r="N175" s="15" cm="1" t="str">
        <f t="array" ref="N175">IF(OR(C175="",M175="",M175=0),"",M175)</f>
        <v/>
      </c>
      <c r="O175" s="17">
</c>
      <c r="P175" s="15" cm="1" t="str">
        <f t="array" ref="P175">IF(C175="","",IF(OR(O175="",O175=0),"-",O175))</f>
        <v/>
      </c>
      <c r="Q175" s="18">
</c>
      <c r="R175" s="16" cm="1" t="str">
        <f t="array" ref="R175">IF(C175="","",ROUND(Q175/1000000,3)&amp;" M€")</f>
        <v/>
      </c>
      <c r="S175" s="19">
</c>
      <c r="T175" s="9" cm="1" t="str">
        <f t="array" ref="T175">IF(C175="","",SUBSTITUTE(S175,"","")&amp;"%")</f>
        <v/>
      </c>
      <c r="U175" s="9" cm="1" t="str">
        <f t="array" ref="U175">IF(($N175="")*($P175=""),"",IF(($N175&lt;&gt;"")*($N175&gt;TODAY()-9)*($N175&lt;TODAY()+1)*($P175&lt;&gt;"")*($P175&gt;=TODAY())*($P175&lt;=TODAY()+13),"Semaine passée &amp; à venir",IF(($N175&lt;&gt;"")*($N175&gt;TODAY()-9)*($N175&lt;TODAY()+1),"Semaine passée",IF(($P175&lt;&gt;"")*($P175&gt;=TODAY())*($P175&lt;=TODAY()+13),"À venir","Autre"))))</f>
        <v/>
      </c>
      <c r="V175" s="8" cm="1" t="n">
        <f t="array" ref="V175">IF(C175&lt;&gt;"",1,0)</f>
        <v>0</v>
      </c>
      <c r="W175" s="8">
</c>
      <c r="X175" s="8">
</c>
      <c r="Y175" s="8">
</c>
      <c r="Z175" s="8">
</c>
      <c r="AA175" s="8">
</c>
      <c r="AB175" s="8">
</c>
      <c r="AC175" s="8">
</c>
      <c r="AD175" s="8">
</c>
      <c r="AE175" s="8">
</c>
      <c r="AF175" s="8">
</c>
      <c r="AG175" s="8">
</c>
      <c r="AH175" s="8">
</c>
      <c r="AI175" s="8">
</c>
      <c r="AJ175" s="8">
</c>
      <c r="AK175" s="8">
</c>
    </row>
    <row r="176" ht="76.5" customHeight="1">
      <c r="A176" s="8">
</c>
      <c r="B176" s="8">
</c>
      <c r="C176" s="8">
</c>
      <c r="D176" s="8">
</c>
      <c r="E176" s="8">
</c>
      <c r="F176" s="8">
</c>
      <c r="G176" s="13" cm="1" t="str">
        <f t="array" ref="G176">IF(F176="","",SUBSTITUTE(SUBSTITUTE(SUBSTITUTE(SUBSTITUTE(F176,"&lt;li&gt;",CHAR(10)),"&lt;/li&gt;",""),"&lt;br&gt;",CHAR(10)),"&lt;strong&gt;",""))</f>
        <v/>
      </c>
      <c r="H176" s="13" cm="1" t="str">
        <f t="array" ref="H176">IF(G176="","",SUBSTITUTE(SUBSTITUTE(SUBSTITUTE(SUBSTITUTE(SUBSTITUTE(G176,"&lt;p&gt;",""),"&lt;/p&gt;",""),"&lt;ul&gt;",""),"&lt;/ul&gt;",""),"&lt;/strong&gt;",""))</f>
        <v/>
      </c>
      <c r="I176" s="14" cm="1" t="str">
        <f t="array" ref="I176">IF(C176="","",IF(OR(H176="",H176=0,H176=FALSE),"-",H176))</f>
        <v/>
      </c>
      <c r="J176" s="8">
</c>
      <c r="K176" s="8">
</c>
      <c r="L176" s="9" cm="1" t="str">
        <f t="array" ref="L176">IF(C176="","",IF(K176="Mort / Plus rien à faire","KO","OK"))</f>
        <v/>
      </c>
      <c r="M176" s="17">
</c>
      <c r="N176" s="15" cm="1" t="str">
        <f t="array" ref="N176">IF(OR(C176="",M176="",M176=0),"",M176)</f>
        <v/>
      </c>
      <c r="O176" s="17">
</c>
      <c r="P176" s="15" cm="1" t="str">
        <f t="array" ref="P176">IF(C176="","",IF(OR(O176="",O176=0),"-",O176))</f>
        <v/>
      </c>
      <c r="Q176" s="18">
</c>
      <c r="R176" s="16" cm="1" t="str">
        <f t="array" ref="R176">IF(C176="","",ROUND(Q176/1000000,3)&amp;" M€")</f>
        <v/>
      </c>
      <c r="S176" s="19">
</c>
      <c r="T176" s="9" cm="1" t="str">
        <f t="array" ref="T176">IF(C176="","",SUBSTITUTE(S176,"","")&amp;"%")</f>
        <v/>
      </c>
      <c r="U176" s="9" cm="1" t="str">
        <f t="array" ref="U176">IF(($N176="")*($P176=""),"",IF(($N176&lt;&gt;"")*($N176&gt;TODAY()-9)*($N176&lt;TODAY()+1)*($P176&lt;&gt;"")*($P176&gt;=TODAY())*($P176&lt;=TODAY()+13),"Semaine passée &amp; à venir",IF(($N176&lt;&gt;"")*($N176&gt;TODAY()-9)*($N176&lt;TODAY()+1),"Semaine passée",IF(($P176&lt;&gt;"")*($P176&gt;=TODAY())*($P176&lt;=TODAY()+13),"À venir","Autre"))))</f>
        <v/>
      </c>
      <c r="V176" s="8" cm="1" t="n">
        <f t="array" ref="V176">IF(C176&lt;&gt;"",1,0)</f>
        <v>0</v>
      </c>
      <c r="W176" s="8">
</c>
      <c r="X176" s="8">
</c>
      <c r="Y176" s="8">
</c>
      <c r="Z176" s="8">
</c>
      <c r="AA176" s="8">
</c>
      <c r="AB176" s="8">
</c>
      <c r="AC176" s="8">
</c>
      <c r="AD176" s="8">
</c>
      <c r="AE176" s="8">
</c>
      <c r="AF176" s="8">
</c>
      <c r="AG176" s="8">
</c>
      <c r="AH176" s="8">
</c>
      <c r="AI176" s="8">
</c>
      <c r="AJ176" s="8">
</c>
      <c r="AK176" s="8">
</c>
    </row>
    <row r="177" ht="76.5" customHeight="1">
      <c r="A177" s="8">
</c>
      <c r="B177" s="8">
</c>
      <c r="C177" s="8">
</c>
      <c r="D177" s="8">
</c>
      <c r="E177" s="8">
</c>
      <c r="F177" s="8">
</c>
      <c r="G177" s="13" cm="1" t="str">
        <f t="array" ref="G177">IF(F177="","",SUBSTITUTE(SUBSTITUTE(SUBSTITUTE(SUBSTITUTE(F177,"&lt;li&gt;",CHAR(10)),"&lt;/li&gt;",""),"&lt;br&gt;",CHAR(10)),"&lt;strong&gt;",""))</f>
        <v/>
      </c>
      <c r="H177" s="13" cm="1" t="str">
        <f t="array" ref="H177">IF(G177="","",SUBSTITUTE(SUBSTITUTE(SUBSTITUTE(SUBSTITUTE(SUBSTITUTE(G177,"&lt;p&gt;",""),"&lt;/p&gt;",""),"&lt;ul&gt;",""),"&lt;/ul&gt;",""),"&lt;/strong&gt;",""))</f>
        <v/>
      </c>
      <c r="I177" s="14" cm="1" t="str">
        <f t="array" ref="I177">IF(C177="","",IF(OR(H177="",H177=0,H177=FALSE),"-",H177))</f>
        <v/>
      </c>
      <c r="J177" s="8">
</c>
      <c r="K177" s="8">
</c>
      <c r="L177" s="9" cm="1" t="str">
        <f t="array" ref="L177">IF(C177="","",IF(K177="Mort / Plus rien à faire","KO","OK"))</f>
        <v/>
      </c>
      <c r="M177" s="17">
</c>
      <c r="N177" s="15" cm="1" t="str">
        <f t="array" ref="N177">IF(OR(C177="",M177="",M177=0),"",M177)</f>
        <v/>
      </c>
      <c r="O177" s="17">
</c>
      <c r="P177" s="15" cm="1" t="str">
        <f t="array" ref="P177">IF(C177="","",IF(OR(O177="",O177=0),"-",O177))</f>
        <v/>
      </c>
      <c r="Q177" s="18">
</c>
      <c r="R177" s="16" cm="1" t="str">
        <f t="array" ref="R177">IF(C177="","",ROUND(Q177/1000000,3)&amp;" M€")</f>
        <v/>
      </c>
      <c r="S177" s="19">
</c>
      <c r="T177" s="9" cm="1" t="str">
        <f t="array" ref="T177">IF(C177="","",SUBSTITUTE(S177,"","")&amp;"%")</f>
        <v/>
      </c>
      <c r="U177" s="9" cm="1" t="str">
        <f t="array" ref="U177">IF(($N177="")*($P177=""),"",IF(($N177&lt;&gt;"")*($N177&gt;TODAY()-9)*($N177&lt;TODAY()+1)*($P177&lt;&gt;"")*($P177&gt;=TODAY())*($P177&lt;=TODAY()+13),"Semaine passée &amp; à venir",IF(($N177&lt;&gt;"")*($N177&gt;TODAY()-9)*($N177&lt;TODAY()+1),"Semaine passée",IF(($P177&lt;&gt;"")*($P177&gt;=TODAY())*($P177&lt;=TODAY()+13),"À venir","Autre"))))</f>
        <v/>
      </c>
      <c r="V177" s="8" cm="1" t="n">
        <f t="array" ref="V177">IF(C177&lt;&gt;"",1,0)</f>
        <v>0</v>
      </c>
      <c r="W177" s="8">
</c>
      <c r="X177" s="8">
</c>
      <c r="Y177" s="8">
</c>
      <c r="Z177" s="8">
</c>
      <c r="AA177" s="8">
</c>
      <c r="AB177" s="8">
</c>
      <c r="AC177" s="8">
</c>
      <c r="AD177" s="8">
</c>
      <c r="AE177" s="8">
</c>
      <c r="AF177" s="8">
</c>
      <c r="AG177" s="8">
</c>
      <c r="AH177" s="8">
</c>
      <c r="AI177" s="8">
</c>
      <c r="AJ177" s="8">
</c>
      <c r="AK177" s="8">
</c>
    </row>
    <row r="178" ht="76.5" customHeight="1">
      <c r="A178" s="8">
</c>
      <c r="B178" s="8">
</c>
      <c r="C178" s="8">
</c>
      <c r="D178" s="8">
</c>
      <c r="E178" s="8">
</c>
      <c r="F178" s="8">
</c>
      <c r="G178" s="13" cm="1" t="str">
        <f t="array" ref="G178">IF(F178="","",SUBSTITUTE(SUBSTITUTE(SUBSTITUTE(SUBSTITUTE(F178,"&lt;li&gt;",CHAR(10)),"&lt;/li&gt;",""),"&lt;br&gt;",CHAR(10)),"&lt;strong&gt;",""))</f>
        <v/>
      </c>
      <c r="H178" s="13" cm="1" t="str">
        <f t="array" ref="H178">IF(G178="","",SUBSTITUTE(SUBSTITUTE(SUBSTITUTE(SUBSTITUTE(SUBSTITUTE(G178,"&lt;p&gt;",""),"&lt;/p&gt;",""),"&lt;ul&gt;",""),"&lt;/ul&gt;",""),"&lt;/strong&gt;",""))</f>
        <v/>
      </c>
      <c r="I178" s="14" cm="1" t="str">
        <f t="array" ref="I178">IF(C178="","",IF(OR(H178="",H178=0,H178=FALSE),"-",H178))</f>
        <v/>
      </c>
      <c r="J178" s="8">
</c>
      <c r="K178" s="8">
</c>
      <c r="L178" s="9" cm="1" t="str">
        <f t="array" ref="L178">IF(C178="","",IF(K178="Mort / Plus rien à faire","KO","OK"))</f>
        <v/>
      </c>
      <c r="M178" s="17">
</c>
      <c r="N178" s="15" cm="1" t="str">
        <f t="array" ref="N178">IF(OR(C178="",M178="",M178=0),"",M178)</f>
        <v/>
      </c>
      <c r="O178" s="17">
</c>
      <c r="P178" s="15" cm="1" t="str">
        <f t="array" ref="P178">IF(C178="","",IF(OR(O178="",O178=0),"-",O178))</f>
        <v/>
      </c>
      <c r="Q178" s="18">
</c>
      <c r="R178" s="16" cm="1" t="str">
        <f t="array" ref="R178">IF(C178="","",ROUND(Q178/1000000,3)&amp;" M€")</f>
        <v/>
      </c>
      <c r="S178" s="19">
</c>
      <c r="T178" s="9" cm="1" t="str">
        <f t="array" ref="T178">IF(C178="","",SUBSTITUTE(S178,"","")&amp;"%")</f>
        <v/>
      </c>
      <c r="U178" s="9" cm="1" t="str">
        <f t="array" ref="U178">IF(($N178="")*($P178=""),"",IF(($N178&lt;&gt;"")*($N178&gt;TODAY()-9)*($N178&lt;TODAY()+1)*($P178&lt;&gt;"")*($P178&gt;=TODAY())*($P178&lt;=TODAY()+13),"Semaine passée &amp; à venir",IF(($N178&lt;&gt;"")*($N178&gt;TODAY()-9)*($N178&lt;TODAY()+1),"Semaine passée",IF(($P178&lt;&gt;"")*($P178&gt;=TODAY())*($P178&lt;=TODAY()+13),"À venir","Autre"))))</f>
        <v/>
      </c>
      <c r="V178" s="8" cm="1" t="n">
        <f t="array" ref="V178">IF(C178&lt;&gt;"",1,0)</f>
        <v>0</v>
      </c>
      <c r="W178" s="8">
</c>
      <c r="X178" s="8">
</c>
      <c r="Y178" s="8">
</c>
      <c r="Z178" s="8">
</c>
      <c r="AA178" s="8">
</c>
      <c r="AB178" s="8">
</c>
      <c r="AC178" s="8">
</c>
      <c r="AD178" s="8">
</c>
      <c r="AE178" s="8">
</c>
      <c r="AF178" s="8">
</c>
      <c r="AG178" s="8">
</c>
      <c r="AH178" s="8">
</c>
      <c r="AI178" s="8">
</c>
      <c r="AJ178" s="8">
</c>
      <c r="AK178" s="8">
</c>
    </row>
    <row r="179" ht="76.5" customHeight="1">
      <c r="A179" s="8">
</c>
      <c r="B179" s="8">
</c>
      <c r="C179" s="8">
</c>
      <c r="D179" s="8">
</c>
      <c r="E179" s="8">
</c>
      <c r="F179" s="8">
</c>
      <c r="G179" s="13" cm="1" t="str">
        <f t="array" ref="G179">IF(F179="","",SUBSTITUTE(SUBSTITUTE(SUBSTITUTE(SUBSTITUTE(F179,"&lt;li&gt;",CHAR(10)),"&lt;/li&gt;",""),"&lt;br&gt;",CHAR(10)),"&lt;strong&gt;",""))</f>
        <v/>
      </c>
      <c r="H179" s="13" cm="1" t="str">
        <f t="array" ref="H179">IF(G179="","",SUBSTITUTE(SUBSTITUTE(SUBSTITUTE(SUBSTITUTE(SUBSTITUTE(G179,"&lt;p&gt;",""),"&lt;/p&gt;",""),"&lt;ul&gt;",""),"&lt;/ul&gt;",""),"&lt;/strong&gt;",""))</f>
        <v/>
      </c>
      <c r="I179" s="14" cm="1" t="str">
        <f t="array" ref="I179">IF(C179="","",IF(OR(H179="",H179=0,H179=FALSE),"-",H179))</f>
        <v/>
      </c>
      <c r="J179" s="8">
</c>
      <c r="K179" s="8">
</c>
      <c r="L179" s="9" cm="1" t="str">
        <f t="array" ref="L179">IF(C179="","",IF(K179="Mort / Plus rien à faire","KO","OK"))</f>
        <v/>
      </c>
      <c r="M179" s="17">
</c>
      <c r="N179" s="15" cm="1" t="str">
        <f t="array" ref="N179">IF(OR(C179="",M179="",M179=0),"",M179)</f>
        <v/>
      </c>
      <c r="O179" s="17">
</c>
      <c r="P179" s="15" cm="1" t="str">
        <f t="array" ref="P179">IF(C179="","",IF(OR(O179="",O179=0),"-",O179))</f>
        <v/>
      </c>
      <c r="Q179" s="18">
</c>
      <c r="R179" s="16" cm="1" t="str">
        <f t="array" ref="R179">IF(C179="","",ROUND(Q179/1000000,3)&amp;" M€")</f>
        <v/>
      </c>
      <c r="S179" s="19">
</c>
      <c r="T179" s="9" cm="1" t="str">
        <f t="array" ref="T179">IF(C179="","",SUBSTITUTE(S179,"","")&amp;"%")</f>
        <v/>
      </c>
      <c r="U179" s="9" cm="1" t="str">
        <f t="array" ref="U179">IF(($N179="")*($P179=""),"",IF(($N179&lt;&gt;"")*($N179&gt;TODAY()-9)*($N179&lt;TODAY()+1)*($P179&lt;&gt;"")*($P179&gt;=TODAY())*($P179&lt;=TODAY()+13),"Semaine passée &amp; à venir",IF(($N179&lt;&gt;"")*($N179&gt;TODAY()-9)*($N179&lt;TODAY()+1),"Semaine passée",IF(($P179&lt;&gt;"")*($P179&gt;=TODAY())*($P179&lt;=TODAY()+13),"À venir","Autre"))))</f>
        <v/>
      </c>
      <c r="V179" s="8" cm="1" t="n">
        <f t="array" ref="V179">IF(C179&lt;&gt;"",1,0)</f>
        <v>0</v>
      </c>
      <c r="W179" s="8">
</c>
      <c r="X179" s="8">
</c>
      <c r="Y179" s="8">
</c>
      <c r="Z179" s="8">
</c>
      <c r="AA179" s="8">
</c>
      <c r="AB179" s="8">
</c>
      <c r="AC179" s="8">
</c>
      <c r="AD179" s="8">
</c>
      <c r="AE179" s="8">
</c>
      <c r="AF179" s="8">
</c>
      <c r="AG179" s="8">
</c>
      <c r="AH179" s="8">
</c>
      <c r="AI179" s="8">
</c>
      <c r="AJ179" s="8">
</c>
      <c r="AK179" s="8">
</c>
    </row>
    <row r="180" ht="76.5" customHeight="1">
      <c r="A180" s="8">
</c>
      <c r="B180" s="8">
</c>
      <c r="C180" s="8">
</c>
      <c r="D180" s="8">
</c>
      <c r="E180" s="8">
</c>
      <c r="F180" s="8">
</c>
      <c r="G180" s="13" cm="1" t="str">
        <f t="array" ref="G180">IF(F180="","",SUBSTITUTE(SUBSTITUTE(SUBSTITUTE(SUBSTITUTE(F180,"&lt;li&gt;",CHAR(10)),"&lt;/li&gt;",""),"&lt;br&gt;",CHAR(10)),"&lt;strong&gt;",""))</f>
        <v/>
      </c>
      <c r="H180" s="13" cm="1" t="str">
        <f t="array" ref="H180">IF(G180="","",SUBSTITUTE(SUBSTITUTE(SUBSTITUTE(SUBSTITUTE(SUBSTITUTE(G180,"&lt;p&gt;",""),"&lt;/p&gt;",""),"&lt;ul&gt;",""),"&lt;/ul&gt;",""),"&lt;/strong&gt;",""))</f>
        <v/>
      </c>
      <c r="I180" s="14" cm="1" t="str">
        <f t="array" ref="I180">IF(C180="","",IF(OR(H180="",H180=0,H180=FALSE),"-",H180))</f>
        <v/>
      </c>
      <c r="J180" s="8">
</c>
      <c r="K180" s="8">
</c>
      <c r="L180" s="9" cm="1" t="str">
        <f t="array" ref="L180">IF(C180="","",IF(K180="Mort / Plus rien à faire","KO","OK"))</f>
        <v/>
      </c>
      <c r="M180" s="17">
</c>
      <c r="N180" s="15" cm="1" t="str">
        <f t="array" ref="N180">IF(OR(C180="",M180="",M180=0),"",M180)</f>
        <v/>
      </c>
      <c r="O180" s="17">
</c>
      <c r="P180" s="15" cm="1" t="str">
        <f t="array" ref="P180">IF(C180="","",IF(OR(O180="",O180=0),"-",O180))</f>
        <v/>
      </c>
      <c r="Q180" s="18">
</c>
      <c r="R180" s="16" cm="1" t="str">
        <f t="array" ref="R180">IF(C180="","",ROUND(Q180/1000000,3)&amp;" M€")</f>
        <v/>
      </c>
      <c r="S180" s="19">
</c>
      <c r="T180" s="9" cm="1" t="str">
        <f t="array" ref="T180">IF(C180="","",SUBSTITUTE(S180,"","")&amp;"%")</f>
        <v/>
      </c>
      <c r="U180" s="9" cm="1" t="str">
        <f t="array" ref="U180">IF(($N180="")*($P180=""),"",IF(($N180&lt;&gt;"")*($N180&gt;TODAY()-9)*($N180&lt;TODAY()+1)*($P180&lt;&gt;"")*($P180&gt;=TODAY())*($P180&lt;=TODAY()+13),"Semaine passée &amp; à venir",IF(($N180&lt;&gt;"")*($N180&gt;TODAY()-9)*($N180&lt;TODAY()+1),"Semaine passée",IF(($P180&lt;&gt;"")*($P180&gt;=TODAY())*($P180&lt;=TODAY()+13),"À venir","Autre"))))</f>
        <v/>
      </c>
      <c r="V180" s="8" cm="1" t="n">
        <f t="array" ref="V180">IF(C180&lt;&gt;"",1,0)</f>
        <v>0</v>
      </c>
      <c r="W180" s="8">
</c>
      <c r="X180" s="8">
</c>
      <c r="Y180" s="8">
</c>
      <c r="Z180" s="8">
</c>
      <c r="AA180" s="8">
</c>
      <c r="AB180" s="8">
</c>
      <c r="AC180" s="8">
</c>
      <c r="AD180" s="8">
</c>
      <c r="AE180" s="8">
</c>
      <c r="AF180" s="8">
</c>
      <c r="AG180" s="8">
</c>
      <c r="AH180" s="8">
</c>
      <c r="AI180" s="8">
</c>
      <c r="AJ180" s="8">
</c>
      <c r="AK180" s="8">
</c>
    </row>
    <row r="181" ht="76.5" customHeight="1">
      <c r="A181" s="8">
</c>
      <c r="B181" s="8">
</c>
      <c r="C181" s="8">
</c>
      <c r="D181" s="8">
</c>
      <c r="E181" s="8">
</c>
      <c r="F181" s="8">
</c>
      <c r="G181" s="13" cm="1" t="str">
        <f t="array" ref="G181">IF(F181="","",SUBSTITUTE(SUBSTITUTE(SUBSTITUTE(SUBSTITUTE(F181,"&lt;li&gt;",CHAR(10)),"&lt;/li&gt;",""),"&lt;br&gt;",CHAR(10)),"&lt;strong&gt;",""))</f>
        <v/>
      </c>
      <c r="H181" s="13" cm="1" t="str">
        <f t="array" ref="H181">IF(G181="","",SUBSTITUTE(SUBSTITUTE(SUBSTITUTE(SUBSTITUTE(SUBSTITUTE(G181,"&lt;p&gt;",""),"&lt;/p&gt;",""),"&lt;ul&gt;",""),"&lt;/ul&gt;",""),"&lt;/strong&gt;",""))</f>
        <v/>
      </c>
      <c r="I181" s="14" cm="1" t="str">
        <f t="array" ref="I181">IF(C181="","",IF(OR(H181="",H181=0,H181=FALSE),"-",H181))</f>
        <v/>
      </c>
      <c r="J181" s="8">
</c>
      <c r="K181" s="8">
</c>
      <c r="L181" s="9" cm="1" t="str">
        <f t="array" ref="L181">IF(C181="","",IF(K181="Mort / Plus rien à faire","KO","OK"))</f>
        <v/>
      </c>
      <c r="M181" s="17">
</c>
      <c r="N181" s="15" cm="1" t="str">
        <f t="array" ref="N181">IF(OR(C181="",M181="",M181=0),"",M181)</f>
        <v/>
      </c>
      <c r="O181" s="17">
</c>
      <c r="P181" s="15" cm="1" t="str">
        <f t="array" ref="P181">IF(C181="","",IF(OR(O181="",O181=0),"-",O181))</f>
        <v/>
      </c>
      <c r="Q181" s="18">
</c>
      <c r="R181" s="16" cm="1" t="str">
        <f t="array" ref="R181">IF(C181="","",ROUND(Q181/1000000,3)&amp;" M€")</f>
        <v/>
      </c>
      <c r="S181" s="19">
</c>
      <c r="T181" s="9" cm="1" t="str">
        <f t="array" ref="T181">IF(C181="","",SUBSTITUTE(S181,"","")&amp;"%")</f>
        <v/>
      </c>
      <c r="U181" s="9" cm="1" t="str">
        <f t="array" ref="U181">IF(($N181="")*($P181=""),"",IF(($N181&lt;&gt;"")*($N181&gt;TODAY()-9)*($N181&lt;TODAY()+1)*($P181&lt;&gt;"")*($P181&gt;=TODAY())*($P181&lt;=TODAY()+13),"Semaine passée &amp; à venir",IF(($N181&lt;&gt;"")*($N181&gt;TODAY()-9)*($N181&lt;TODAY()+1),"Semaine passée",IF(($P181&lt;&gt;"")*($P181&gt;=TODAY())*($P181&lt;=TODAY()+13),"À venir","Autre"))))</f>
        <v/>
      </c>
      <c r="V181" s="8" cm="1" t="n">
        <f t="array" ref="V181">IF(C181&lt;&gt;"",1,0)</f>
        <v>0</v>
      </c>
      <c r="W181" s="8">
</c>
      <c r="X181" s="8">
</c>
      <c r="Y181" s="8">
</c>
      <c r="Z181" s="8">
</c>
      <c r="AA181" s="8">
</c>
      <c r="AB181" s="8">
</c>
      <c r="AC181" s="8">
</c>
      <c r="AD181" s="8">
</c>
      <c r="AE181" s="8">
</c>
      <c r="AF181" s="8">
</c>
      <c r="AG181" s="8">
</c>
      <c r="AH181" s="8">
</c>
      <c r="AI181" s="8">
</c>
      <c r="AJ181" s="8">
</c>
      <c r="AK181" s="8">
</c>
    </row>
    <row r="182" ht="76.5" customHeight="1">
      <c r="A182" s="8">
</c>
      <c r="B182" s="8">
</c>
      <c r="C182" s="8">
</c>
      <c r="D182" s="8">
</c>
      <c r="E182" s="8">
</c>
      <c r="F182" s="8">
</c>
      <c r="G182" s="13" cm="1" t="str">
        <f t="array" ref="G182">IF(F182="","",SUBSTITUTE(SUBSTITUTE(SUBSTITUTE(SUBSTITUTE(F182,"&lt;li&gt;",CHAR(10)),"&lt;/li&gt;",""),"&lt;br&gt;",CHAR(10)),"&lt;strong&gt;",""))</f>
        <v/>
      </c>
      <c r="H182" s="13" cm="1" t="str">
        <f t="array" ref="H182">IF(G182="","",SUBSTITUTE(SUBSTITUTE(SUBSTITUTE(SUBSTITUTE(SUBSTITUTE(G182,"&lt;p&gt;",""),"&lt;/p&gt;",""),"&lt;ul&gt;",""),"&lt;/ul&gt;",""),"&lt;/strong&gt;",""))</f>
        <v/>
      </c>
      <c r="I182" s="14" cm="1" t="str">
        <f t="array" ref="I182">IF(C182="","",IF(OR(H182="",H182=0,H182=FALSE),"-",H182))</f>
        <v/>
      </c>
      <c r="J182" s="8">
</c>
      <c r="K182" s="8">
</c>
      <c r="L182" s="9" cm="1" t="str">
        <f t="array" ref="L182">IF(C182="","",IF(K182="Mort / Plus rien à faire","KO","OK"))</f>
        <v/>
      </c>
      <c r="M182" s="17">
</c>
      <c r="N182" s="15" cm="1" t="str">
        <f t="array" ref="N182">IF(OR(C182="",M182="",M182=0),"",M182)</f>
        <v/>
      </c>
      <c r="O182" s="17">
</c>
      <c r="P182" s="15" cm="1" t="str">
        <f t="array" ref="P182">IF(C182="","",IF(OR(O182="",O182=0),"-",O182))</f>
        <v/>
      </c>
      <c r="Q182" s="18">
</c>
      <c r="R182" s="16" cm="1" t="str">
        <f t="array" ref="R182">IF(C182="","",ROUND(Q182/1000000,3)&amp;" M€")</f>
        <v/>
      </c>
      <c r="S182" s="19">
</c>
      <c r="T182" s="9" cm="1" t="str">
        <f t="array" ref="T182">IF(C182="","",SUBSTITUTE(S182,"","")&amp;"%")</f>
        <v/>
      </c>
      <c r="U182" s="9" cm="1" t="str">
        <f t="array" ref="U182">IF(($N182="")*($P182=""),"",IF(($N182&lt;&gt;"")*($N182&gt;TODAY()-9)*($N182&lt;TODAY()+1)*($P182&lt;&gt;"")*($P182&gt;=TODAY())*($P182&lt;=TODAY()+13),"Semaine passée &amp; à venir",IF(($N182&lt;&gt;"")*($N182&gt;TODAY()-9)*($N182&lt;TODAY()+1),"Semaine passée",IF(($P182&lt;&gt;"")*($P182&gt;=TODAY())*($P182&lt;=TODAY()+13),"À venir","Autre"))))</f>
        <v/>
      </c>
      <c r="V182" s="8" cm="1" t="n">
        <f t="array" ref="V182">IF(C182&lt;&gt;"",1,0)</f>
        <v>0</v>
      </c>
      <c r="W182" s="8">
</c>
      <c r="X182" s="8">
</c>
      <c r="Y182" s="8">
</c>
      <c r="Z182" s="8">
</c>
      <c r="AA182" s="8">
</c>
      <c r="AB182" s="8">
</c>
      <c r="AC182" s="8">
</c>
      <c r="AD182" s="8">
</c>
      <c r="AE182" s="8">
</c>
      <c r="AF182" s="8">
</c>
      <c r="AG182" s="8">
</c>
      <c r="AH182" s="8">
</c>
      <c r="AI182" s="8">
</c>
      <c r="AJ182" s="8">
</c>
      <c r="AK182" s="8">
</c>
    </row>
    <row r="183" ht="76.5" customHeight="1">
      <c r="A183" s="8">
</c>
      <c r="B183" s="8">
</c>
      <c r="C183" s="8">
</c>
      <c r="D183" s="8">
</c>
      <c r="E183" s="8">
</c>
      <c r="F183" s="8">
</c>
      <c r="G183" s="13" cm="1" t="str">
        <f t="array" ref="G183">IF(F183="","",SUBSTITUTE(SUBSTITUTE(SUBSTITUTE(SUBSTITUTE(F183,"&lt;li&gt;",CHAR(10)),"&lt;/li&gt;",""),"&lt;br&gt;",CHAR(10)),"&lt;strong&gt;",""))</f>
        <v/>
      </c>
      <c r="H183" s="13" cm="1" t="str">
        <f t="array" ref="H183">IF(G183="","",SUBSTITUTE(SUBSTITUTE(SUBSTITUTE(SUBSTITUTE(SUBSTITUTE(G183,"&lt;p&gt;",""),"&lt;/p&gt;",""),"&lt;ul&gt;",""),"&lt;/ul&gt;",""),"&lt;/strong&gt;",""))</f>
        <v/>
      </c>
      <c r="I183" s="14" cm="1" t="str">
        <f t="array" ref="I183">IF(C183="","",IF(OR(H183="",H183=0,H183=FALSE),"-",H183))</f>
        <v/>
      </c>
      <c r="J183" s="8">
</c>
      <c r="K183" s="8">
</c>
      <c r="L183" s="9" cm="1" t="str">
        <f t="array" ref="L183">IF(C183="","",IF(K183="Mort / Plus rien à faire","KO","OK"))</f>
        <v/>
      </c>
      <c r="M183" s="17">
</c>
      <c r="N183" s="15" cm="1" t="str">
        <f t="array" ref="N183">IF(OR(C183="",M183="",M183=0),"",M183)</f>
        <v/>
      </c>
      <c r="O183" s="17">
</c>
      <c r="P183" s="15" cm="1" t="str">
        <f t="array" ref="P183">IF(C183="","",IF(OR(O183="",O183=0),"-",O183))</f>
        <v/>
      </c>
      <c r="Q183" s="18">
</c>
      <c r="R183" s="16" cm="1" t="str">
        <f t="array" ref="R183">IF(C183="","",ROUND(Q183/1000000,3)&amp;" M€")</f>
        <v/>
      </c>
      <c r="S183" s="19">
</c>
      <c r="T183" s="9" cm="1" t="str">
        <f t="array" ref="T183">IF(C183="","",SUBSTITUTE(S183,"","")&amp;"%")</f>
        <v/>
      </c>
      <c r="U183" s="9" cm="1" t="str">
        <f t="array" ref="U183">IF(($N183="")*($P183=""),"",IF(($N183&lt;&gt;"")*($N183&gt;TODAY()-9)*($N183&lt;TODAY()+1)*($P183&lt;&gt;"")*($P183&gt;=TODAY())*($P183&lt;=TODAY()+13),"Semaine passée &amp; à venir",IF(($N183&lt;&gt;"")*($N183&gt;TODAY()-9)*($N183&lt;TODAY()+1),"Semaine passée",IF(($P183&lt;&gt;"")*($P183&gt;=TODAY())*($P183&lt;=TODAY()+13),"À venir","Autre"))))</f>
        <v/>
      </c>
      <c r="V183" s="8" cm="1" t="n">
        <f t="array" ref="V183">IF(C183&lt;&gt;"",1,0)</f>
        <v>0</v>
      </c>
      <c r="W183" s="8">
</c>
      <c r="X183" s="8">
</c>
      <c r="Y183" s="8">
</c>
      <c r="Z183" s="8">
</c>
      <c r="AA183" s="8">
</c>
      <c r="AB183" s="8">
</c>
      <c r="AC183" s="8">
</c>
      <c r="AD183" s="8">
</c>
      <c r="AE183" s="8">
</c>
      <c r="AF183" s="8">
</c>
      <c r="AG183" s="8">
</c>
      <c r="AH183" s="8">
</c>
      <c r="AI183" s="8">
</c>
      <c r="AJ183" s="8">
</c>
      <c r="AK183" s="8">
</c>
    </row>
    <row r="184" ht="76.5" customHeight="1">
      <c r="A184" s="8">
</c>
      <c r="B184" s="8">
</c>
      <c r="C184" s="8">
</c>
      <c r="D184" s="8">
</c>
      <c r="E184" s="8">
</c>
      <c r="F184" s="8">
</c>
      <c r="G184" s="13" cm="1" t="str">
        <f t="array" ref="G184">IF(F184="","",SUBSTITUTE(SUBSTITUTE(SUBSTITUTE(SUBSTITUTE(F184,"&lt;li&gt;",CHAR(10)),"&lt;/li&gt;",""),"&lt;br&gt;",CHAR(10)),"&lt;strong&gt;",""))</f>
        <v/>
      </c>
      <c r="H184" s="13" cm="1" t="str">
        <f t="array" ref="H184">IF(G184="","",SUBSTITUTE(SUBSTITUTE(SUBSTITUTE(SUBSTITUTE(SUBSTITUTE(G184,"&lt;p&gt;",""),"&lt;/p&gt;",""),"&lt;ul&gt;",""),"&lt;/ul&gt;",""),"&lt;/strong&gt;",""))</f>
        <v/>
      </c>
      <c r="I184" s="14" cm="1" t="str">
        <f t="array" ref="I184">IF(C184="","",IF(OR(H184="",H184=0,H184=FALSE),"-",H184))</f>
        <v/>
      </c>
      <c r="J184" s="8">
</c>
      <c r="K184" s="8">
</c>
      <c r="L184" s="9" cm="1" t="str">
        <f t="array" ref="L184">IF(C184="","",IF(K184="Mort / Plus rien à faire","KO","OK"))</f>
        <v/>
      </c>
      <c r="M184" s="17">
</c>
      <c r="N184" s="15" cm="1" t="str">
        <f t="array" ref="N184">IF(OR(C184="",M184="",M184=0),"",M184)</f>
        <v/>
      </c>
      <c r="O184" s="17">
</c>
      <c r="P184" s="15" cm="1" t="str">
        <f t="array" ref="P184">IF(C184="","",IF(OR(O184="",O184=0),"-",O184))</f>
        <v/>
      </c>
      <c r="Q184" s="18">
</c>
      <c r="R184" s="16" cm="1" t="str">
        <f t="array" ref="R184">IF(C184="","",ROUND(Q184/1000000,3)&amp;" M€")</f>
        <v/>
      </c>
      <c r="S184" s="19">
</c>
      <c r="T184" s="9" cm="1" t="str">
        <f t="array" ref="T184">IF(C184="","",SUBSTITUTE(S184,"","")&amp;"%")</f>
        <v/>
      </c>
      <c r="U184" s="9" cm="1" t="str">
        <f t="array" ref="U184">IF(($N184="")*($P184=""),"",IF(($N184&lt;&gt;"")*($N184&gt;TODAY()-9)*($N184&lt;TODAY()+1)*($P184&lt;&gt;"")*($P184&gt;=TODAY())*($P184&lt;=TODAY()+13),"Semaine passée &amp; à venir",IF(($N184&lt;&gt;"")*($N184&gt;TODAY()-9)*($N184&lt;TODAY()+1),"Semaine passée",IF(($P184&lt;&gt;"")*($P184&gt;=TODAY())*($P184&lt;=TODAY()+13),"À venir","Autre"))))</f>
        <v/>
      </c>
      <c r="V184" s="8" cm="1" t="n">
        <f t="array" ref="V184">IF(C184&lt;&gt;"",1,0)</f>
        <v>0</v>
      </c>
      <c r="W184" s="8">
</c>
      <c r="X184" s="8">
</c>
      <c r="Y184" s="8">
</c>
      <c r="Z184" s="8">
</c>
      <c r="AA184" s="8">
</c>
      <c r="AB184" s="8">
</c>
      <c r="AC184" s="8">
</c>
      <c r="AD184" s="8">
</c>
      <c r="AE184" s="8">
</c>
      <c r="AF184" s="8">
</c>
      <c r="AG184" s="8">
</c>
      <c r="AH184" s="8">
</c>
      <c r="AI184" s="8">
</c>
      <c r="AJ184" s="8">
</c>
      <c r="AK184" s="8">
</c>
    </row>
    <row r="185" ht="76.5" customHeight="1">
      <c r="A185" s="8">
</c>
      <c r="B185" s="8">
</c>
      <c r="C185" s="8">
</c>
      <c r="D185" s="8">
</c>
      <c r="E185" s="8">
</c>
      <c r="F185" s="8">
</c>
      <c r="G185" s="13" cm="1" t="str">
        <f t="array" ref="G185">IF(F185="","",SUBSTITUTE(SUBSTITUTE(SUBSTITUTE(SUBSTITUTE(F185,"&lt;li&gt;",CHAR(10)),"&lt;/li&gt;",""),"&lt;br&gt;",CHAR(10)),"&lt;strong&gt;",""))</f>
        <v/>
      </c>
      <c r="H185" s="13" cm="1" t="str">
        <f t="array" ref="H185">IF(G185="","",SUBSTITUTE(SUBSTITUTE(SUBSTITUTE(SUBSTITUTE(SUBSTITUTE(G185,"&lt;p&gt;",""),"&lt;/p&gt;",""),"&lt;ul&gt;",""),"&lt;/ul&gt;",""),"&lt;/strong&gt;",""))</f>
        <v/>
      </c>
      <c r="I185" s="14" cm="1" t="str">
        <f t="array" ref="I185">IF(C185="","",IF(OR(H185="",H185=0,H185=FALSE),"-",H185))</f>
        <v/>
      </c>
      <c r="J185" s="8">
</c>
      <c r="K185" s="8">
</c>
      <c r="L185" s="9" cm="1" t="str">
        <f t="array" ref="L185">IF(C185="","",IF(K185="Mort / Plus rien à faire","KO","OK"))</f>
        <v/>
      </c>
      <c r="M185" s="17">
</c>
      <c r="N185" s="15" cm="1" t="str">
        <f t="array" ref="N185">IF(OR(C185="",M185="",M185=0),"",M185)</f>
        <v/>
      </c>
      <c r="O185" s="17">
</c>
      <c r="P185" s="15" cm="1" t="str">
        <f t="array" ref="P185">IF(C185="","",IF(OR(O185="",O185=0),"-",O185))</f>
        <v/>
      </c>
      <c r="Q185" s="18">
</c>
      <c r="R185" s="16" cm="1" t="str">
        <f t="array" ref="R185">IF(C185="","",ROUND(Q185/1000000,3)&amp;" M€")</f>
        <v/>
      </c>
      <c r="S185" s="19">
</c>
      <c r="T185" s="9" cm="1" t="str">
        <f t="array" ref="T185">IF(C185="","",SUBSTITUTE(S185,"","")&amp;"%")</f>
        <v/>
      </c>
      <c r="U185" s="9" cm="1" t="str">
        <f t="array" ref="U185">IF(($N185="")*($P185=""),"",IF(($N185&lt;&gt;"")*($N185&gt;TODAY()-9)*($N185&lt;TODAY()+1)*($P185&lt;&gt;"")*($P185&gt;=TODAY())*($P185&lt;=TODAY()+13),"Semaine passée &amp; à venir",IF(($N185&lt;&gt;"")*($N185&gt;TODAY()-9)*($N185&lt;TODAY()+1),"Semaine passée",IF(($P185&lt;&gt;"")*($P185&gt;=TODAY())*($P185&lt;=TODAY()+13),"À venir","Autre"))))</f>
        <v/>
      </c>
      <c r="V185" s="8" cm="1" t="n">
        <f t="array" ref="V185">IF(C185&lt;&gt;"",1,0)</f>
        <v>0</v>
      </c>
      <c r="W185" s="8">
</c>
      <c r="X185" s="8">
</c>
      <c r="Y185" s="8">
</c>
      <c r="Z185" s="8">
</c>
      <c r="AA185" s="8">
</c>
      <c r="AB185" s="8">
</c>
      <c r="AC185" s="8">
</c>
      <c r="AD185" s="8">
</c>
      <c r="AE185" s="8">
</c>
      <c r="AF185" s="8">
</c>
      <c r="AG185" s="8">
</c>
      <c r="AH185" s="8">
</c>
      <c r="AI185" s="8">
</c>
      <c r="AJ185" s="8">
</c>
      <c r="AK185" s="8">
</c>
    </row>
    <row r="186" ht="76.5" customHeight="1">
      <c r="A186" s="8">
</c>
      <c r="B186" s="8">
</c>
      <c r="C186" s="8">
</c>
      <c r="D186" s="8">
</c>
      <c r="E186" s="8">
</c>
      <c r="F186" s="8">
</c>
      <c r="G186" s="13" cm="1" t="str">
        <f t="array" ref="G186">IF(F186="","",SUBSTITUTE(SUBSTITUTE(SUBSTITUTE(SUBSTITUTE(F186,"&lt;li&gt;",CHAR(10)),"&lt;/li&gt;",""),"&lt;br&gt;",CHAR(10)),"&lt;strong&gt;",""))</f>
        <v/>
      </c>
      <c r="H186" s="13" cm="1" t="str">
        <f t="array" ref="H186">IF(G186="","",SUBSTITUTE(SUBSTITUTE(SUBSTITUTE(SUBSTITUTE(SUBSTITUTE(G186,"&lt;p&gt;",""),"&lt;/p&gt;",""),"&lt;ul&gt;",""),"&lt;/ul&gt;",""),"&lt;/strong&gt;",""))</f>
        <v/>
      </c>
      <c r="I186" s="14" cm="1" t="str">
        <f t="array" ref="I186">IF(C186="","",IF(OR(H186="",H186=0,H186=FALSE),"-",H186))</f>
        <v/>
      </c>
      <c r="J186" s="8">
</c>
      <c r="K186" s="8">
</c>
      <c r="L186" s="9" cm="1" t="str">
        <f t="array" ref="L186">IF(C186="","",IF(K186="Mort / Plus rien à faire","KO","OK"))</f>
        <v/>
      </c>
      <c r="M186" s="17">
</c>
      <c r="N186" s="15" cm="1" t="str">
        <f t="array" ref="N186">IF(OR(C186="",M186="",M186=0),"",M186)</f>
        <v/>
      </c>
      <c r="O186" s="17">
</c>
      <c r="P186" s="15" cm="1" t="str">
        <f t="array" ref="P186">IF(C186="","",IF(OR(O186="",O186=0),"-",O186))</f>
        <v/>
      </c>
      <c r="Q186" s="18">
</c>
      <c r="R186" s="16" cm="1" t="str">
        <f t="array" ref="R186">IF(C186="","",ROUND(Q186/1000000,3)&amp;" M€")</f>
        <v/>
      </c>
      <c r="S186" s="19">
</c>
      <c r="T186" s="9" cm="1" t="str">
        <f t="array" ref="T186">IF(C186="","",SUBSTITUTE(S186,"","")&amp;"%")</f>
        <v/>
      </c>
      <c r="U186" s="9" cm="1" t="str">
        <f t="array" ref="U186">IF(($N186="")*($P186=""),"",IF(($N186&lt;&gt;"")*($N186&gt;TODAY()-9)*($N186&lt;TODAY()+1)*($P186&lt;&gt;"")*($P186&gt;=TODAY())*($P186&lt;=TODAY()+13),"Semaine passée &amp; à venir",IF(($N186&lt;&gt;"")*($N186&gt;TODAY()-9)*($N186&lt;TODAY()+1),"Semaine passée",IF(($P186&lt;&gt;"")*($P186&gt;=TODAY())*($P186&lt;=TODAY()+13),"À venir","Autre"))))</f>
        <v/>
      </c>
      <c r="V186" s="8" cm="1" t="n">
        <f t="array" ref="V186">IF(C186&lt;&gt;"",1,0)</f>
        <v>0</v>
      </c>
      <c r="W186" s="8">
</c>
      <c r="X186" s="8">
</c>
      <c r="Y186" s="8">
</c>
      <c r="Z186" s="8">
</c>
      <c r="AA186" s="8">
</c>
      <c r="AB186" s="8">
</c>
      <c r="AC186" s="8">
</c>
      <c r="AD186" s="8">
</c>
      <c r="AE186" s="8">
</c>
      <c r="AF186" s="8">
</c>
      <c r="AG186" s="8">
</c>
      <c r="AH186" s="8">
</c>
      <c r="AI186" s="8">
</c>
      <c r="AJ186" s="8">
</c>
      <c r="AK186" s="8">
</c>
    </row>
    <row r="187" ht="76.5" customHeight="1">
      <c r="A187" s="8">
</c>
      <c r="B187" s="8">
</c>
      <c r="C187" s="8">
</c>
      <c r="D187" s="8">
</c>
      <c r="E187" s="8">
</c>
      <c r="F187" s="8">
</c>
      <c r="G187" s="13" cm="1" t="str">
        <f t="array" ref="G187">IF(F187="","",SUBSTITUTE(SUBSTITUTE(SUBSTITUTE(SUBSTITUTE(F187,"&lt;li&gt;",CHAR(10)),"&lt;/li&gt;",""),"&lt;br&gt;",CHAR(10)),"&lt;strong&gt;",""))</f>
        <v/>
      </c>
      <c r="H187" s="13" cm="1" t="str">
        <f t="array" ref="H187">IF(G187="","",SUBSTITUTE(SUBSTITUTE(SUBSTITUTE(SUBSTITUTE(SUBSTITUTE(G187,"&lt;p&gt;",""),"&lt;/p&gt;",""),"&lt;ul&gt;",""),"&lt;/ul&gt;",""),"&lt;/strong&gt;",""))</f>
        <v/>
      </c>
      <c r="I187" s="14" cm="1" t="str">
        <f t="array" ref="I187">IF(C187="","",IF(OR(H187="",H187=0,H187=FALSE),"-",H187))</f>
        <v/>
      </c>
      <c r="J187" s="8">
</c>
      <c r="K187" s="8">
</c>
      <c r="L187" s="9" cm="1" t="str">
        <f t="array" ref="L187">IF(C187="","",IF(K187="Mort / Plus rien à faire","KO","OK"))</f>
        <v/>
      </c>
      <c r="M187" s="17">
</c>
      <c r="N187" s="15" cm="1" t="str">
        <f t="array" ref="N187">IF(OR(C187="",M187="",M187=0),"",M187)</f>
        <v/>
      </c>
      <c r="O187" s="17">
</c>
      <c r="P187" s="15" cm="1" t="str">
        <f t="array" ref="P187">IF(C187="","",IF(OR(O187="",O187=0),"-",O187))</f>
        <v/>
      </c>
      <c r="Q187" s="18">
</c>
      <c r="R187" s="16" cm="1" t="str">
        <f t="array" ref="R187">IF(C187="","",ROUND(Q187/1000000,3)&amp;" M€")</f>
        <v/>
      </c>
      <c r="S187" s="19">
</c>
      <c r="T187" s="9" cm="1" t="str">
        <f t="array" ref="T187">IF(C187="","",SUBSTITUTE(S187,"","")&amp;"%")</f>
        <v/>
      </c>
      <c r="U187" s="9" cm="1" t="str">
        <f t="array" ref="U187">IF(($N187="")*($P187=""),"",IF(($N187&lt;&gt;"")*($N187&gt;TODAY()-9)*($N187&lt;TODAY()+1)*($P187&lt;&gt;"")*($P187&gt;=TODAY())*($P187&lt;=TODAY()+13),"Semaine passée &amp; à venir",IF(($N187&lt;&gt;"")*($N187&gt;TODAY()-9)*($N187&lt;TODAY()+1),"Semaine passée",IF(($P187&lt;&gt;"")*($P187&gt;=TODAY())*($P187&lt;=TODAY()+13),"À venir","Autre"))))</f>
        <v/>
      </c>
      <c r="V187" s="8" cm="1" t="n">
        <f t="array" ref="V187">IF(C187&lt;&gt;"",1,0)</f>
        <v>0</v>
      </c>
      <c r="W187" s="8">
</c>
      <c r="X187" s="8">
</c>
      <c r="Y187" s="8">
</c>
      <c r="Z187" s="8">
</c>
      <c r="AA187" s="8">
</c>
      <c r="AB187" s="8">
</c>
      <c r="AC187" s="8">
</c>
      <c r="AD187" s="8">
</c>
      <c r="AE187" s="8">
</c>
      <c r="AF187" s="8">
</c>
      <c r="AG187" s="8">
</c>
      <c r="AH187" s="8">
</c>
      <c r="AI187" s="8">
</c>
      <c r="AJ187" s="8">
</c>
      <c r="AK187" s="8">
</c>
    </row>
    <row r="188" ht="76.5" customHeight="1">
      <c r="A188" s="8">
</c>
      <c r="B188" s="8">
</c>
      <c r="C188" s="8">
</c>
      <c r="D188" s="8">
</c>
      <c r="E188" s="8">
</c>
      <c r="F188" s="8">
</c>
      <c r="G188" s="13" cm="1" t="str">
        <f t="array" ref="G188">IF(F188="","",SUBSTITUTE(SUBSTITUTE(SUBSTITUTE(SUBSTITUTE(F188,"&lt;li&gt;",CHAR(10)),"&lt;/li&gt;",""),"&lt;br&gt;",CHAR(10)),"&lt;strong&gt;",""))</f>
        <v/>
      </c>
      <c r="H188" s="13" cm="1" t="str">
        <f t="array" ref="H188">IF(G188="","",SUBSTITUTE(SUBSTITUTE(SUBSTITUTE(SUBSTITUTE(SUBSTITUTE(G188,"&lt;p&gt;",""),"&lt;/p&gt;",""),"&lt;ul&gt;",""),"&lt;/ul&gt;",""),"&lt;/strong&gt;",""))</f>
        <v/>
      </c>
      <c r="I188" s="14" cm="1" t="str">
        <f t="array" ref="I188">IF(C188="","",IF(OR(H188="",H188=0,H188=FALSE),"-",H188))</f>
        <v/>
      </c>
      <c r="J188" s="8">
</c>
      <c r="K188" s="8">
</c>
      <c r="L188" s="9" cm="1" t="str">
        <f t="array" ref="L188">IF(C188="","",IF(K188="Mort / Plus rien à faire","KO","OK"))</f>
        <v/>
      </c>
      <c r="M188" s="17">
</c>
      <c r="N188" s="15" cm="1" t="str">
        <f t="array" ref="N188">IF(OR(C188="",M188="",M188=0),"",M188)</f>
        <v/>
      </c>
      <c r="O188" s="17">
</c>
      <c r="P188" s="15" cm="1" t="str">
        <f t="array" ref="P188">IF(C188="","",IF(OR(O188="",O188=0),"-",O188))</f>
        <v/>
      </c>
      <c r="Q188" s="18">
</c>
      <c r="R188" s="16" cm="1" t="str">
        <f t="array" ref="R188">IF(C188="","",ROUND(Q188/1000000,3)&amp;" M€")</f>
        <v/>
      </c>
      <c r="S188" s="19">
</c>
      <c r="T188" s="9" cm="1" t="str">
        <f t="array" ref="T188">IF(C188="","",SUBSTITUTE(S188,"","")&amp;"%")</f>
        <v/>
      </c>
      <c r="U188" s="9" cm="1" t="str">
        <f t="array" ref="U188">IF(($N188="")*($P188=""),"",IF(($N188&lt;&gt;"")*($N188&gt;TODAY()-9)*($N188&lt;TODAY()+1)*($P188&lt;&gt;"")*($P188&gt;=TODAY())*($P188&lt;=TODAY()+13),"Semaine passée &amp; à venir",IF(($N188&lt;&gt;"")*($N188&gt;TODAY()-9)*($N188&lt;TODAY()+1),"Semaine passée",IF(($P188&lt;&gt;"")*($P188&gt;=TODAY())*($P188&lt;=TODAY()+13),"À venir","Autre"))))</f>
        <v/>
      </c>
      <c r="V188" s="8" cm="1" t="n">
        <f t="array" ref="V188">IF(C188&lt;&gt;"",1,0)</f>
        <v>0</v>
      </c>
      <c r="W188" s="8">
</c>
      <c r="X188" s="8">
</c>
      <c r="Y188" s="8">
</c>
      <c r="Z188" s="8">
</c>
      <c r="AA188" s="8">
</c>
      <c r="AB188" s="8">
</c>
      <c r="AC188" s="8">
</c>
      <c r="AD188" s="8">
</c>
      <c r="AE188" s="8">
</c>
      <c r="AF188" s="8">
</c>
      <c r="AG188" s="8">
</c>
      <c r="AH188" s="8">
</c>
      <c r="AI188" s="8">
</c>
      <c r="AJ188" s="8">
</c>
      <c r="AK188" s="8">
</c>
    </row>
    <row r="189" ht="76.5" customHeight="1">
      <c r="A189" s="8">
</c>
      <c r="B189" s="8">
</c>
      <c r="C189" s="8">
</c>
      <c r="D189" s="8">
</c>
      <c r="E189" s="8">
</c>
      <c r="F189" s="8">
</c>
      <c r="G189" s="13" cm="1" t="str">
        <f t="array" ref="G189">IF(F189="","",SUBSTITUTE(SUBSTITUTE(SUBSTITUTE(SUBSTITUTE(F189,"&lt;li&gt;",CHAR(10)),"&lt;/li&gt;",""),"&lt;br&gt;",CHAR(10)),"&lt;strong&gt;",""))</f>
        <v/>
      </c>
      <c r="H189" s="13" cm="1" t="str">
        <f t="array" ref="H189">IF(G189="","",SUBSTITUTE(SUBSTITUTE(SUBSTITUTE(SUBSTITUTE(SUBSTITUTE(G189,"&lt;p&gt;",""),"&lt;/p&gt;",""),"&lt;ul&gt;",""),"&lt;/ul&gt;",""),"&lt;/strong&gt;",""))</f>
        <v/>
      </c>
      <c r="I189" s="14" cm="1" t="str">
        <f t="array" ref="I189">IF(C189="","",IF(OR(H189="",H189=0,H189=FALSE),"-",H189))</f>
        <v/>
      </c>
      <c r="J189" s="8">
</c>
      <c r="K189" s="8">
</c>
      <c r="L189" s="9" cm="1" t="str">
        <f t="array" ref="L189">IF(C189="","",IF(K189="Mort / Plus rien à faire","KO","OK"))</f>
        <v/>
      </c>
      <c r="M189" s="17">
</c>
      <c r="N189" s="15" cm="1" t="str">
        <f t="array" ref="N189">IF(OR(C189="",M189="",M189=0),"",M189)</f>
        <v/>
      </c>
      <c r="O189" s="17">
</c>
      <c r="P189" s="15" cm="1" t="str">
        <f t="array" ref="P189">IF(C189="","",IF(OR(O189="",O189=0),"-",O189))</f>
        <v/>
      </c>
      <c r="Q189" s="18">
</c>
      <c r="R189" s="16" cm="1" t="str">
        <f t="array" ref="R189">IF(C189="","",ROUND(Q189/1000000,3)&amp;" M€")</f>
        <v/>
      </c>
      <c r="S189" s="19">
</c>
      <c r="T189" s="9" cm="1" t="str">
        <f t="array" ref="T189">IF(C189="","",SUBSTITUTE(S189,"","")&amp;"%")</f>
        <v/>
      </c>
      <c r="U189" s="9" cm="1" t="str">
        <f t="array" ref="U189">IF(($N189="")*($P189=""),"",IF(($N189&lt;&gt;"")*($N189&gt;TODAY()-9)*($N189&lt;TODAY()+1)*($P189&lt;&gt;"")*($P189&gt;=TODAY())*($P189&lt;=TODAY()+13),"Semaine passée &amp; à venir",IF(($N189&lt;&gt;"")*($N189&gt;TODAY()-9)*($N189&lt;TODAY()+1),"Semaine passée",IF(($P189&lt;&gt;"")*($P189&gt;=TODAY())*($P189&lt;=TODAY()+13),"À venir","Autre"))))</f>
        <v/>
      </c>
      <c r="V189" s="8" cm="1" t="n">
        <f t="array" ref="V189">IF(C189&lt;&gt;"",1,0)</f>
        <v>0</v>
      </c>
      <c r="W189" s="8">
</c>
      <c r="X189" s="8">
</c>
      <c r="Y189" s="8">
</c>
      <c r="Z189" s="8">
</c>
      <c r="AA189" s="8">
</c>
      <c r="AB189" s="8">
</c>
      <c r="AC189" s="8">
</c>
      <c r="AD189" s="8">
</c>
      <c r="AE189" s="8">
</c>
      <c r="AF189" s="8">
</c>
      <c r="AG189" s="8">
</c>
      <c r="AH189" s="8">
</c>
      <c r="AI189" s="8">
</c>
      <c r="AJ189" s="8">
</c>
      <c r="AK189" s="8">
</c>
    </row>
    <row r="190" ht="76.5" customHeight="1">
      <c r="A190" s="8">
</c>
      <c r="B190" s="8">
</c>
      <c r="C190" s="8">
</c>
      <c r="D190" s="8">
</c>
      <c r="E190" s="8">
</c>
      <c r="F190" s="8">
</c>
      <c r="G190" s="13" cm="1" t="str">
        <f t="array" ref="G190">IF(F190="","",SUBSTITUTE(SUBSTITUTE(SUBSTITUTE(SUBSTITUTE(F190,"&lt;li&gt;",CHAR(10)),"&lt;/li&gt;",""),"&lt;br&gt;",CHAR(10)),"&lt;strong&gt;",""))</f>
        <v/>
      </c>
      <c r="H190" s="13" cm="1" t="str">
        <f t="array" ref="H190">IF(G190="","",SUBSTITUTE(SUBSTITUTE(SUBSTITUTE(SUBSTITUTE(SUBSTITUTE(G190,"&lt;p&gt;",""),"&lt;/p&gt;",""),"&lt;ul&gt;",""),"&lt;/ul&gt;",""),"&lt;/strong&gt;",""))</f>
        <v/>
      </c>
      <c r="I190" s="14" cm="1" t="str">
        <f t="array" ref="I190">IF(C190="","",IF(OR(H190="",H190=0,H190=FALSE),"-",H190))</f>
        <v/>
      </c>
      <c r="J190" s="8">
</c>
      <c r="K190" s="8">
</c>
      <c r="L190" s="9" cm="1" t="str">
        <f t="array" ref="L190">IF(C190="","",IF(K190="Mort / Plus rien à faire","KO","OK"))</f>
        <v/>
      </c>
      <c r="M190" s="17">
</c>
      <c r="N190" s="15" cm="1" t="str">
        <f t="array" ref="N190">IF(OR(C190="",M190="",M190=0),"",M190)</f>
        <v/>
      </c>
      <c r="O190" s="17">
</c>
      <c r="P190" s="15" cm="1" t="str">
        <f t="array" ref="P190">IF(C190="","",IF(OR(O190="",O190=0),"-",O190))</f>
        <v/>
      </c>
      <c r="Q190" s="18">
</c>
      <c r="R190" s="16" cm="1" t="str">
        <f t="array" ref="R190">IF(C190="","",ROUND(Q190/1000000,3)&amp;" M€")</f>
        <v/>
      </c>
      <c r="S190" s="19">
</c>
      <c r="T190" s="9" cm="1" t="str">
        <f t="array" ref="T190">IF(C190="","",SUBSTITUTE(S190,"","")&amp;"%")</f>
        <v/>
      </c>
      <c r="U190" s="9" cm="1" t="str">
        <f t="array" ref="U190">IF(($N190="")*($P190=""),"",IF(($N190&lt;&gt;"")*($N190&gt;TODAY()-9)*($N190&lt;TODAY()+1)*($P190&lt;&gt;"")*($P190&gt;=TODAY())*($P190&lt;=TODAY()+13),"Semaine passée &amp; à venir",IF(($N190&lt;&gt;"")*($N190&gt;TODAY()-9)*($N190&lt;TODAY()+1),"Semaine passée",IF(($P190&lt;&gt;"")*($P190&gt;=TODAY())*($P190&lt;=TODAY()+13),"À venir","Autre"))))</f>
        <v/>
      </c>
      <c r="V190" s="8" cm="1" t="n">
        <f t="array" ref="V190">IF(C190&lt;&gt;"",1,0)</f>
        <v>0</v>
      </c>
      <c r="W190" s="8">
</c>
      <c r="X190" s="8">
</c>
      <c r="Y190" s="8">
</c>
      <c r="Z190" s="8">
</c>
      <c r="AA190" s="8">
</c>
      <c r="AB190" s="8">
</c>
      <c r="AC190" s="8">
</c>
      <c r="AD190" s="8">
</c>
      <c r="AE190" s="8">
</c>
      <c r="AF190" s="8">
</c>
      <c r="AG190" s="8">
</c>
      <c r="AH190" s="8">
</c>
      <c r="AI190" s="8">
</c>
      <c r="AJ190" s="8">
</c>
      <c r="AK190" s="8">
</c>
    </row>
    <row r="191" ht="76.5" customHeight="1">
      <c r="A191" s="8">
</c>
      <c r="B191" s="8">
</c>
      <c r="C191" s="8">
</c>
      <c r="D191" s="8">
</c>
      <c r="E191" s="8">
</c>
      <c r="F191" s="8">
</c>
      <c r="G191" s="13" cm="1" t="str">
        <f t="array" ref="G191">IF(F191="","",SUBSTITUTE(SUBSTITUTE(SUBSTITUTE(SUBSTITUTE(F191,"&lt;li&gt;",CHAR(10)),"&lt;/li&gt;",""),"&lt;br&gt;",CHAR(10)),"&lt;strong&gt;",""))</f>
        <v/>
      </c>
      <c r="H191" s="13" cm="1" t="str">
        <f t="array" ref="H191">IF(G191="","",SUBSTITUTE(SUBSTITUTE(SUBSTITUTE(SUBSTITUTE(SUBSTITUTE(G191,"&lt;p&gt;",""),"&lt;/p&gt;",""),"&lt;ul&gt;",""),"&lt;/ul&gt;",""),"&lt;/strong&gt;",""))</f>
        <v/>
      </c>
      <c r="I191" s="14" cm="1" t="str">
        <f t="array" ref="I191">IF(C191="","",IF(OR(H191="",H191=0,H191=FALSE),"-",H191))</f>
        <v/>
      </c>
      <c r="J191" s="8">
</c>
      <c r="K191" s="8">
</c>
      <c r="L191" s="9" cm="1" t="str">
        <f t="array" ref="L191">IF(C191="","",IF(K191="Mort / Plus rien à faire","KO","OK"))</f>
        <v/>
      </c>
      <c r="M191" s="17">
</c>
      <c r="N191" s="15" cm="1" t="str">
        <f t="array" ref="N191">IF(OR(C191="",M191="",M191=0),"",M191)</f>
        <v/>
      </c>
      <c r="O191" s="17">
</c>
      <c r="P191" s="15" cm="1" t="str">
        <f t="array" ref="P191">IF(C191="","",IF(OR(O191="",O191=0),"-",O191))</f>
        <v/>
      </c>
      <c r="Q191" s="18">
</c>
      <c r="R191" s="16" cm="1" t="str">
        <f t="array" ref="R191">IF(C191="","",ROUND(Q191/1000000,3)&amp;" M€")</f>
        <v/>
      </c>
      <c r="S191" s="19">
</c>
      <c r="T191" s="9" cm="1" t="str">
        <f t="array" ref="T191">IF(C191="","",SUBSTITUTE(S191,"","")&amp;"%")</f>
        <v/>
      </c>
      <c r="U191" s="9" cm="1" t="str">
        <f t="array" ref="U191">IF(($N191="")*($P191=""),"",IF(($N191&lt;&gt;"")*($N191&gt;TODAY()-9)*($N191&lt;TODAY()+1)*($P191&lt;&gt;"")*($P191&gt;=TODAY())*($P191&lt;=TODAY()+13),"Semaine passée &amp; à venir",IF(($N191&lt;&gt;"")*($N191&gt;TODAY()-9)*($N191&lt;TODAY()+1),"Semaine passée",IF(($P191&lt;&gt;"")*($P191&gt;=TODAY())*($P191&lt;=TODAY()+13),"À venir","Autre"))))</f>
        <v/>
      </c>
      <c r="V191" s="8" cm="1" t="n">
        <f t="array" ref="V191">IF(C191&lt;&gt;"",1,0)</f>
        <v>0</v>
      </c>
      <c r="W191" s="8">
</c>
      <c r="X191" s="8">
</c>
      <c r="Y191" s="8">
</c>
      <c r="Z191" s="8">
</c>
      <c r="AA191" s="8">
</c>
      <c r="AB191" s="8">
</c>
      <c r="AC191" s="8">
</c>
      <c r="AD191" s="8">
</c>
      <c r="AE191" s="8">
</c>
      <c r="AF191" s="8">
</c>
      <c r="AG191" s="8">
</c>
      <c r="AH191" s="8">
</c>
      <c r="AI191" s="8">
</c>
      <c r="AJ191" s="8">
</c>
      <c r="AK191" s="8">
</c>
    </row>
    <row r="192" ht="76.5" customHeight="1">
      <c r="A192" s="8">
</c>
      <c r="B192" s="8">
</c>
      <c r="C192" s="8">
</c>
      <c r="D192" s="8">
</c>
      <c r="E192" s="8">
</c>
      <c r="F192" s="8">
</c>
      <c r="G192" s="13" cm="1" t="str">
        <f t="array" ref="G192">IF(F192="","",SUBSTITUTE(SUBSTITUTE(SUBSTITUTE(SUBSTITUTE(F192,"&lt;li&gt;",CHAR(10)),"&lt;/li&gt;",""),"&lt;br&gt;",CHAR(10)),"&lt;strong&gt;",""))</f>
        <v/>
      </c>
      <c r="H192" s="13" cm="1" t="str">
        <f t="array" ref="H192">IF(G192="","",SUBSTITUTE(SUBSTITUTE(SUBSTITUTE(SUBSTITUTE(SUBSTITUTE(G192,"&lt;p&gt;",""),"&lt;/p&gt;",""),"&lt;ul&gt;",""),"&lt;/ul&gt;",""),"&lt;/strong&gt;",""))</f>
        <v/>
      </c>
      <c r="I192" s="14" cm="1" t="str">
        <f t="array" ref="I192">IF(C192="","",IF(OR(H192="",H192=0,H192=FALSE),"-",H192))</f>
        <v/>
      </c>
      <c r="J192" s="8">
</c>
      <c r="K192" s="8">
</c>
      <c r="L192" s="9" cm="1" t="str">
        <f t="array" ref="L192">IF(C192="","",IF(K192="Mort / Plus rien à faire","KO","OK"))</f>
        <v/>
      </c>
      <c r="M192" s="17">
</c>
      <c r="N192" s="15" cm="1" t="str">
        <f t="array" ref="N192">IF(OR(C192="",M192="",M192=0),"",M192)</f>
        <v/>
      </c>
      <c r="O192" s="17">
</c>
      <c r="P192" s="15" cm="1" t="str">
        <f t="array" ref="P192">IF(C192="","",IF(OR(O192="",O192=0),"-",O192))</f>
        <v/>
      </c>
      <c r="Q192" s="18">
</c>
      <c r="R192" s="16" cm="1" t="str">
        <f t="array" ref="R192">IF(C192="","",ROUND(Q192/1000000,3)&amp;" M€")</f>
        <v/>
      </c>
      <c r="S192" s="19">
</c>
      <c r="T192" s="9" cm="1" t="str">
        <f t="array" ref="T192">IF(C192="","",SUBSTITUTE(S192,"","")&amp;"%")</f>
        <v/>
      </c>
      <c r="U192" s="9" cm="1" t="str">
        <f t="array" ref="U192">IF(($N192="")*($P192=""),"",IF(($N192&lt;&gt;"")*($N192&gt;TODAY()-9)*($N192&lt;TODAY()+1)*($P192&lt;&gt;"")*($P192&gt;=TODAY())*($P192&lt;=TODAY()+13),"Semaine passée &amp; à venir",IF(($N192&lt;&gt;"")*($N192&gt;TODAY()-9)*($N192&lt;TODAY()+1),"Semaine passée",IF(($P192&lt;&gt;"")*($P192&gt;=TODAY())*($P192&lt;=TODAY()+13),"À venir","Autre"))))</f>
        <v/>
      </c>
      <c r="V192" s="8" cm="1" t="n">
        <f t="array" ref="V192">IF(C192&lt;&gt;"",1,0)</f>
        <v>0</v>
      </c>
      <c r="W192" s="8">
</c>
      <c r="X192" s="8">
</c>
      <c r="Y192" s="8">
</c>
      <c r="Z192" s="8">
</c>
      <c r="AA192" s="8">
</c>
      <c r="AB192" s="8">
</c>
      <c r="AC192" s="8">
</c>
      <c r="AD192" s="8">
</c>
      <c r="AE192" s="8">
</c>
      <c r="AF192" s="8">
</c>
      <c r="AG192" s="8">
</c>
      <c r="AH192" s="8">
</c>
      <c r="AI192" s="8">
</c>
      <c r="AJ192" s="8">
</c>
      <c r="AK192" s="8">
</c>
    </row>
    <row r="193" ht="76.5" customHeight="1">
      <c r="A193" s="8">
</c>
      <c r="B193" s="8">
</c>
      <c r="C193" s="8">
</c>
      <c r="D193" s="8">
</c>
      <c r="E193" s="8">
</c>
      <c r="F193" s="8">
</c>
      <c r="G193" s="13" cm="1" t="str">
        <f t="array" ref="G193">IF(F193="","",SUBSTITUTE(SUBSTITUTE(SUBSTITUTE(SUBSTITUTE(F193,"&lt;li&gt;",CHAR(10)),"&lt;/li&gt;",""),"&lt;br&gt;",CHAR(10)),"&lt;strong&gt;",""))</f>
        <v/>
      </c>
      <c r="H193" s="13" cm="1" t="str">
        <f t="array" ref="H193">IF(G193="","",SUBSTITUTE(SUBSTITUTE(SUBSTITUTE(SUBSTITUTE(SUBSTITUTE(G193,"&lt;p&gt;",""),"&lt;/p&gt;",""),"&lt;ul&gt;",""),"&lt;/ul&gt;",""),"&lt;/strong&gt;",""))</f>
        <v/>
      </c>
      <c r="I193" s="14" cm="1" t="str">
        <f t="array" ref="I193">IF(C193="","",IF(OR(H193="",H193=0,H193=FALSE),"-",H193))</f>
        <v/>
      </c>
      <c r="J193" s="8">
</c>
      <c r="K193" s="8">
</c>
      <c r="L193" s="9" cm="1" t="str">
        <f t="array" ref="L193">IF(C193="","",IF(K193="Mort / Plus rien à faire","KO","OK"))</f>
        <v/>
      </c>
      <c r="M193" s="17">
</c>
      <c r="N193" s="15" cm="1" t="str">
        <f t="array" ref="N193">IF(OR(C193="",M193="",M193=0),"",M193)</f>
        <v/>
      </c>
      <c r="O193" s="17">
</c>
      <c r="P193" s="15" cm="1" t="str">
        <f t="array" ref="P193">IF(C193="","",IF(OR(O193="",O193=0),"-",O193))</f>
        <v/>
      </c>
      <c r="Q193" s="18">
</c>
      <c r="R193" s="16" cm="1" t="str">
        <f t="array" ref="R193">IF(C193="","",ROUND(Q193/1000000,3)&amp;" M€")</f>
        <v/>
      </c>
      <c r="S193" s="19">
</c>
      <c r="T193" s="9" cm="1" t="str">
        <f t="array" ref="T193">IF(C193="","",SUBSTITUTE(S193,"","")&amp;"%")</f>
        <v/>
      </c>
      <c r="U193" s="9" cm="1" t="str">
        <f t="array" ref="U193">IF(($N193="")*($P193=""),"",IF(($N193&lt;&gt;"")*($N193&gt;TODAY()-9)*($N193&lt;TODAY()+1)*($P193&lt;&gt;"")*($P193&gt;=TODAY())*($P193&lt;=TODAY()+13),"Semaine passée &amp; à venir",IF(($N193&lt;&gt;"")*($N193&gt;TODAY()-9)*($N193&lt;TODAY()+1),"Semaine passée",IF(($P193&lt;&gt;"")*($P193&gt;=TODAY())*($P193&lt;=TODAY()+13),"À venir","Autre"))))</f>
        <v/>
      </c>
      <c r="V193" s="8" cm="1" t="n">
        <f t="array" ref="V193">IF(C193&lt;&gt;"",1,0)</f>
        <v>0</v>
      </c>
      <c r="W193" s="8">
</c>
      <c r="X193" s="8">
</c>
      <c r="Y193" s="8">
</c>
      <c r="Z193" s="8">
</c>
      <c r="AA193" s="8">
</c>
      <c r="AB193" s="8">
</c>
      <c r="AC193" s="8">
</c>
      <c r="AD193" s="8">
</c>
      <c r="AE193" s="8">
</c>
      <c r="AF193" s="8">
</c>
      <c r="AG193" s="8">
</c>
      <c r="AH193" s="8">
</c>
      <c r="AI193" s="8">
</c>
      <c r="AJ193" s="8">
</c>
      <c r="AK193" s="8">
</c>
    </row>
    <row r="194" ht="76.5" customHeight="1">
      <c r="A194" s="8">
</c>
      <c r="B194" s="8">
</c>
      <c r="C194" s="8">
</c>
      <c r="D194" s="8">
</c>
      <c r="E194" s="8">
</c>
      <c r="F194" s="8">
</c>
      <c r="G194" s="13" cm="1" t="str">
        <f t="array" ref="G194">IF(F194="","",SUBSTITUTE(SUBSTITUTE(SUBSTITUTE(SUBSTITUTE(F194,"&lt;li&gt;",CHAR(10)),"&lt;/li&gt;",""),"&lt;br&gt;",CHAR(10)),"&lt;strong&gt;",""))</f>
        <v/>
      </c>
      <c r="H194" s="13" cm="1" t="str">
        <f t="array" ref="H194">IF(G194="","",SUBSTITUTE(SUBSTITUTE(SUBSTITUTE(SUBSTITUTE(SUBSTITUTE(G194,"&lt;p&gt;",""),"&lt;/p&gt;",""),"&lt;ul&gt;",""),"&lt;/ul&gt;",""),"&lt;/strong&gt;",""))</f>
        <v/>
      </c>
      <c r="I194" s="14" cm="1" t="str">
        <f t="array" ref="I194">IF(C194="","",IF(OR(H194="",H194=0,H194=FALSE),"-",H194))</f>
        <v/>
      </c>
      <c r="J194" s="8">
</c>
      <c r="K194" s="8">
</c>
      <c r="L194" s="9" cm="1" t="str">
        <f t="array" ref="L194">IF(C194="","",IF(K194="Mort / Plus rien à faire","KO","OK"))</f>
        <v/>
      </c>
      <c r="M194" s="17">
</c>
      <c r="N194" s="15" cm="1" t="str">
        <f t="array" ref="N194">IF(OR(C194="",M194="",M194=0),"",M194)</f>
        <v/>
      </c>
      <c r="O194" s="17">
</c>
      <c r="P194" s="15" cm="1" t="str">
        <f t="array" ref="P194">IF(C194="","",IF(OR(O194="",O194=0),"-",O194))</f>
        <v/>
      </c>
      <c r="Q194" s="18">
</c>
      <c r="R194" s="16" cm="1" t="str">
        <f t="array" ref="R194">IF(C194="","",ROUND(Q194/1000000,3)&amp;" M€")</f>
        <v/>
      </c>
      <c r="S194" s="19">
</c>
      <c r="T194" s="9" cm="1" t="str">
        <f t="array" ref="T194">IF(C194="","",SUBSTITUTE(S194,"","")&amp;"%")</f>
        <v/>
      </c>
      <c r="U194" s="9" cm="1" t="str">
        <f t="array" ref="U194">IF(($N194="")*($P194=""),"",IF(($N194&lt;&gt;"")*($N194&gt;TODAY()-9)*($N194&lt;TODAY()+1)*($P194&lt;&gt;"")*($P194&gt;=TODAY())*($P194&lt;=TODAY()+13),"Semaine passée &amp; à venir",IF(($N194&lt;&gt;"")*($N194&gt;TODAY()-9)*($N194&lt;TODAY()+1),"Semaine passée",IF(($P194&lt;&gt;"")*($P194&gt;=TODAY())*($P194&lt;=TODAY()+13),"À venir","Autre"))))</f>
        <v/>
      </c>
      <c r="V194" s="8" cm="1" t="n">
        <f t="array" ref="V194">IF(C194&lt;&gt;"",1,0)</f>
        <v>0</v>
      </c>
      <c r="W194" s="8">
</c>
      <c r="X194" s="8">
</c>
      <c r="Y194" s="8">
</c>
      <c r="Z194" s="8">
</c>
      <c r="AA194" s="8">
</c>
      <c r="AB194" s="8">
</c>
      <c r="AC194" s="8">
</c>
      <c r="AD194" s="8">
</c>
      <c r="AE194" s="8">
</c>
      <c r="AF194" s="8">
</c>
      <c r="AG194" s="8">
</c>
      <c r="AH194" s="8">
</c>
      <c r="AI194" s="8">
</c>
      <c r="AJ194" s="8">
</c>
      <c r="AK194" s="8">
</c>
    </row>
    <row r="195" ht="76.5" customHeight="1">
      <c r="A195" s="8">
</c>
      <c r="B195" s="8">
</c>
      <c r="C195" s="8">
</c>
      <c r="D195" s="8">
</c>
      <c r="E195" s="8">
</c>
      <c r="F195" s="8">
</c>
      <c r="G195" s="13" cm="1" t="str">
        <f t="array" ref="G195">IF(F195="","",SUBSTITUTE(SUBSTITUTE(SUBSTITUTE(SUBSTITUTE(F195,"&lt;li&gt;",CHAR(10)),"&lt;/li&gt;",""),"&lt;br&gt;",CHAR(10)),"&lt;strong&gt;",""))</f>
        <v/>
      </c>
      <c r="H195" s="13" cm="1" t="str">
        <f t="array" ref="H195">IF(G195="","",SUBSTITUTE(SUBSTITUTE(SUBSTITUTE(SUBSTITUTE(SUBSTITUTE(G195,"&lt;p&gt;",""),"&lt;/p&gt;",""),"&lt;ul&gt;",""),"&lt;/ul&gt;",""),"&lt;/strong&gt;",""))</f>
        <v/>
      </c>
      <c r="I195" s="14" cm="1" t="str">
        <f t="array" ref="I195">IF(C195="","",IF(OR(H195="",H195=0,H195=FALSE),"-",H195))</f>
        <v/>
      </c>
      <c r="J195" s="8">
</c>
      <c r="K195" s="8">
</c>
      <c r="L195" s="9" cm="1" t="str">
        <f t="array" ref="L195">IF(C195="","",IF(K195="Mort / Plus rien à faire","KO","OK"))</f>
        <v/>
      </c>
      <c r="M195" s="17">
</c>
      <c r="N195" s="15" cm="1" t="str">
        <f t="array" ref="N195">IF(OR(C195="",M195="",M195=0),"",M195)</f>
        <v/>
      </c>
      <c r="O195" s="17">
</c>
      <c r="P195" s="15" cm="1" t="str">
        <f t="array" ref="P195">IF(C195="","",IF(OR(O195="",O195=0),"-",O195))</f>
        <v/>
      </c>
      <c r="Q195" s="18">
</c>
      <c r="R195" s="16" cm="1" t="str">
        <f t="array" ref="R195">IF(C195="","",ROUND(Q195/1000000,3)&amp;" M€")</f>
        <v/>
      </c>
      <c r="S195" s="19">
</c>
      <c r="T195" s="9" cm="1" t="str">
        <f t="array" ref="T195">IF(C195="","",SUBSTITUTE(S195,"","")&amp;"%")</f>
        <v/>
      </c>
      <c r="U195" s="9" cm="1" t="str">
        <f t="array" ref="U195">IF(($N195="")*($P195=""),"",IF(($N195&lt;&gt;"")*($N195&gt;TODAY()-9)*($N195&lt;TODAY()+1)*($P195&lt;&gt;"")*($P195&gt;=TODAY())*($P195&lt;=TODAY()+13),"Semaine passée &amp; à venir",IF(($N195&lt;&gt;"")*($N195&gt;TODAY()-9)*($N195&lt;TODAY()+1),"Semaine passée",IF(($P195&lt;&gt;"")*($P195&gt;=TODAY())*($P195&lt;=TODAY()+13),"À venir","Autre"))))</f>
        <v/>
      </c>
      <c r="V195" s="8" cm="1" t="n">
        <f t="array" ref="V195">IF(C195&lt;&gt;"",1,0)</f>
        <v>0</v>
      </c>
      <c r="W195" s="8">
</c>
      <c r="X195" s="8">
</c>
      <c r="Y195" s="8">
</c>
      <c r="Z195" s="8">
</c>
      <c r="AA195" s="8">
</c>
      <c r="AB195" s="8">
</c>
      <c r="AC195" s="8">
</c>
      <c r="AD195" s="8">
</c>
      <c r="AE195" s="8">
</c>
      <c r="AF195" s="8">
</c>
      <c r="AG195" s="8">
</c>
      <c r="AH195" s="8">
</c>
      <c r="AI195" s="8">
</c>
      <c r="AJ195" s="8">
</c>
      <c r="AK195" s="8">
</c>
    </row>
    <row r="196" ht="76.5" customHeight="1">
      <c r="A196" s="8">
</c>
      <c r="B196" s="8">
</c>
      <c r="C196" s="8">
</c>
      <c r="D196" s="8">
</c>
      <c r="E196" s="8">
</c>
      <c r="F196" s="8">
</c>
      <c r="G196" s="13" cm="1" t="str">
        <f t="array" ref="G196">IF(F196="","",SUBSTITUTE(SUBSTITUTE(SUBSTITUTE(SUBSTITUTE(F196,"&lt;li&gt;",CHAR(10)),"&lt;/li&gt;",""),"&lt;br&gt;",CHAR(10)),"&lt;strong&gt;",""))</f>
        <v/>
      </c>
      <c r="H196" s="13" cm="1" t="str">
        <f t="array" ref="H196">IF(G196="","",SUBSTITUTE(SUBSTITUTE(SUBSTITUTE(SUBSTITUTE(SUBSTITUTE(G196,"&lt;p&gt;",""),"&lt;/p&gt;",""),"&lt;ul&gt;",""),"&lt;/ul&gt;",""),"&lt;/strong&gt;",""))</f>
        <v/>
      </c>
      <c r="I196" s="14" cm="1" t="str">
        <f t="array" ref="I196">IF(C196="","",IF(OR(H196="",H196=0,H196=FALSE),"-",H196))</f>
        <v/>
      </c>
      <c r="J196" s="8">
</c>
      <c r="K196" s="8">
</c>
      <c r="L196" s="9" cm="1" t="str">
        <f t="array" ref="L196">IF(C196="","",IF(K196="Mort / Plus rien à faire","KO","OK"))</f>
        <v/>
      </c>
      <c r="M196" s="17">
</c>
      <c r="N196" s="15" cm="1" t="str">
        <f t="array" ref="N196">IF(OR(C196="",M196="",M196=0),"",M196)</f>
        <v/>
      </c>
      <c r="O196" s="17">
</c>
      <c r="P196" s="15" cm="1" t="str">
        <f t="array" ref="P196">IF(C196="","",IF(OR(O196="",O196=0),"-",O196))</f>
        <v/>
      </c>
      <c r="Q196" s="18">
</c>
      <c r="R196" s="16" cm="1" t="str">
        <f t="array" ref="R196">IF(C196="","",ROUND(Q196/1000000,3)&amp;" M€")</f>
        <v/>
      </c>
      <c r="S196" s="19">
</c>
      <c r="T196" s="9" cm="1" t="str">
        <f t="array" ref="T196">IF(C196="","",SUBSTITUTE(S196,"","")&amp;"%")</f>
        <v/>
      </c>
      <c r="U196" s="9" cm="1" t="str">
        <f t="array" ref="U196">IF(($N196="")*($P196=""),"",IF(($N196&lt;&gt;"")*($N196&gt;TODAY()-9)*($N196&lt;TODAY()+1)*($P196&lt;&gt;"")*($P196&gt;=TODAY())*($P196&lt;=TODAY()+13),"Semaine passée &amp; à venir",IF(($N196&lt;&gt;"")*($N196&gt;TODAY()-9)*($N196&lt;TODAY()+1),"Semaine passée",IF(($P196&lt;&gt;"")*($P196&gt;=TODAY())*($P196&lt;=TODAY()+13),"À venir","Autre"))))</f>
        <v/>
      </c>
      <c r="V196" s="8" cm="1" t="n">
        <f t="array" ref="V196">IF(C196&lt;&gt;"",1,0)</f>
        <v>0</v>
      </c>
      <c r="W196" s="8">
</c>
      <c r="X196" s="8">
</c>
      <c r="Y196" s="8">
</c>
      <c r="Z196" s="8">
</c>
      <c r="AA196" s="8">
</c>
      <c r="AB196" s="8">
</c>
      <c r="AC196" s="8">
</c>
      <c r="AD196" s="8">
</c>
      <c r="AE196" s="8">
</c>
      <c r="AF196" s="8">
</c>
      <c r="AG196" s="8">
</c>
      <c r="AH196" s="8">
</c>
      <c r="AI196" s="8">
</c>
      <c r="AJ196" s="8">
</c>
      <c r="AK196" s="8">
</c>
    </row>
    <row r="197" ht="76.5" customHeight="1">
      <c r="A197" s="8">
</c>
      <c r="B197" s="8">
</c>
      <c r="C197" s="8">
</c>
      <c r="D197" s="8">
</c>
      <c r="E197" s="8">
</c>
      <c r="F197" s="8">
</c>
      <c r="G197" s="13" cm="1" t="str">
        <f t="array" ref="G197">IF(F197="","",SUBSTITUTE(SUBSTITUTE(SUBSTITUTE(SUBSTITUTE(F197,"&lt;li&gt;",CHAR(10)),"&lt;/li&gt;",""),"&lt;br&gt;",CHAR(10)),"&lt;strong&gt;",""))</f>
        <v/>
      </c>
      <c r="H197" s="13" cm="1" t="str">
        <f t="array" ref="H197">IF(G197="","",SUBSTITUTE(SUBSTITUTE(SUBSTITUTE(SUBSTITUTE(SUBSTITUTE(G197,"&lt;p&gt;",""),"&lt;/p&gt;",""),"&lt;ul&gt;",""),"&lt;/ul&gt;",""),"&lt;/strong&gt;",""))</f>
        <v/>
      </c>
      <c r="I197" s="14" cm="1" t="str">
        <f t="array" ref="I197">IF(C197="","",IF(OR(H197="",H197=0,H197=FALSE),"-",H197))</f>
        <v/>
      </c>
      <c r="J197" s="8">
</c>
      <c r="K197" s="8">
</c>
      <c r="L197" s="9" cm="1" t="str">
        <f t="array" ref="L197">IF(C197="","",IF(K197="Mort / Plus rien à faire","KO","OK"))</f>
        <v/>
      </c>
      <c r="M197" s="17">
</c>
      <c r="N197" s="15" cm="1" t="str">
        <f t="array" ref="N197">IF(OR(C197="",M197="",M197=0),"",M197)</f>
        <v/>
      </c>
      <c r="O197" s="17">
</c>
      <c r="P197" s="15" cm="1" t="str">
        <f t="array" ref="P197">IF(C197="","",IF(OR(O197="",O197=0),"-",O197))</f>
        <v/>
      </c>
      <c r="Q197" s="18">
</c>
      <c r="R197" s="16" cm="1" t="str">
        <f t="array" ref="R197">IF(C197="","",ROUND(Q197/1000000,3)&amp;" M€")</f>
        <v/>
      </c>
      <c r="S197" s="19">
</c>
      <c r="T197" s="9" cm="1" t="str">
        <f t="array" ref="T197">IF(C197="","",SUBSTITUTE(S197,"","")&amp;"%")</f>
        <v/>
      </c>
      <c r="U197" s="9" cm="1" t="str">
        <f t="array" ref="U197">IF(($N197="")*($P197=""),"",IF(($N197&lt;&gt;"")*($N197&gt;TODAY()-9)*($N197&lt;TODAY()+1)*($P197&lt;&gt;"")*($P197&gt;=TODAY())*($P197&lt;=TODAY()+13),"Semaine passée &amp; à venir",IF(($N197&lt;&gt;"")*($N197&gt;TODAY()-9)*($N197&lt;TODAY()+1),"Semaine passée",IF(($P197&lt;&gt;"")*($P197&gt;=TODAY())*($P197&lt;=TODAY()+13),"À venir","Autre"))))</f>
        <v/>
      </c>
      <c r="V197" s="8" cm="1" t="n">
        <f t="array" ref="V197">IF(C197&lt;&gt;"",1,0)</f>
        <v>0</v>
      </c>
      <c r="W197" s="8">
</c>
      <c r="X197" s="8">
</c>
      <c r="Y197" s="8">
</c>
      <c r="Z197" s="8">
</c>
      <c r="AA197" s="8">
</c>
      <c r="AB197" s="8">
</c>
      <c r="AC197" s="8">
</c>
      <c r="AD197" s="8">
</c>
      <c r="AE197" s="8">
</c>
      <c r="AF197" s="8">
</c>
      <c r="AG197" s="8">
</c>
      <c r="AH197" s="8">
</c>
      <c r="AI197" s="8">
</c>
      <c r="AJ197" s="8">
</c>
      <c r="AK197" s="8">
</c>
    </row>
    <row r="198" ht="76.5" customHeight="1">
      <c r="A198" s="8">
</c>
      <c r="B198" s="8">
</c>
      <c r="C198" s="8">
</c>
      <c r="D198" s="8">
</c>
      <c r="E198" s="8">
</c>
      <c r="F198" s="8">
</c>
      <c r="G198" s="13" cm="1" t="str">
        <f t="array" ref="G198">IF(F198="","",SUBSTITUTE(SUBSTITUTE(SUBSTITUTE(SUBSTITUTE(F198,"&lt;li&gt;",CHAR(10)),"&lt;/li&gt;",""),"&lt;br&gt;",CHAR(10)),"&lt;strong&gt;",""))</f>
        <v/>
      </c>
      <c r="H198" s="13" cm="1" t="str">
        <f t="array" ref="H198">IF(G198="","",SUBSTITUTE(SUBSTITUTE(SUBSTITUTE(SUBSTITUTE(SUBSTITUTE(G198,"&lt;p&gt;",""),"&lt;/p&gt;",""),"&lt;ul&gt;",""),"&lt;/ul&gt;",""),"&lt;/strong&gt;",""))</f>
        <v/>
      </c>
      <c r="I198" s="14" cm="1" t="str">
        <f t="array" ref="I198">IF(C198="","",IF(OR(H198="",H198=0,H198=FALSE),"-",H198))</f>
        <v/>
      </c>
      <c r="J198" s="8">
</c>
      <c r="K198" s="8">
</c>
      <c r="L198" s="9" cm="1" t="str">
        <f t="array" ref="L198">IF(C198="","",IF(K198="Mort / Plus rien à faire","KO","OK"))</f>
        <v/>
      </c>
      <c r="M198" s="17">
</c>
      <c r="N198" s="15" cm="1" t="str">
        <f t="array" ref="N198">IF(OR(C198="",M198="",M198=0),"",M198)</f>
        <v/>
      </c>
      <c r="O198" s="17">
</c>
      <c r="P198" s="15" cm="1" t="str">
        <f t="array" ref="P198">IF(C198="","",IF(OR(O198="",O198=0),"-",O198))</f>
        <v/>
      </c>
      <c r="Q198" s="18">
</c>
      <c r="R198" s="16" cm="1" t="str">
        <f t="array" ref="R198">IF(C198="","",ROUND(Q198/1000000,3)&amp;" M€")</f>
        <v/>
      </c>
      <c r="S198" s="19">
</c>
      <c r="T198" s="9" cm="1" t="str">
        <f t="array" ref="T198">IF(C198="","",SUBSTITUTE(S198,"","")&amp;"%")</f>
        <v/>
      </c>
      <c r="U198" s="9" cm="1" t="str">
        <f t="array" ref="U198">IF(($N198="")*($P198=""),"",IF(($N198&lt;&gt;"")*($N198&gt;TODAY()-9)*($N198&lt;TODAY()+1)*($P198&lt;&gt;"")*($P198&gt;=TODAY())*($P198&lt;=TODAY()+13),"Semaine passée &amp; à venir",IF(($N198&lt;&gt;"")*($N198&gt;TODAY()-9)*($N198&lt;TODAY()+1),"Semaine passée",IF(($P198&lt;&gt;"")*($P198&gt;=TODAY())*($P198&lt;=TODAY()+13),"À venir","Autre"))))</f>
        <v/>
      </c>
      <c r="V198" s="8" cm="1" t="n">
        <f t="array" ref="V198">IF(C198&lt;&gt;"",1,0)</f>
        <v>0</v>
      </c>
      <c r="W198" s="8">
</c>
      <c r="X198" s="8">
</c>
      <c r="Y198" s="8">
</c>
      <c r="Z198" s="8">
</c>
      <c r="AA198" s="8">
</c>
      <c r="AB198" s="8">
</c>
      <c r="AC198" s="8">
</c>
      <c r="AD198" s="8">
</c>
      <c r="AE198" s="8">
</c>
      <c r="AF198" s="8">
</c>
      <c r="AG198" s="8">
</c>
      <c r="AH198" s="8">
</c>
      <c r="AI198" s="8">
</c>
      <c r="AJ198" s="8">
</c>
      <c r="AK198" s="8">
</c>
    </row>
    <row r="199" ht="76.5" customHeight="1">
      <c r="A199" s="8">
</c>
      <c r="B199" s="8">
</c>
      <c r="C199" s="8">
</c>
      <c r="D199" s="8">
</c>
      <c r="E199" s="8">
</c>
      <c r="F199" s="8">
</c>
      <c r="G199" s="13" cm="1" t="str">
        <f t="array" ref="G199">IF(F199="","",SUBSTITUTE(SUBSTITUTE(SUBSTITUTE(SUBSTITUTE(F199,"&lt;li&gt;",CHAR(10)),"&lt;/li&gt;",""),"&lt;br&gt;",CHAR(10)),"&lt;strong&gt;",""))</f>
        <v/>
      </c>
      <c r="H199" s="13" cm="1" t="str">
        <f t="array" ref="H199">IF(G199="","",SUBSTITUTE(SUBSTITUTE(SUBSTITUTE(SUBSTITUTE(SUBSTITUTE(G199,"&lt;p&gt;",""),"&lt;/p&gt;",""),"&lt;ul&gt;",""),"&lt;/ul&gt;",""),"&lt;/strong&gt;",""))</f>
        <v/>
      </c>
      <c r="I199" s="14" cm="1" t="str">
        <f t="array" ref="I199">IF(C199="","",IF(OR(H199="",H199=0,H199=FALSE),"-",H199))</f>
        <v/>
      </c>
      <c r="J199" s="8">
</c>
      <c r="K199" s="8">
</c>
      <c r="L199" s="9" cm="1" t="str">
        <f t="array" ref="L199">IF(C199="","",IF(K199="Mort / Plus rien à faire","KO","OK"))</f>
        <v/>
      </c>
      <c r="M199" s="17">
</c>
      <c r="N199" s="15" cm="1" t="str">
        <f t="array" ref="N199">IF(OR(C199="",M199="",M199=0),"",M199)</f>
        <v/>
      </c>
      <c r="O199" s="17">
</c>
      <c r="P199" s="15" cm="1" t="str">
        <f t="array" ref="P199">IF(C199="","",IF(OR(O199="",O199=0),"-",O199))</f>
        <v/>
      </c>
      <c r="Q199" s="18">
</c>
      <c r="R199" s="16" cm="1" t="str">
        <f t="array" ref="R199">IF(C199="","",ROUND(Q199/1000000,3)&amp;" M€")</f>
        <v/>
      </c>
      <c r="S199" s="19">
</c>
      <c r="T199" s="9" cm="1" t="str">
        <f t="array" ref="T199">IF(C199="","",SUBSTITUTE(S199,"","")&amp;"%")</f>
        <v/>
      </c>
      <c r="U199" s="9" cm="1" t="str">
        <f t="array" ref="U199">IF(($N199="")*($P199=""),"",IF(($N199&lt;&gt;"")*($N199&gt;TODAY()-9)*($N199&lt;TODAY()+1)*($P199&lt;&gt;"")*($P199&gt;=TODAY())*($P199&lt;=TODAY()+13),"Semaine passée &amp; à venir",IF(($N199&lt;&gt;"")*($N199&gt;TODAY()-9)*($N199&lt;TODAY()+1),"Semaine passée",IF(($P199&lt;&gt;"")*($P199&gt;=TODAY())*($P199&lt;=TODAY()+13),"À venir","Autre"))))</f>
        <v/>
      </c>
      <c r="V199" s="8" cm="1" t="n">
        <f t="array" ref="V199">IF(C199&lt;&gt;"",1,0)</f>
        <v>0</v>
      </c>
      <c r="W199" s="8">
</c>
      <c r="X199" s="8">
</c>
      <c r="Y199" s="8">
</c>
      <c r="Z199" s="8">
</c>
      <c r="AA199" s="8">
</c>
      <c r="AB199" s="8">
</c>
      <c r="AC199" s="8">
</c>
      <c r="AD199" s="8">
</c>
      <c r="AE199" s="8">
</c>
      <c r="AF199" s="8">
</c>
      <c r="AG199" s="8">
</c>
      <c r="AH199" s="8">
</c>
      <c r="AI199" s="8">
</c>
      <c r="AJ199" s="8">
</c>
      <c r="AK199" s="8">
</c>
    </row>
    <row r="200" ht="76.5" customHeight="1">
      <c r="A200" s="8">
</c>
      <c r="B200" s="8">
</c>
      <c r="C200" s="8">
</c>
      <c r="D200" s="8">
</c>
      <c r="E200" s="8">
</c>
      <c r="F200" s="8">
</c>
      <c r="G200" s="13" cm="1" t="str">
        <f t="array" ref="G200">IF(F200="","",SUBSTITUTE(SUBSTITUTE(SUBSTITUTE(SUBSTITUTE(F200,"&lt;li&gt;",CHAR(10)),"&lt;/li&gt;",""),"&lt;br&gt;",CHAR(10)),"&lt;strong&gt;",""))</f>
        <v/>
      </c>
      <c r="H200" s="13" cm="1" t="str">
        <f t="array" ref="H200">IF(G200="","",SUBSTITUTE(SUBSTITUTE(SUBSTITUTE(SUBSTITUTE(SUBSTITUTE(G200,"&lt;p&gt;",""),"&lt;/p&gt;",""),"&lt;ul&gt;",""),"&lt;/ul&gt;",""),"&lt;/strong&gt;",""))</f>
        <v/>
      </c>
      <c r="I200" s="14" cm="1" t="str">
        <f t="array" ref="I200">IF(C200="","",IF(OR(H200="",H200=0,H200=FALSE),"-",H200))</f>
        <v/>
      </c>
      <c r="J200" s="8">
</c>
      <c r="K200" s="8">
</c>
      <c r="L200" s="9" cm="1" t="str">
        <f t="array" ref="L200">IF(C200="","",IF(K200="Mort / Plus rien à faire","KO","OK"))</f>
        <v/>
      </c>
      <c r="M200" s="17">
</c>
      <c r="N200" s="15" cm="1" t="str">
        <f t="array" ref="N200">IF(OR(C200="",M200="",M200=0),"",M200)</f>
        <v/>
      </c>
      <c r="O200" s="17">
</c>
      <c r="P200" s="15" cm="1" t="str">
        <f t="array" ref="P200">IF(C200="","",IF(OR(O200="",O200=0),"-",O200))</f>
        <v/>
      </c>
      <c r="Q200" s="18">
</c>
      <c r="R200" s="16" cm="1" t="str">
        <f t="array" ref="R200">IF(C200="","",ROUND(Q200/1000000,3)&amp;" M€")</f>
        <v/>
      </c>
      <c r="S200" s="19">
</c>
      <c r="T200" s="9" cm="1" t="str">
        <f t="array" ref="T200">IF(C200="","",SUBSTITUTE(S200,"","")&amp;"%")</f>
        <v/>
      </c>
      <c r="U200" s="9" cm="1" t="str">
        <f t="array" ref="U200">IF(($N200="")*($P200=""),"",IF(($N200&lt;&gt;"")*($N200&gt;TODAY()-9)*($N200&lt;TODAY()+1)*($P200&lt;&gt;"")*($P200&gt;=TODAY())*($P200&lt;=TODAY()+13),"Semaine passée &amp; à venir",IF(($N200&lt;&gt;"")*($N200&gt;TODAY()-9)*($N200&lt;TODAY()+1),"Semaine passée",IF(($P200&lt;&gt;"")*($P200&gt;=TODAY())*($P200&lt;=TODAY()+13),"À venir","Autre"))))</f>
        <v/>
      </c>
      <c r="V200" s="8" cm="1" t="n">
        <f t="array" ref="V200">IF(C200&lt;&gt;"",1,0)</f>
        <v>0</v>
      </c>
      <c r="W200" s="8">
</c>
      <c r="X200" s="8">
</c>
      <c r="Y200" s="8">
</c>
      <c r="Z200" s="8">
</c>
      <c r="AA200" s="8">
</c>
      <c r="AB200" s="8">
</c>
      <c r="AC200" s="8">
</c>
      <c r="AD200" s="8">
</c>
      <c r="AE200" s="8">
</c>
      <c r="AF200" s="8">
</c>
      <c r="AG200" s="8">
</c>
      <c r="AH200" s="8">
</c>
      <c r="AI200" s="8">
</c>
      <c r="AJ200" s="8">
</c>
      <c r="AK200" s="8">
</c>
    </row>
    <row r="201" ht="76.5" customHeight="1">
      <c r="A201" s="8">
</c>
      <c r="B201" s="8">
</c>
      <c r="C201" s="8">
</c>
      <c r="D201" s="8">
</c>
      <c r="E201" s="8">
</c>
      <c r="F201" s="8">
</c>
      <c r="G201" s="13" cm="1" t="str">
        <f t="array" ref="G201">IF(F201="","",SUBSTITUTE(SUBSTITUTE(SUBSTITUTE(SUBSTITUTE(F201,"&lt;li&gt;",CHAR(10)),"&lt;/li&gt;",""),"&lt;br&gt;",CHAR(10)),"&lt;strong&gt;",""))</f>
        <v/>
      </c>
      <c r="H201" s="13" cm="1" t="str">
        <f t="array" ref="H201">IF(G201="","",SUBSTITUTE(SUBSTITUTE(SUBSTITUTE(SUBSTITUTE(SUBSTITUTE(G201,"&lt;p&gt;",""),"&lt;/p&gt;",""),"&lt;ul&gt;",""),"&lt;/ul&gt;",""),"&lt;/strong&gt;",""))</f>
        <v/>
      </c>
      <c r="I201" s="14" cm="1" t="str">
        <f t="array" ref="I201">IF(C201="","",IF(OR(H201="",H201=0,H201=FALSE),"-",H201))</f>
        <v/>
      </c>
      <c r="J201" s="8">
</c>
      <c r="K201" s="8">
</c>
      <c r="L201" s="9" cm="1" t="str">
        <f t="array" ref="L201">IF(C201="","",IF(K201="Mort / Plus rien à faire","KO","OK"))</f>
        <v/>
      </c>
      <c r="M201" s="17">
</c>
      <c r="N201" s="15" cm="1" t="str">
        <f t="array" ref="N201">IF(OR(C201="",M201="",M201=0),"",M201)</f>
        <v/>
      </c>
      <c r="O201" s="17">
</c>
      <c r="P201" s="15" cm="1" t="str">
        <f t="array" ref="P201">IF(C201="","",IF(OR(O201="",O201=0),"-",O201))</f>
        <v/>
      </c>
      <c r="Q201" s="18">
</c>
      <c r="R201" s="16" cm="1" t="str">
        <f t="array" ref="R201">IF(C201="","",ROUND(Q201/1000000,3)&amp;" M€")</f>
        <v/>
      </c>
      <c r="S201" s="19">
</c>
      <c r="T201" s="9" cm="1" t="str">
        <f t="array" ref="T201">IF(C201="","",SUBSTITUTE(S201,"","")&amp;"%")</f>
        <v/>
      </c>
      <c r="U201" s="9" cm="1" t="str">
        <f t="array" ref="U201">IF(($N201="")*($P201=""),"",IF(($N201&lt;&gt;"")*($N201&gt;TODAY()-9)*($N201&lt;TODAY()+1)*($P201&lt;&gt;"")*($P201&gt;=TODAY())*($P201&lt;=TODAY()+13),"Semaine passée &amp; à venir",IF(($N201&lt;&gt;"")*($N201&gt;TODAY()-9)*($N201&lt;TODAY()+1),"Semaine passée",IF(($P201&lt;&gt;"")*($P201&gt;=TODAY())*($P201&lt;=TODAY()+13),"À venir","Autre"))))</f>
        <v/>
      </c>
      <c r="V201" s="8" cm="1" t="n">
        <f t="array" ref="V201">IF(C201&lt;&gt;"",1,0)</f>
        <v>0</v>
      </c>
      <c r="W201" s="8">
</c>
      <c r="X201" s="8">
</c>
      <c r="Y201" s="8">
</c>
      <c r="Z201" s="8">
</c>
      <c r="AA201" s="8">
</c>
      <c r="AB201" s="8">
</c>
      <c r="AC201" s="8">
</c>
      <c r="AD201" s="8">
</c>
      <c r="AE201" s="8">
</c>
      <c r="AF201" s="8">
</c>
      <c r="AG201" s="8">
</c>
      <c r="AH201" s="8">
</c>
      <c r="AI201" s="8">
</c>
      <c r="AJ201" s="8">
</c>
      <c r="AK201" s="8">
</c>
    </row>
    <row r="202" ht="76.5" customHeight="1">
      <c r="A202" s="8">
</c>
      <c r="B202" s="8">
</c>
      <c r="C202" s="8">
</c>
      <c r="D202" s="8">
</c>
      <c r="E202" s="8">
</c>
      <c r="F202" s="8">
</c>
      <c r="G202" s="13" cm="1" t="str">
        <f t="array" ref="G202">IF(F202="","",SUBSTITUTE(SUBSTITUTE(SUBSTITUTE(SUBSTITUTE(F202,"&lt;li&gt;",CHAR(10)),"&lt;/li&gt;",""),"&lt;br&gt;",CHAR(10)),"&lt;strong&gt;",""))</f>
        <v/>
      </c>
      <c r="H202" s="13" cm="1" t="str">
        <f t="array" ref="H202">IF(G202="","",SUBSTITUTE(SUBSTITUTE(SUBSTITUTE(SUBSTITUTE(SUBSTITUTE(G202,"&lt;p&gt;",""),"&lt;/p&gt;",""),"&lt;ul&gt;",""),"&lt;/ul&gt;",""),"&lt;/strong&gt;",""))</f>
        <v/>
      </c>
      <c r="I202" s="14" cm="1" t="str">
        <f t="array" ref="I202">IF(C202="","",IF(OR(H202="",H202=0,H202=FALSE),"-",H202))</f>
        <v/>
      </c>
      <c r="J202" s="8">
</c>
      <c r="K202" s="8">
</c>
      <c r="L202" s="9" cm="1" t="str">
        <f t="array" ref="L202">IF(C202="","",IF(K202="Mort / Plus rien à faire","KO","OK"))</f>
        <v/>
      </c>
      <c r="M202" s="17">
</c>
      <c r="N202" s="15" cm="1" t="str">
        <f t="array" ref="N202">IF(OR(C202="",M202="",M202=0),"",M202)</f>
        <v/>
      </c>
      <c r="O202" s="17">
</c>
      <c r="P202" s="15" cm="1" t="str">
        <f t="array" ref="P202">IF(C202="","",IF(OR(O202="",O202=0),"-",O202))</f>
        <v/>
      </c>
      <c r="Q202" s="18">
</c>
      <c r="R202" s="16" cm="1" t="str">
        <f t="array" ref="R202">IF(C202="","",ROUND(Q202/1000000,3)&amp;" M€")</f>
        <v/>
      </c>
      <c r="S202" s="19">
</c>
      <c r="T202" s="9" cm="1" t="str">
        <f t="array" ref="T202">IF(C202="","",SUBSTITUTE(S202,"","")&amp;"%")</f>
        <v/>
      </c>
      <c r="U202" s="9" cm="1" t="str">
        <f t="array" ref="U202">IF(($N202="")*($P202=""),"",IF(($N202&lt;&gt;"")*($N202&gt;TODAY()-9)*($N202&lt;TODAY()+1)*($P202&lt;&gt;"")*($P202&gt;=TODAY())*($P202&lt;=TODAY()+13),"Semaine passée &amp; à venir",IF(($N202&lt;&gt;"")*($N202&gt;TODAY()-9)*($N202&lt;TODAY()+1),"Semaine passée",IF(($P202&lt;&gt;"")*($P202&gt;=TODAY())*($P202&lt;=TODAY()+13),"À venir","Autre"))))</f>
        <v/>
      </c>
      <c r="V202" s="8" cm="1" t="n">
        <f t="array" ref="V202">IF(C202&lt;&gt;"",1,0)</f>
        <v>0</v>
      </c>
      <c r="W202" s="8">
</c>
      <c r="X202" s="8">
</c>
      <c r="Y202" s="8">
</c>
      <c r="Z202" s="8">
</c>
      <c r="AA202" s="8">
</c>
      <c r="AB202" s="8">
</c>
      <c r="AC202" s="8">
</c>
      <c r="AD202" s="8">
</c>
      <c r="AE202" s="8">
</c>
      <c r="AF202" s="8">
</c>
      <c r="AG202" s="8">
</c>
      <c r="AH202" s="8">
</c>
      <c r="AI202" s="8">
</c>
      <c r="AJ202" s="8">
</c>
      <c r="AK202" s="8">
</c>
    </row>
  </sheetData>
  <conditionalFormatting sqref="N4:N202">
    <cfRule priority="1" stopIfTrue="0" type="expression" dxfId="0">
      <formula>($N4&lt;&gt;"")*(($N4&gt;TODAY()-9)*($N4&lt;TODAY()+1)+(INT($N4)=TODAY()))
</formula>
    </cfRule>
  </conditionalFormatting>
  <conditionalFormatting sqref="P4:P202">
    <cfRule priority="1" stopIfTrue="0" type="expression" dxfId="1">
      <formula>($P4&lt;&gt;"")*($P4&gt;=TODAY())*($P4&lt;=TODAY()+13)</formula>
    </cfRule>
  </conditionalFormatting>
  <conditionalFormatting sqref="I4:I202">
    <cfRule priority="1" stopIfTrue="0" type="expression" dxfId="0">
      <formula>(($N4&lt;&gt;"")*($N4&gt;TODAY()-9)*($N4&lt;=TODAY())) + (($P4&lt;&gt;"")*($P4&gt;=TODAY())*($P4&lt;=TODAY()+13))</formula>
    </cfRule>
  </conditionalFormatting>
  <conditionalFormatting sqref="U4:U202">
    <cfRule priority="1" stopIfTrue="0" type="containsText" text="À venir" operator="containsText" dxfId="0">
      <formula>NOT(ISERROR(SEARCH("À venir",U4)))</formula>
    </cfRule>
  </conditionalFormatting>
  <conditionalFormatting sqref="U4:U202">
    <cfRule priority="1" stopIfTrue="0" type="containsText" text="Semaine passée" operator="containsText" dxfId="0">
      <formula>NOT(ISERROR(SEARCH("Semaine passée",U4)))</formula>
    </cfRule>
  </conditionalFormatting>
  <conditionalFormatting sqref="U4:U202">
    <cfRule priority="1" stopIfTrue="0" type="containsText" text="Semaine passée &amp; à venir" operator="containsText" dxfId="0">
      <formula>NOT(ISERROR(SEARCH("Semaine passée &amp; à venir",U4)))</formula>
    </cfRule>
  </conditionalFormatting>
  <tableParts count="1">
    <tablePart r:id="rId1"/>
  </tableParts>
</worksheet>
</file>
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<sst xmlns="http://schemas.openxmlformats.org/spreadsheetml/2006/main" count="625" uniqueCount="625">
  <si>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</si>
  <si>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</si>
  <si>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</si>
  <si>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</si>
  <si>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</si>
  <si>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</si>
  <si>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</si>
  <si>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</si>
  <si>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</si>
  <si>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</si>
  <si>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</si>
  <si>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</si>
  <si>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</si>
  <si>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</si>
  <si>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</si>
  <si>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</si>
  <si>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</si>
  <si>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</si>
  <si>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</si>
  <si>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</si>
  <si>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</si>
  <si>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</si>
  <si>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</si>
  <si>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Straton</t>
  </si>
  <si>
    <t>Assurance/Mutuelle</t>
  </si>
  <si>
    <t>SACRA</t>
  </si>
  <si>
    <t>Steve BAUMANN</t>
  </si>
  <si>
    <t>Romain Andrieu</t>
  </si>
  <si>
    <t>&lt;p&gt;Nouvelle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t>
  </si>
  <si>
    <t>Souscription réalisée</t>
  </si>
  <si>
    <t>100</t>
  </si>
  <si>
    <t>Single Family Office</t>
  </si>
  <si>
    <t>MANITOBA</t>
  </si>
  <si>
    <t>Hervé d'Halluin</t>
  </si>
  <si>
    <t>&lt;p&gt;Aucune activité ou échange enregistré sur cette opportunité. Aucun suivi, action ou retour prospect identifié à ce jour. Aucun message, appel ou tâche renseigné. Aucun élément sur l'origine ou le contexte de création de la piste. Pas de prochaine étape planifiée ni de retour sur les fonds présentés.&lt;/p&gt;</t>
  </si>
  <si>
    <t>Fondation</t>
  </si>
  <si>
    <t>MUTILES ET VICTIMES DE GUERRE - FONDATION ANDRE MAGINOT</t>
  </si>
  <si>
    <t>Patrick Remm</t>
  </si>
  <si>
    <t>&lt;p&gt;CA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t>
  </si>
  <si>
    <t>le 25 mars / finalisation des appels de marge</t>
  </si>
  <si>
    <t>CGP</t>
  </si>
  <si>
    <t>WAGNER Gestion Privée</t>
  </si>
  <si>
    <t>Jacques Maréchal</t>
  </si>
  <si>
    <t>Edouard Gaurier</t>
  </si>
  <si>
    <t>&lt;p&gt;Accord obtenu pour investissement 100K via client avocat remploi (Nicolas Hournon). Dernière action le 01/06/2026. Prochaine étape : finaliser l'investissement avec le client. Pas d'autres actions ou retours prospect mentionnés dans les échanges récents.&lt;/p&gt;</t>
  </si>
  <si>
    <t>Ok pour faire investir 100K client avocat remploi: "Nicolas Hournon"</t>
  </si>
  <si>
    <t>En Due Diligence</t>
  </si>
  <si>
    <t>80</t>
  </si>
  <si>
    <t>Multi Family Office</t>
  </si>
  <si>
    <t>INHESTIA</t>
  </si>
  <si>
    <t>Benoit COINTE</t>
  </si>
  <si>
    <t>Pauline Cavalié</t>
  </si>
  <si>
    <t>&lt;p&gt;Aucune activité ou échange récent détecté sur cette opportunité. Création du MFO en 2025, 6 familles toulousaines, exécution des investissements prévue en 2026, 3 nouvelles familles attendues. Supervision globale 800m€, 100% honoraires. Aucun suivi ou action récente identifiée.&lt;/p&gt;</t>
  </si>
  <si>
    <t>Interêt indicatif - A creuser</t>
  </si>
  <si>
    <t>50</t>
  </si>
  <si>
    <t>Caisse de retraite/Institution de prévoyance</t>
  </si>
  <si>
    <t>IPECA</t>
  </si>
  <si>
    <t>David Boyer</t>
  </si>
  <si>
    <t>&lt;p&gt;Comité financier prévu 24/06. IPECA réfléchit à réduire Tikehau pour investir chez Audacia, ticket 1-5M€. Bons résultats, capacité d’investissement accrue, possible allocation : 70% taux, 20% PE, 10% immo. Instit 7 accompagne (Vincent Püch, Céline Kalfa). Prochaine étape : décision allocation.&lt;/p&gt;</t>
  </si>
  <si>
    <t>passe en comité pour 2me fin de semaine prochaine (12 juin), Passage comité financier / 1 à 5 ME</t>
  </si>
  <si>
    <t>SYNAPSIS PATRIMOINE</t>
  </si>
  <si>
    <t>Guillaume Duport</t>
  </si>
  <si>
    <t>&lt;p&gt;Lead de TS transmis. Guillaume Duport, fondateur du cabinet (2 ans), vise 7M€/an en PE, clientèle jeune, principalement fonds de fonds via Cédrus, Opale, Archinvest. Pas d'activité VC à ce jour. Aucune activité ou échange récent enregistré sur cette opportunité. Prochaines étapes non définies.&lt;/p&gt;</t>
  </si>
  <si>
    <t>Banque privée</t>
  </si>
  <si>
    <t>ROTHSCHILD &amp; CO</t>
  </si>
  <si>
    <t>Vincent Danjoux</t>
  </si>
  <si>
    <t>&lt;p&gt;Multiples relances mail/phone depuis fév. 2026, peu de retours. Intérêt initial pour Straton, Quanto II, Calderion, demande doc Straton. Dernier contact 16 mai, toujours pas de news. Aucun feedback prospect sur fonds. Prochaine étape : attendre retour suite relance récente, pas d'action planifiée.&lt;/p&gt;</t>
  </si>
  <si>
    <t>Arwen MFO</t>
  </si>
  <si>
    <t>Gwendal Garrigue</t>
  </si>
  <si>
    <t>&lt;p&gt;Echanges multiples depuis avril : proposition de rdv, feedback FO intéressés stratégie Défense, accord sur rémunération 3% pour Geodesic après signature BS, signature convention, contrat d'apport d'affaire en cours. Fonds Straton prioritaire, Constellation ajouté. Prochaine étape : finaliser contrat.&lt;/p&gt;</t>
  </si>
  <si>
    <t>Rydge KPMG</t>
  </si>
  <si>
    <t>Edouard Sommade</t>
  </si>
  <si>
    <t>&lt;p&gt;Partenariat en cours avec Audacia pour fonds remploi. Intérêt fort confirmé le 05/02/2026, screening complet par le cabinet avant signature. Appel du 27/03 : message laissé pour avancement convention partenaires. Préparer conditions financières rémunération. Pas d'activité future planifiée.&lt;/p&gt;</t>
  </si>
  <si>
    <t>Gilles Thibert</t>
  </si>
  <si>
    <t>Gilles Thibault</t>
  </si>
  <si>
    <t>&lt;p data-oe-version="2.0"&gt;Dernier échange : Voir fonction des appels de fonds de Straton,à recontacter après succession (activité du 01/06/2026). Prochaine étape : suivi à partir du 01/09/2026. Aucun élément sur contexte création piste ni avis prospect sur offres.&lt;/p&gt;</t>
  </si>
  <si>
    <t>HNWI</t>
  </si>
  <si>
    <t>Matthieu Milandri</t>
  </si>
  <si>
    <t>Levée de Fonds</t>
  </si>
  <si>
    <t>&lt;p&gt;Piste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présentés.&lt;/p&gt;</t>
  </si>
  <si>
    <t>&lt;p&gt;Présence Eurosatory 01/06, aucun échange ou action détaillée récente, pas de compte-rendu ni retour prospect sur fonds présentés, aucune activité ou interaction supplémentaire relevée dans le suivi, aucune prochaine étape identifiée, pas de mention de comité ni de contexte de création de piste.&lt;/p&gt;</t>
  </si>
  <si>
    <t>WITAL</t>
  </si>
  <si>
    <t>Lucyna Silberstein</t>
  </si>
  <si>
    <t>&lt;p&gt;Prospect intéressé, accord de principe pour investir, ticket envisagé entre 300Ke et 500Ke. Attente de confirmation définitive, réponse attendue le 5 juin 2026. Dernière interaction le 29/05. Prochaine étape : suivi de la réponse et finalisation de l'engagement.&lt;/p&gt;</t>
  </si>
  <si>
    <t>ok pour investir / réponse 5 juin 2026</t>
  </si>
  <si>
    <t>DAYLIGHT CONSEILS</t>
  </si>
  <si>
    <t>Dorian Lagarnaudi</t>
  </si>
  <si>
    <t>&lt;p&gt;Dorian confirme présence aux événements Audacia 15/17 juin. En attente dossier bancaire, déblocage fonds possible mi-juin. Suivi régulier par mail, échanges constructifs, pas d'objection majeure. Prochaine étape&amp;nbsp;: réception dossier bancaire, confirmation déblocage fonds.&lt;/p&gt;</t>
  </si>
  <si>
    <t>Sylain Brunet</t>
  </si>
  <si>
    <t>Sylvain Brunet</t>
  </si>
  <si>
    <t>&lt;p&gt;Visio 18/05 : présentation fonds défense Audacia, prospect très intéressé, ticket envisagé 250-300K. 29/05 : échange, possible augmentation du ticket, intérêt pour le spatial, BS à préremplir début juin, signature possible 4/06. Montant à confirmer. Pas d'autres actions prévues.&lt;/p&gt;</t>
  </si>
  <si>
    <t>Klésia</t>
  </si>
  <si>
    <t>Christian SCHMIDT DE LA BRÉLIE</t>
  </si>
  <si>
    <t>&lt;p&gt;Rdv physique 4 mars avec Emmanuelle Cales : point sur STRATON, besoin de temps, nettoyage AGPM lancé, vente actions cotées Klesia. Marché interrogé, prospects prudents, pas de décision immédiate. Prochain rdv prévu 9 juin. Suivi à maintenir, attente retour prospects sur fonds présentés.&lt;/p&gt;</t>
  </si>
  <si>
    <t>KLESIA &lt;&gt; tenir informé et préparé un PACK dataroom</t>
  </si>
  <si>
    <t>ODDO BHF AM</t>
  </si>
  <si>
    <t>Francisco Grincho</t>
  </si>
  <si>
    <t>&lt;p&gt;Due diligence ouverte, échanges réguliers, rdv calé pour 28 mai. Discussions actives sur fonds présentés, retours positifs mais attente de précisions complémentaires. Prochaines étapes : finalisation due diligence, suivi post-rdv, collecte documents manquants, relance prévue si besoin.&lt;/p&gt;</t>
  </si>
  <si>
    <t>suivre les itérations questions&lt;&gt; réponses, relancer</t>
  </si>
  <si>
    <t>JOLKA INVEST</t>
  </si>
  <si>
    <t>Jonathan Kieffer</t>
  </si>
  <si>
    <t>&lt;p&gt;Docs envoyés fin avril, relance téléphonique effectuée le 29/05, toujours en attente de retour du prospect. Pas de feedback explicite sur les fonds présentés. Prochaine étape : nouvelle relance à prévoir si pas de réponse. Aucun autre échange ou action significative notée à ce jour.&lt;/p&gt;</t>
  </si>
  <si>
    <t>30</t>
  </si>
  <si>
    <t>EMERAUDE CAPITAL</t>
  </si>
  <si>
    <t>Benjamin Continente</t>
  </si>
  <si>
    <t>&lt;p&gt;Visio 16/12/25 présentation Audacia, demande infos sur Géodésic/fonds Défense. Plusieurs relances pour organiser RDV avec Benjamin, pas de réponse, relance mail 04/05/26 pour proposer présentation à tous les CGP Emeraude Capital. Prochaine étape : organiser réunion groupe, relancer Benjamin.&lt;/p&gt;</t>
  </si>
  <si>
    <t>Pas encore prêt - A alimenter</t>
  </si>
  <si>
    <t>Mutuelle UNEO</t>
  </si>
  <si>
    <t>Marc LECLERE</t>
  </si>
  <si>
    <t>&lt;p&gt;Soirée ULTRAOPS : rencontre Marc Leclere et Marie Chabaud (nouvelle DG SOLIDARM). Echanges initiaux, pas de retour explicite des prospects sur les fonds présentés. Prochaine étape non précisée, pas d'autres actions ou retours significatifs enregistrés à ce jour.&lt;/p&gt;</t>
  </si>
  <si>
    <t>soirée ULTRAOPS &lt;&gt; presence de Marc Leclere avec La nouvelle DG de SOLIDARM Marie Chabaud, en attende de date pour pitcher Straton suite à la réunion du 20 mai.</t>
  </si>
  <si>
    <t xml:space="preserve">BAUDINO CONSEIL </t>
  </si>
  <si>
    <t>Jérémy Baudino</t>
  </si>
  <si>
    <t>&lt;p&gt;Appels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suivi.&lt;/p&gt;</t>
  </si>
  <si>
    <t>&lt;p&gt;Multiples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t>
  </si>
  <si>
    <t>AG Patrimoine</t>
  </si>
  <si>
    <t>Anais Gouirand</t>
  </si>
  <si>
    <t>&lt;p&gt;Visio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t>
  </si>
  <si>
    <t>Dominique de la Vallée Poussin</t>
  </si>
  <si>
    <t>&lt;p&gt;Félicitations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stade.&lt;/p&gt;</t>
  </si>
  <si>
    <t>Pierre Auberdiac</t>
  </si>
  <si>
    <t>&lt;p&gt;Piste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jour.&lt;/p&gt;</t>
  </si>
  <si>
    <t>appel entrant STRATON</t>
  </si>
  <si>
    <t>Caisse Régionale du Crédit Agricole Brie-Picardie</t>
  </si>
  <si>
    <t>Benjamin GREBET</t>
  </si>
  <si>
    <t>&lt;p&gt;RDV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17/04/26).&lt;/p&gt;</t>
  </si>
  <si>
    <t>relancer</t>
  </si>
  <si>
    <t>Xavier Lugherini</t>
  </si>
  <si>
    <t>&lt;p&gt;Nouvelle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inexistant.&lt;/p&gt;</t>
  </si>
  <si>
    <t>À relancer</t>
  </si>
  <si>
    <t>FAMILY PARTNERS</t>
  </si>
  <si>
    <t>Stéphane Rogron</t>
  </si>
  <si>
    <t>&lt;p&gt;Multiples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t>
  </si>
  <si>
    <t>Carac</t>
  </si>
  <si>
    <t>Estelle KERENFLEC'H</t>
  </si>
  <si>
    <t>&lt;p&gt;Déj.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Fabrice/Michel.&lt;/p&gt;</t>
  </si>
  <si>
    <t>CAISSE D'EPARGNE PREVOYANCE COTE D'AZUR</t>
  </si>
  <si>
    <t>Romain Parinello</t>
  </si>
  <si>
    <t>&lt;p&gt;Multiples RDV physiques depuis janvier. Défense Straton, décision fin mars, Quadrille passé pour 1M€, reste 1M€, 50% de chance. Pré-comité KO, prospect part vers club ABENEX sur le territoire. Prochain RDV fixé au 20 juin. Pas d'intérêt manifeste pour les fonds présentés, réorientation en cours.&lt;/p&gt;</t>
  </si>
  <si>
    <t>le 13 mai / call avec Romain Parinello / 1 Me pour ABNEX+ 1Me Ciclad + reste à faire 1 Me</t>
  </si>
  <si>
    <t>LCL</t>
  </si>
  <si>
    <t>Louis Saumureau</t>
  </si>
  <si>
    <t>&lt;p&gt;20/04 mail prospect sur sujet Défense, relance pour RDV. 29/04 RDV physique prévu. 05/05 RDV effectué, présentation à l’équipe fonds de fonds non coté, intro à Jehan Batti et Caroline Larousi. Prochaine étape : pitch Référencement/Intermédiation Straton Geodesic FCPI Capital innovation prévu pour le 28/05.&lt;/p&gt;</t>
  </si>
  <si>
    <t>Pitch Referencement / Intermédiation</t>
  </si>
  <si>
    <t>Banque (haut de bilan)</t>
  </si>
  <si>
    <t>CAISSE D'EPARGNE ILE DE FRANCE - CEIDF</t>
  </si>
  <si>
    <t>Guillaume GUIN</t>
  </si>
  <si>
    <t>&lt;p&gt;Déj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t>
  </si>
  <si>
    <t>IVESTA (150 0 B ter)</t>
  </si>
  <si>
    <t>Etienne MALLENGIER</t>
  </si>
  <si>
    <t>&lt;p&gt;Déj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STRATON.&lt;/p&gt;</t>
  </si>
  <si>
    <t>Private Equity Valley</t>
  </si>
  <si>
    <t>Ali Marwan</t>
  </si>
  <si>
    <t>&lt;p&gt;RDV 07/05 : Présentation offre Private Assets à Éthique et Patrimoine/Equity Valley (expatriés, ticket moyen 100k€, peu d'intérêt VC, focus 150-0 BTE). Decks Calderion, Exergon, FCPI envoyés. Prochaines étapes : envoyer Straton/Geodesic, vérifier onboarding clients Suisse, relance sur decks.&lt;/p&gt;</t>
  </si>
  <si>
    <t>Frédéric Duponchel</t>
  </si>
  <si>
    <t>&lt;p&gt;Lead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mentionné.&lt;/p&gt;</t>
  </si>
  <si>
    <t>AG2R La Mondiale</t>
  </si>
  <si>
    <t>Cyrille ROUSTANG</t>
  </si>
  <si>
    <t>&lt;p&gt;Dernières actions : échanges multiples, pas de décision finale du prospect sur les fonds présentés. Prochaine étape : RDV à caler en septembre (deadline 01/09/2026). Aucun retour négatif, attente de positionnement prospect. Pas d'autres activités ou conclusions explicites mentionnées.&lt;/p&gt;</t>
  </si>
  <si>
    <t>rdv en septembre / à caler.</t>
  </si>
  <si>
    <t>OCIRP</t>
  </si>
  <si>
    <t>Julien Guernigon</t>
  </si>
  <si>
    <t>&lt;p&gt;Attente intro INSTIT7 via déj OCIRP/CB (Marianne Montchamp, ex-politique, OCIRP possible investisseur). Dernière action 06/05, pas de retour à ce jour. Prochaine étape&amp;nbsp;: organiser le déjeuner pour avancer sur l'intro. Aucun retour prospect sur fonds présenté pour l'instant.&lt;/p&gt;</t>
  </si>
  <si>
    <t>Déjeuner de rencontre calé le 23 juin / entre lee DG OCIRP et la Présidente de l'OCIRP Marianne Montchamp (ex politique / Sec d’état handicap par Jacques Chirac) e</t>
  </si>
  <si>
    <t>20</t>
  </si>
  <si>
    <t>MUTUELLE EPARGNE RETRAITE - MER</t>
  </si>
  <si>
    <t>Patrice Gallou</t>
  </si>
  <si>
    <t>&lt;p&gt;Mail envoyé au nouveau DG Patrick Gallou (service-gestion@mutuelleepargneretraite.fr) pour Romain Andrieu. Dernier échange : RDV physique terminé. Pas d'autres actions ou retours mentionnés. Prochaine étape non précisée, attente retour du DG. Pas de conclusion prospect sur fonds évoquée.&lt;/p&gt;</t>
  </si>
  <si>
    <t>Patrice Gallou Relancé par mail ce jour + Emmanuelle Cales annonce nous mettre en contact en septembre 2026</t>
  </si>
  <si>
    <t>Picket Wealth</t>
  </si>
  <si>
    <t>Karine Wilkinson</t>
  </si>
  <si>
    <t>&lt;p&gt;05/02/2026&amp;nbsp;: Actus et ak en cours, client potentiellement intéressé, attente confirmation pour fixer rencontre avec Charles. Lead créé pour équipe Ventes, tentative d'enrichissement impossible (email non valide). Prochaine étape&amp;nbsp;: retour client pour RDV.&lt;/p&gt;</t>
  </si>
  <si>
    <t>BPCE SA</t>
  </si>
  <si>
    <t>Maxime Pech</t>
  </si>
  <si>
    <t>&lt;p&gt;RDV physique 19/02 : discussion marché Luxembourgeois, question sur référencement fonds, sujet clos (taux d'emprise, taille fonds/ticket). Déjeuner 25/03 planifié. Prochaine étape : reprendre RDV pour planifier 2027. Pas de retour prospect sur fonds, pas de mention de comité.&lt;/p&gt;</t>
  </si>
  <si>
    <t>Déjeuner 25 mars 2026 / Pistes à explorer MIROVA et NATIXIS Wealth</t>
  </si>
  <si>
    <t>FRR - Fonds de Réserve pour les Retraites</t>
  </si>
  <si>
    <t>Victoire Costa de Beauregard</t>
  </si>
  <si>
    <t>&lt;p&gt;Rdv JFC semaine du 18 mai. Feedback : décision société de gestion fonds de fonds début juin, FRR peut imposer son choix. Mandataires ciblent fonds &amp;lt;300M€, processus en cours, communication à venir. Bon lien Victoire, contraintes ratios, TIBI 2 souhaité mais pas de parrainage possible. Prochaine étape : attente décision début juin.&lt;/p&gt;</t>
  </si>
  <si>
    <t>5 juin / décision d'attribution par le FRR</t>
  </si>
  <si>
    <t>Union des Mutuelles Retraites</t>
  </si>
  <si>
    <t>Lyes Larezki</t>
  </si>
  <si>
    <t>&lt;p&gt;Dernière action&amp;nbsp;: planification d’un rdv en décembre pour potentiellement accrocher UMR au final closing. Pas d’autres échanges ou retours récents des prospects. Prochaine étape&amp;nbsp;: attendre le rdv de décembre pour décision finale. Aucun retour prospect sur fonds présenté à ce stade.&lt;/p&gt;</t>
  </si>
  <si>
    <t>rdv en deembre pour évnetuellement accrocher UMR au final closing</t>
  </si>
  <si>
    <t>Fonds de fonds</t>
  </si>
  <si>
    <t>BNP PARIBAS DEVELOPPEMENT</t>
  </si>
  <si>
    <t>Laurence Pinta</t>
  </si>
  <si>
    <t>&lt;p&gt;RDV1 calé le 19/05. Prospect Zahra Adem/Laurence Pinta (fonds de fonds, direct, AUM 2,3bn). Allocation fonds de fonds 10%, stratégie complémentaire, co-invest souhaité. Critères : GP lead, fonds sectoriel expert, ticket min 5Me, closing 60Me. Suivi : Track et Deck à envoyer. Pas d'objectif annuel.&lt;/p&gt;</t>
  </si>
  <si>
    <t>rdv1 callé le 19 Mai</t>
  </si>
  <si>
    <t>Uniprevoyance</t>
  </si>
  <si>
    <t>Catherine Lombard</t>
  </si>
  <si>
    <t>&lt;p&gt;Relance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t>
  </si>
  <si>
    <t>Abeille Assurances</t>
  </si>
  <si>
    <t>Nicolas Dechaux</t>
  </si>
  <si>
    <t>&lt;p&gt;Déj.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t>
  </si>
  <si>
    <t>envoyer les detals du closing tech + Deck à jour, Déjeuner S. Goirand / Revue d'actualité sur STRATON</t>
  </si>
  <si>
    <t>LA FRANCE MUTUALISTE</t>
  </si>
  <si>
    <t>Souhail KORAICHY</t>
  </si>
  <si>
    <t>&lt;p&gt;Nov 2025 : échec, relance reconquête engagée. 01/04/2026 : nouvelle piste créée équipe Ventes. Déj. prévu avec Anna Fougerat (Présidente, général de division Gendarmerie) pour avancer. Prochaine étape : RDV physique 22/07/2026. Pas de retour prospect sur fonds à ce stade.&lt;/p&gt;</t>
  </si>
  <si>
    <t>Suite à l'échec de Nov 2025 travail de reconquete</t>
  </si>
  <si>
    <t>ARKEA CAPITAL</t>
  </si>
  <si>
    <t>Pierre-Emmanuel Boulic</t>
  </si>
  <si>
    <t>&lt;p&gt;Thierry Vallet rejoint Arkéa Capital avec Pierre-Emmanuel Boulic, question ESG posée. Macha de la Housse vient d'intégrer Arkéa Capital, phase de structuration, report du point à plus tard, reviendra dès visibilité. Nouvelle piste créée pour équipe Ventes. Pas d'action prévue à court terme.&lt;/p&gt;</t>
  </si>
  <si>
    <t>Intérêt à qualifier</t>
  </si>
  <si>
    <t>Holding</t>
  </si>
  <si>
    <t>Thierry Jullien</t>
  </si>
  <si>
    <t>&lt;p&gt;Relance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2.&lt;/p&gt;</t>
  </si>
  <si>
    <t>rdv de présentation (contact de CB), rdv fait. Doit discerner / Nous revient.</t>
  </si>
  <si>
    <t>SOLIDARM-MUTUELLE SOCIALE DES FORCES ARMEES</t>
  </si>
  <si>
    <t>Jean-François Furet-Coste</t>
  </si>
  <si>
    <t>&lt;p&gt;Offre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t>
  </si>
  <si>
    <t>soirée ULTRAOPS &lt;&gt; presence de Marc Leclere avec La nouvelle DG de SOLIDARM Marie Chabaud</t>
  </si>
  <si>
    <t>Caisse de Retraite du Personnel Naviguant (CRPN)</t>
  </si>
  <si>
    <t>Arthur Harmel</t>
  </si>
  <si>
    <t>&lt;p&gt;Relances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prévue.&lt;/p&gt;</t>
  </si>
  <si>
    <t>allocations PE sont saturées. A ce stade, nous n'examinons aucun dossier.</t>
  </si>
  <si>
    <t>10</t>
  </si>
  <si>
    <t>Conseil</t>
  </si>
  <si>
    <t>DESJARDINS (CC DESJARDINS)</t>
  </si>
  <si>
    <t>Mathieu Gouin</t>
  </si>
  <si>
    <t>&lt;p&gt;Multiples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avril.&lt;/p&gt;</t>
  </si>
  <si>
    <t>à relancer, evolution sur la thèse Défense &lt;&gt; avec Pierre Tessier et Louis Potvin</t>
  </si>
  <si>
    <t>CAISSE d'EPARGNE AQUITAINE POITOU CHARENTE</t>
  </si>
  <si>
    <t>Laetitia THEROINE</t>
  </si>
  <si>
    <t>&lt;p&gt;RDV physique réalisé, échanges en cours. Prochaine étape : relancer pour fixer un nouveau RDV deuxième quinzaine de juin (deadline 12/06). Pas d'autres retours ou décisions prospect mentionnés. Aucun passage en comité signalé. Suivi à maintenir, attente retour prospect pour planification.&lt;/p&gt;</t>
  </si>
  <si>
    <t>19 juin RDV 1 Straton avec Laetitia Bouron et Laetitia Theroine</t>
  </si>
  <si>
    <t>Pierre Tessier</t>
  </si>
  <si>
    <t>&lt;p&gt;RDV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stade.&lt;/p&gt;</t>
  </si>
  <si>
    <t>CAISSE PREVOYANCE ET RETRAITE PERS FERROVIAIRE</t>
  </si>
  <si>
    <t>Pierre Robin</t>
  </si>
  <si>
    <t>&lt;p&gt;Aucune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t>
  </si>
  <si>
    <t>FONDATION FRANCOIS SOMMER</t>
  </si>
  <si>
    <t>Alban de Loisy</t>
  </si>
  <si>
    <t>&lt;p&gt;Déjeuner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t>
  </si>
  <si>
    <t>STRATON &lt;&gt; reprendre rdv avec Thierry Brevet</t>
  </si>
  <si>
    <t>Probablement mort</t>
  </si>
  <si>
    <t>Malakoff Humanis</t>
  </si>
  <si>
    <t>Boris Jacquet</t>
  </si>
  <si>
    <t>&lt;p&gt;RDV en cours avec MALAKOFF/Eric Vaudenne via O. de Panafieu prévu sept 2026. Dernier échange physique 02/02/2026, Boris rapporte à Aurélie Baudhuin qui informe Thomas Saunier (DG). Suivi direct avec direction financière. Pas d'autres actions ou retours prospect notés. Prochaine étape&amp;nbsp;: RDV sept 2026.&lt;/p&gt;</t>
  </si>
  <si>
    <t>MALAKOFF &lt;&gt; Eric Vaudenne (DGD) / rdv en sept 2026</t>
  </si>
  <si>
    <t>CAISSE D'EPARGNE LOIRE CENTRE</t>
  </si>
  <si>
    <t>Isabelle Jallet</t>
  </si>
  <si>
    <t>&lt;p&gt;05/01/25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t>
  </si>
  <si>
    <t>NBIM - NORGES BANK INVESTMENT MANAGER</t>
  </si>
  <si>
    <t>Kenza IDMAHAMMA</t>
  </si>
  <si>
    <t>&lt;p&gt;RDV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t>
  </si>
  <si>
    <t>AGAMI Family Office</t>
  </si>
  <si>
    <t>François Simon</t>
  </si>
  <si>
    <t>&lt;p&gt;Intérêt exprimé pour le fonds Straton, pas de deeptech mais cap dev défense et dossiers de remploi. Prochaine étape : trouver des dates avec Thomas. Lead enrichissement impossible (email invalide). Nouvelle piste créée pour équipe Ventes. Pas d'autres actions ou retours prospect notés.&lt;/p&gt;</t>
  </si>
  <si>
    <t>MONCEAU GENERALE ASSURANCES</t>
  </si>
  <si>
    <t>Jérome Sennelier</t>
  </si>
  <si>
    <t>&lt;p&gt;Aucune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t>
  </si>
  <si>
    <t>BANQUE POPULAIRE AUVERGNE RHONE ALPES</t>
  </si>
  <si>
    <t>Florian Raoul</t>
  </si>
  <si>
    <t>&lt;p&gt;Visio réalisée le 20/04 sur offre Audacia 150 0 B Ter. Nouvelle piste créée le 13/04 pour équipe Ventes. Prochaine étape : relance avant le 27/04 (activité "Echange - Mail - Document envoyé" à faire, note : XXXX). Pas de retour prospect sur fonds à ce stade.&lt;/p&gt;</t>
  </si>
  <si>
    <t>SOFIDY GESTION PRIVEE</t>
  </si>
  <si>
    <t>David Guillemet</t>
  </si>
  <si>
    <t>&lt;p&gt;Echange téléphonique 06/03&amp;nbsp;: prospect a des demandes en 150-0 B ter, rdv tel sur offre actuelle, doit revenir si intérêt clients. Enrichissement lead impossible (email non valide). Création piste pour équipe Ventes. Pas d'autres actions ou retours récents. Prochaine étape&amp;nbsp;: attente retour prospect.&lt;/p&gt;</t>
  </si>
  <si>
    <t>Gwenn Delamaire</t>
  </si>
  <si>
    <t>&lt;p&gt;Lead créé pour équipe Ventes, enrichissement impossible (email invalide). Suivi assuré par OdP. Plusieurs relances notées : à relancer (27/04), relancé par OdP (06/05). Aucune réponse ou retour prospect mentionné. Prochaine étape : nouvelle relance à prévoir, pas d'autres actions planifiées.&lt;/p&gt;</t>
  </si>
  <si>
    <t>Corporate</t>
  </si>
  <si>
    <t>Safra</t>
  </si>
  <si>
    <t>Hugo Belliard</t>
  </si>
  <si>
    <t>&lt;p&gt;03/02/2026: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t>
  </si>
  <si>
    <t>Société de gestion</t>
  </si>
  <si>
    <t>MONTEFIORE</t>
  </si>
  <si>
    <t>Sébastien Barbe</t>
  </si>
  <si>
    <t>&lt;p&gt;Nouvelle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t>
  </si>
  <si>
    <t>ARKEA AM FUNDS</t>
  </si>
  <si>
    <t>Emmanuelle Bonale</t>
  </si>
  <si>
    <t>&lt;p&gt;RDV physique 13 mai, présentation Straton, deck envoyé à Xavier Chapon. Dossier transmis, relance faite, attente retour. Prochain RDV fixé au 24 juin avec SLP EXPANSION et EXERGON. Pas de retour prospect sur fonds à ce stade. Suivi assuré par Romain Andrieu.&lt;/p&gt;</t>
  </si>
  <si>
    <t>RDV calé à 24 juin pour STRATON (avec SLP EXPANSION et EXERGON)</t>
  </si>
  <si>
    <t>Caisse d'Épargne Normandie</t>
  </si>
  <si>
    <t>Jacob HOLAY</t>
  </si>
  <si>
    <t>&lt;p&gt;RDV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t>
  </si>
  <si>
    <t>Echange tel avec Aurélien Valet &lt;&gt; rdv mandataire acté. Propostion dans un mois</t>
  </si>
  <si>
    <t>Ismail BADDOU</t>
  </si>
  <si>
    <t>Ismail Baddou</t>
  </si>
  <si>
    <t>&lt;p&gt;Amaury Daignes a passé la main à un nouveau contact qui souhaite discuter du partenariat France-Maroc et présenter un fonds dédié au financement des PME de La Défense. Pas d'autres actions ou retours du prospect. Prochaines étapes : organiser un échange pour présenter le fonds.&lt;/p&gt;</t>
  </si>
  <si>
    <t>EUKRATOS</t>
  </si>
  <si>
    <t>Jean de Lambertye</t>
  </si>
  <si>
    <t>&lt;p&gt;Aucune activité menée sur le prospect. Derniers messages : "Lead de OdP" et "Un nouvelle piste a été créée pour l'équipe Ventes." Aucun échange, action ou retour prospect enregistré à ce jour. Pas de prochaines étapes identifiées ni de conclusion sur l'intérêt ou avis du prospect.&lt;/p&gt;</t>
  </si>
  <si>
    <t>CAMPOY-HENEAUX LTD</t>
  </si>
  <si>
    <t>Thierry Campoy-Heneaux</t>
  </si>
  <si>
    <t>&lt;p&gt;RDV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t>
  </si>
  <si>
    <t>Pas d'intérêt sur le VC / revoir l'année prochaine</t>
  </si>
  <si>
    <t>CAISSE D'EPARGNE ET DE PREVOYANCE HAUTS DE FRANCE</t>
  </si>
  <si>
    <t>Bertrans Cousin</t>
  </si>
  <si>
    <t>&lt;p&gt;Référencement Straton : rdv prévu fin juin avec patron offre. Deck et trame contrat envoyés CEHDF. Nouvelle piste créée pour équipe Ventes. Prochaine étape : attendre retour CEHDF, préparer rdv fin juin. Pas d'autres activités ou retours prospects mentionnés à ce jour.&lt;/p&gt;</t>
  </si>
  <si>
    <t>CAISSE D'EPARGNE GRAND EST EUROPE CEGEE</t>
  </si>
  <si>
    <t>Olivier Koester</t>
  </si>
  <si>
    <t>&lt;p&gt;27/05/2026 : nouvelle piste créée équipe Ventes. Message envoyé à Olivier pour sonder intérêt sur fonds PME défense française (minoritaire), 100M€ visés, 10M€ signés, closing prévu oct 2026. Présentation du track record AUDACIA (1Md€ déployé, 360 PME, 18 Défense). Aucune réponse ou action à ce jour.&lt;/p&gt;</t>
  </si>
  <si>
    <t>Argentum</t>
  </si>
  <si>
    <t>Jorgen</t>
  </si>
  <si>
    <t>&lt;p&gt;Contact initié via Amsterdam 0100, intérêt prospect pour BuyOut, échanges sur fonds Audacia (FPCI, cible 100M€, 8 secteurs défense, 15 PME, IRR 12,5%, closing technique imminent, final closing 30/09/2026). Pas d'activité future planifiée à ce stade, attente retour d'intérêt prospect.&lt;/p&gt;</t>
  </si>
  <si>
    <t>&lt;p&gt;Nouvelle piste créée pour équipe Ventes. 27/04 : demande entrante, un client souhaite investir dans STRATON. Pas d'autres échanges ou actions récentes identifiés. Prochaines étapes à définir, aucun retour prospect ni suivi complémentaire enregistré à ce stade.&lt;/p&gt;</t>
  </si>
  <si>
    <t>Anthony Cazala</t>
  </si>
  <si>
    <t>Antr</t>
  </si>
  <si>
    <t>&lt;p&gt;Cash out 20M€ réalisé, lead TS, prospect intéressé par la tech. Dernières actions : échanges TS, pas de retour prospect sur fonds présentés. Prochaine étape : relance à effectuer par TS avant le 10/06. Pas d'autres activités ou retours significatifs à ce stade.&lt;/p&gt;</t>
  </si>
  <si>
    <t>à relancer par TS</t>
  </si>
  <si>
    <t>NEUFLIZE OBC</t>
  </si>
  <si>
    <t>Laetitia Revereau</t>
  </si>
  <si>
    <t>&lt;p&gt;Lead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prospect.&lt;/p&gt;</t>
  </si>
  <si>
    <t>Fédération AGIRC-ARRCO</t>
  </si>
  <si>
    <t>Céline NOUET</t>
  </si>
  <si>
    <t>&lt;p&gt;RDV physique 22 mai avec C Nouet validé. Discussion fonds de fonds non coté, 3bn encours 2026, premiers investissements réalisés, 4 fonds (2 PE, 2 infra). Préférence fonds majoritaires, capital développement, bonne connaissance KLESIA, pas d'intérêt venture deeptech/quantique. Prochaine étape : relance RDV via assistante.&lt;/p&gt;</t>
  </si>
  <si>
    <t>alimenter sur Straton etQuanto</t>
  </si>
  <si>
    <t>Olivia Laplane</t>
  </si>
  <si>
    <t>&lt;p&gt;RDV physique 26/05 avec Nicolas Conta. Invitation envoyée pour matinée défense Eurosatory 17/06, logistique gérée, présence de 10 LP prévue. Olivia Laplane : animation CE/BP BITD, montée en gamme, cible témoignage Straton. Offre retail HNWIO évoquée. Pas d'activité future planifiée.&lt;/p&gt;</t>
  </si>
  <si>
    <t>dejeuner avec Nicolas Conta et Olivia Laplane</t>
  </si>
  <si>
    <t>Belles Rives CGP</t>
  </si>
  <si>
    <t>Franck Girard</t>
  </si>
  <si>
    <t>&lt;p&gt;Piste créée pour équipe Ventes. 26/02/2026 : call pour signature convention distribution fonds. En attente KYC distributeur. Enrichissement lead impossible (email non valide). Aucune activité planifiée ou réalisée depuis, prochaine étape : finaliser KYC pour avancer.&lt;/p&gt;</t>
  </si>
  <si>
    <t>OPTIMUM Vie</t>
  </si>
  <si>
    <t>Pierre Bourdeau</t>
  </si>
  <si>
    <t>&lt;p&gt;Aucune activité menée sur le prospect. Un nouvelle piste a été créée pour l'équipe "Ventes". Aucun échange, action ou retour du prospect enregistré à ce jour. Pas de prochaine étape identifiée ni de suivi en cours.&lt;/p&gt;</t>
  </si>
  <si>
    <t>Famille Larouzière</t>
  </si>
  <si>
    <t>Gilles de Larouzière</t>
  </si>
  <si>
    <t>&lt;p&gt;Vanguard remis, prospect montre un intérêt marqué pour la tech souveraine. Nouvelle piste créée pour l'équipe Ventes. Pas d'autres actions ou activités récentes enregistrées, prochaines étapes non définies à ce stade.&lt;/p&gt;</t>
  </si>
  <si>
    <t>Harmonie Mutuelle</t>
  </si>
  <si>
    <t>Aurélien BON</t>
  </si>
  <si>
    <t>&lt;p&gt;RDV physique terminé, attente go/no go défense Mihal. Deck envoyé, Harmonie très ESG, défense pas disqualifiée, test équipes prévu. Mihal rapporte à Aurélien Bon. Réorg récente, 50% mutex par Harmonie, Prev transmis à UMR (Loic Baumont démission). Prochaine étape : retour Mihal.&lt;/p&gt;</t>
  </si>
  <si>
    <t>relance faite / en attente du retour</t>
  </si>
  <si>
    <t>FO Wilmouth</t>
  </si>
  <si>
    <t>Alain Wilmouth</t>
  </si>
  <si>
    <t>&lt;p&gt;Alain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mai.&lt;/p&gt;</t>
  </si>
  <si>
    <t>attendre l'appel du juriste d'Alain. / Structuration poche de 40Me</t>
  </si>
  <si>
    <t>BRED</t>
  </si>
  <si>
    <t>Olivier FOUCHET</t>
  </si>
  <si>
    <t>&lt;p&gt;Nouvelle piste créée pour équipe Ventes par Romain Andrieu le 03/04/2026. Aucun échange, activité, ni suivi enregistré à ce jour. Pas d'interaction ni d'action menée avec le prospect. Prochaines étapes non définies faute d'activité ou de retour identifié.&lt;/p&gt;</t>
  </si>
  <si>
    <t>Reprise de contact / mail posté</t>
  </si>
  <si>
    <t>Multi-gérant</t>
  </si>
  <si>
    <t>ADAXTRA CAPITAL</t>
  </si>
  <si>
    <t>Xavier Goblot</t>
  </si>
  <si>
    <t>&lt;p&gt;Nouvelle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t>
  </si>
  <si>
    <t>Remplace francois.parmentier</t>
  </si>
  <si>
    <t>Le Damantin</t>
  </si>
  <si>
    <t>Anne Foucher-Mari</t>
  </si>
  <si>
    <t>&lt;p&gt;Lead créé pour équipe Ventes. Contact initial TS, relance par TS le 27 avril, attente retour. Dernière action : relance faite, pas de réponse à ce jour. Pas de retour prospect sur fonds présentés, aucune conclusion notée. Prochaine étape : attendre retour suite relance récente.&lt;/p&gt;</t>
  </si>
  <si>
    <t>rdv en 2027 / pas d'argent de dispo du fait de travaux</t>
  </si>
  <si>
    <t>INTERINVEST</t>
  </si>
  <si>
    <t>Benjamin Cohen</t>
  </si>
  <si>
    <t>&lt;p&gt;Nouvelle piste créée pour équipe Ventes. Elevation Capital Partner équipe d'Interinvest. Interinvest : AUM 1bn, produits PE, fonds de fonds, immo outre-mer, fonds défense. Collaboration possible distribution, co-investissement OK, tickets directs 2-5M€, fonds cible 30-200M€. Prochaine étape : parler à l’équipe, monter le deck.&lt;/p&gt;</t>
  </si>
  <si>
    <t>RSC SAS Famille Derville</t>
  </si>
  <si>
    <t>Famille Derville</t>
  </si>
  <si>
    <t>&lt;p&gt;Déjeuner 26/03 avec ODP et Charles, remerciements envoyés. Intérêt exprimé pour Straton et le spatial. Discussion autour d’un investissement de 1M dans Quantonation II par cousins Mulliez/Norauto/Legrand. Pas d’autres actions ou retours prospect signalés. Prochaines étapes non précisées.&lt;/p&gt;</t>
  </si>
  <si>
    <t>Bred Banque Privée</t>
  </si>
  <si>
    <t>Antoine Beclin</t>
  </si>
  <si>
    <t>&lt;p&gt;RDV physiques réalisés, contexte Fort de France, process référencement in-house BRED évoqué, cible familles influentes Guyane/Réunion/NC. OdP à la manoeuvre, introduction famille pour leverage bancaire, question sur fonds Audacia. Prochaine étape : présentation formelle Straton/Géodesic.&lt;/p&gt;</t>
  </si>
  <si>
    <t>Worms Holding</t>
  </si>
  <si>
    <t>Christian Burckel</t>
  </si>
  <si>
    <t>&lt;p&gt;Echange physique réalisé, suivi par échanges mails. Prospect non intéressé à titre personnel mais transmet en interne car présence dans le PE. Opportunité transférée aux activités fonds de fonds. Prochaine étape : attente de retour de l'organisation suite au transfert.&lt;/p&gt;</t>
  </si>
  <si>
    <t>relance faite le 19 mai / à suivre</t>
  </si>
  <si>
    <t>ALLIANZ FRANCE</t>
  </si>
  <si>
    <t>Martine LEGENDRE KALOUSTIAN</t>
  </si>
  <si>
    <t>&lt;p&gt;Contact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23/04/2026.&lt;/p&gt;</t>
  </si>
  <si>
    <t>Echange de mail avec Julien Vincent / Senior Analust</t>
  </si>
  <si>
    <t>BATIPART IMMO VALORISATION</t>
  </si>
  <si>
    <t>Quentin Deleruyelle</t>
  </si>
  <si>
    <t>&lt;p&gt;Mail 20/04 : relance sur sujet Défense, retour sur l'événement du 9/04 (financement PME BITD), intérêt exprimé pour échanger, demande de créneaux. Nouvelle piste créée pour équipe Ventes. Pas d'autres activités ou retours prospect notés. Prochaine étape : organiser un échange.&lt;/p&gt;</t>
  </si>
  <si>
    <t>MUTUELLE DE POITIERS ASSURANCES</t>
  </si>
  <si>
    <t>Nicolas Guerin</t>
  </si>
  <si>
    <t>&lt;p&gt;KO comité 27/03, fonds non retenu. Prospects à tenir informés des levées, aucun seuil spécifique requis. Pas d'autres actions ou retours mentionnés depuis. Prochaine étape : informer des levées futures, pas de suivi ou d'activité supplémentaire noté à ce jour.&lt;/p&gt;</t>
  </si>
  <si>
    <t>KO comité du 27 mars /Tenir informé de la levées (pas de seuil de levée specifique)</t>
  </si>
  <si>
    <t>MEROUR</t>
  </si>
  <si>
    <t>Merour</t>
  </si>
  <si>
    <t>&lt;p&gt;Mail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jour.&lt;/p&gt;</t>
  </si>
  <si>
    <t>NOVOFERM FRANCE</t>
  </si>
  <si>
    <t>Xavier Terrien</t>
  </si>
  <si>
    <t>&lt;p&gt;Mail reçu 20/04 de Romain : relance sur l'événement du 9/04 (financement PME BITD), mention d'un commentaire LinkedIn, intérêt exprimé pour échanger sur le sujet Défense, demande de créneaux pour RDV. Aucune activité ou action supplémentaire enregistrée à ce stade.&lt;/p&gt;</t>
  </si>
  <si>
    <t>MUTUELLE INTERIALE</t>
  </si>
  <si>
    <t>Jean-François Tilquin</t>
  </si>
  <si>
    <t>&lt;p&gt;Relances régulières, dernier RDV physique terminé, attente d'une initiative publique sur la défense. DG et élus sans capacité 2025/Q1 2026, CA sceptique sur le P-E, préfère fonds de dettes, report en 2026. Suivi à maintenir, informer Jean François Tilquin. Prochaine étape : relance à suivre.&lt;/p&gt;</t>
  </si>
  <si>
    <t>relance faite.</t>
  </si>
  <si>
    <t>Societe Generale Private Banking</t>
  </si>
  <si>
    <t>Julie Nadal</t>
  </si>
  <si>
    <t>&lt;p&gt;Projet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t>
  </si>
  <si>
    <t>BURELLE SA</t>
  </si>
  <si>
    <t>Charles Moati</t>
  </si>
  <si>
    <t>&lt;p&gt;19/05 : création piste équipe Ventes. 15h18 : mail adressé à Straton. 16h19 : suivi sans contenu ajouté. 16h43 : nouveau mail adressé. Aucun retour prospect, pas d'activité complémentaire, aucune prochaine étape identifiée à ce stade. Pas de conclusion ni feedback prospect.&lt;/p&gt;</t>
  </si>
  <si>
    <t>NORMANDIE PARTICIPATIONS</t>
  </si>
  <si>
    <t>Franck MURRAY</t>
  </si>
  <si>
    <t>&lt;p&gt;RDV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t>
  </si>
  <si>
    <t>Co-invest en Région Normandie</t>
  </si>
  <si>
    <t>ALPHIDES CONSEIL</t>
  </si>
  <si>
    <t>Fabien Guedes</t>
  </si>
  <si>
    <t>&lt;p&gt;Piste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t>
  </si>
  <si>
    <t>Groupe SEB</t>
  </si>
  <si>
    <t>Victor Lang</t>
  </si>
  <si>
    <t>&lt;p&gt;28/01: Présentation du fonds Straton, focus portefeuille, chiffres marché suédois confirmés, présence régulière Oslo/Stockholm. 20/05: Relance envoyée, proposition d'échanger pour plus d'infos. Pas de retour ni d'autres actions ou feedback prospect à ce stade. Prochaines étapes: attente réponse.&lt;/p&gt;</t>
  </si>
  <si>
    <t>PBRI-PARTICIPATIONS</t>
  </si>
  <si>
    <t>Patrick Bataillard</t>
  </si>
  <si>
    <t>&lt;p&gt;Mail envoyé à Patrick pour présenter un nouveau fonds PME défense (objectif 100 M€, investisseurs institutionnels et privés, closing technique 10-12 M€ imminent). Proposition de rejoindre le pool d’ancrage. Première opération prévue sur un champion guerre électronique. Pas de retour prospect à ce stade.&lt;/p&gt;</t>
  </si>
  <si>
    <t>NEWADVISE</t>
  </si>
  <si>
    <t>Alexandre Meyer</t>
  </si>
  <si>
    <t>&lt;p&gt;Mail envoyé le 20/05/2026 à Alexandre pour présenter un nouveau fonds d’investissement PME défense (objectif 100 M€, closing technique 10-12 M€ imminent, investisseurs institutionnels et privés). Proposition de RDV pour détailler le projet et première opération à venir. Pas d'autres actions notées.&lt;/p&gt;</t>
  </si>
  <si>
    <t>Caroline Thiebaud</t>
  </si>
  <si>
    <t>&lt;p&gt;Nouvelle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t>
  </si>
  <si>
    <t>LE PETIT CHAPERON ROUGE</t>
  </si>
  <si>
    <t>Jean-Emmanuel</t>
  </si>
  <si>
    <t>&lt;p&gt;Contact initié par TS pour présenter un nouveau fonds PME défense (objectif 100 M€, investisseurs institutionnels et privés, closing technique 10-12 M€ imminent). Proposition de RDV pour détailler le projet et envisager une première opération sur la guerre électronique. Pas d'action ultérieure enregistrée.&lt;/p&gt;</t>
  </si>
  <si>
    <t>MIF Mutuelle d'Ivry</t>
  </si>
  <si>
    <t>Walid Sanna</t>
  </si>
  <si>
    <t>&lt;p&gt;13/01/2026 : deck envoyé, à alimenter en 2026. Lead créé pour équipe Ventes. Tentative d'enrichissement échouée (email non valide). Aucune activité ni échange prospect identifié depuis, pas de retour ni prochaine étape précisée. Suivi à relancer ou compléter.&lt;/p&gt;</t>
  </si>
  <si>
    <t>Clément Police</t>
  </si>
  <si>
    <t>&lt;p&gt;Piste créée équipe Ventes. Pas d'enrichissement société via email. RDV physique prévu fin d'année après vente 300 ha à Reims (apple entrant STRATON). Aucun retour prospect sur fonds présenté. Prochaine étape : RDV 2 fin d'année. Pas d'autres actions ou retours notables à date.&lt;/p&gt;</t>
  </si>
  <si>
    <t>apple entrant STRATON / RDV 2 fin d'année suite à la vente des 300 hectares à Reims</t>
  </si>
  <si>
    <t>SFR</t>
  </si>
  <si>
    <t>T. Guitton</t>
  </si>
  <si>
    <t>&lt;p&gt;Contact relancé après clôture véhicule Constellation, proposition de présentation d’un nouveau fonds PME défense (objectif 100 M€, investisseurs institutionnels et privés, premier closing 10-12 M€ imminent). Invitation à échanger sur opportunité, opération d’investissement prévue sous peu. Pas de retour prospect encore.&lt;/p&gt;</t>
  </si>
  <si>
    <t>Groupe Gorgé</t>
  </si>
  <si>
    <t>Rodolphe Bassi</t>
  </si>
  <si>
    <t>&lt;p&gt;Contact initié pour présenter un nouveau fonds PME défense (objectif 100 M€, investisseurs institutionnels et privés, closing technique 10-12 M€ prévu sous peu). Proposition de rendez-vous pour détailler le projet et évoquer une première opération sur la guerre électronique. En attente retour prospect.&lt;/p&gt;</t>
  </si>
  <si>
    <t>Arnaud de Lacoste</t>
  </si>
  <si>
    <t>&lt;p&gt;Mail envoyé au prospect pour présenter un nouveau fonds PME défense (objectif 100 M€, investisseurs institutionnels et privés, premier closing 10-12 M€ imminent). Proposition de rendez-vous pour détailler l'opération et évoquer une première cible en guerre électronique. Pas de retour ni action prospect à date.&lt;/p&gt;</t>
  </si>
  <si>
    <t>David Amsellem</t>
  </si>
  <si>
    <t>&lt;p&gt;Contact post-clôture véhicule Constellation, proposition nouveau fonds PME défense (objectif 100 M€, investisseurs institutionnels et privés), closing technique prévu 10-12 M€ prochaines semaines, 1ère opération imminente sur guerre électronique, demande de RDV envoyée, attente retour prospect.&lt;/p&gt;</t>
  </si>
  <si>
    <t>Saint Jacques Patrimoine</t>
  </si>
  <si>
    <t>Louis Marie Collin</t>
  </si>
  <si>
    <t>&lt;p data-oe-version="2.0"&gt;03/02/2026: KO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t>
  </si>
  <si>
    <t>Maud Huret Norman K</t>
  </si>
  <si>
    <t>Maud Huret</t>
  </si>
  <si>
    <t>&lt;p&gt;Nouvelle piste créée pour équipe Ventes. Client évoque remploi possible Straton et géodésie, montant 450K. Pas d'autres actions ou retours prospect mentionnés. Prochaines étapes non précisées, aucune activité future planifiée à ce stade.&lt;/p&gt;</t>
  </si>
  <si>
    <t>SAINT OLIVE et Cie (BANQUE)</t>
  </si>
  <si>
    <t>François Permezel</t>
  </si>
  <si>
    <t>&lt;p&gt;Aucune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identifiée.&lt;/p&gt;</t>
  </si>
  <si>
    <t>BANQUE POPULAIRE GRAND OUEST</t>
  </si>
  <si>
    <t>Delphine KERAMBRUN</t>
  </si>
  <si>
    <t>&lt;p&gt;RDV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stade.&lt;/p&gt;</t>
  </si>
  <si>
    <t>A relancer de nouveau</t>
  </si>
  <si>
    <t>Mayo KABA</t>
  </si>
  <si>
    <t>&lt;p&gt;Aucune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t>
  </si>
  <si>
    <t>PREVOIR VIE GROUPE PREVOIR</t>
  </si>
  <si>
    <t>Laurent Degioanni</t>
  </si>
  <si>
    <t>&lt;p&gt;Aucune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t>
  </si>
  <si>
    <t>Thierry Sanson</t>
  </si>
  <si>
    <t>&lt;p&gt;RDV physique 150 0 Ber &amp;lt;&amp;gt; straton et Procession réalisé, prospect n'a pas manifesté d'intérêt pour le VC. Aucun retour positif ni suite prévue à ce stade. Dernier échange le 17/04/2026. Pas d'autres activités ou prochaines étapes identifiées dans le suivi récent.&lt;/p&gt;</t>
  </si>
  <si>
    <t>action de relance Pauline Cavalié pour Procession; reste Straton</t>
  </si>
  <si>
    <t>MEESCHAERT GESTION PRIVEE</t>
  </si>
  <si>
    <t>Nicolas Andrieu</t>
  </si>
  <si>
    <t>&lt;p&gt;Nouvelle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t>
  </si>
  <si>
    <t>Jérémie Lepissier</t>
  </si>
  <si>
    <t>&lt;p&gt;Intérêt initial pour diversification/remploi (ex-CEO SDG Matjys). Café le 24/02, ticket jugé trop important par prospect. Dernier échange : prospect se consacre à l'achat de son appartement, projet mis en pause. Prochaine action : prise de news prévue le 04/01/2027.&lt;/p&gt;</t>
  </si>
  <si>
    <t>Prise de news</t>
  </si>
  <si>
    <t>CIMR (Caisse Interprofessionnelle Marocaine de Retraîte)</t>
  </si>
  <si>
    <t>Fatima-Zahra MABCHOURE</t>
  </si>
  <si>
    <t>&lt;p&gt;Reprise de contact par nouveau référent, proposition d'échange sur partenariat France-Maroc, présentation du fonds Straton dédié PME La Défense. Pas de retour prospect ni d'autres actions ou retours mentionnés. Prochaines étapes non précisées, attente de réponse ou prise de contact côté prospect.&lt;/p&gt;</t>
  </si>
  <si>
    <t>Pascal Teurquetil</t>
  </si>
  <si>
    <t>&lt;p&gt;Nouvelle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fonds.&lt;/p&gt;</t>
  </si>
  <si>
    <t>Boursorama Gestion Privée</t>
  </si>
  <si>
    <t>Jean Bay</t>
  </si>
  <si>
    <t>&lt;p data-oe-version="2.0"&gt;Pas de retour aux messages.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t>
  </si>
  <si>
    <t>Crédit Agricole Centre Loire</t>
  </si>
  <si>
    <t>Pierre COURNEE</t>
  </si>
  <si>
    <t>&lt;p&gt;Aucune activité ni échange recensé sur cette opportunité. Crédit Agricole Centre Loire : entité régionale du groupe Crédit Agricole, acteur majeur bancaire et assurantiel couvrant Cher, Loiret, Nièvre. Aucun suivi, action ou retour prospect enregistré à ce jour.&lt;/p&gt;</t>
  </si>
  <si>
    <t>caler un point d'étape à la conclusion du first closing</t>
  </si>
  <si>
    <t>Olivier NANECOU</t>
  </si>
  <si>
    <t>OLIVIER NANECOU</t>
  </si>
  <si>
    <t>&lt;p&gt;Nouvelle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contact.&lt;/p&gt;</t>
  </si>
  <si>
    <t>À Relancer</t>
  </si>
  <si>
    <t>Fiblac</t>
  </si>
  <si>
    <t>Hugo de Gérauvillier</t>
  </si>
  <si>
    <t>&lt;p&gt;Point sur fonds deeptech, docs à envoyer pour alimenter. Enrichissement lead impossible (email non valide). Nouvelle piste créée pour équipe Ventes. Pas d'autres activités ni retours prospects. Prochaine étape : envoi de documentation, attente retour sur fonds présentés.&lt;/p&gt;</t>
  </si>
  <si>
    <t>CHEVAL BLANC PATRIMOINE</t>
  </si>
  <si>
    <t>Nam Delpierre</t>
  </si>
  <si>
    <t>&lt;p&gt;25/02/2026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stade.&lt;/p&gt;</t>
  </si>
  <si>
    <t>Association</t>
  </si>
  <si>
    <t>CAVP Caisse d'Assurance Vieillesse des Pharmaciens</t>
  </si>
  <si>
    <t>Alain PESTRE</t>
  </si>
  <si>
    <t>&lt;p&gt;Relance effectuée, attente retour prospect. Dernière action : relance le 02/06/2026, prochaine échéance fixée au 05/06/2026. Aucun retour reçu à ce jour, pas d'autres actions ou retours mentionnés dans les échanges. Suivi en attente, aucune conclusion prospect sur fonds présentés.&lt;/p&gt;</t>
  </si>
  <si>
    <t>rnouvelle elance faite &lt;&gt; en attente du retour.</t>
  </si>
  <si>
    <t>OUTMATCH INVEST</t>
  </si>
  <si>
    <t>Thomas Sanson</t>
  </si>
  <si>
    <t>&lt;p&gt;Intérêt souverain noté le 28/01, création piste pour équipe Ventes. Tentative d'enrichissement lead échouée (email invalide). Aucune activité ou action supplémentaire enregistrée, pas de prochaine étape identifiée à ce jour.&lt;/p&gt;</t>
  </si>
  <si>
    <t>M. et Mme Picchioli</t>
  </si>
  <si>
    <t>&lt;p&gt;RDV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gérant.&lt;/p&gt;</t>
  </si>
  <si>
    <t>Marie de Vaugelas</t>
  </si>
  <si>
    <t>&lt;p&gt;Aucune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t>
  </si>
  <si>
    <t>UNOFI</t>
  </si>
  <si>
    <t>Patrick BOUCHINDOME</t>
  </si>
  <si>
    <t>&lt;p&gt;RDV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core.&lt;/p&gt;</t>
  </si>
  <si>
    <t>A relancer en Septembre</t>
  </si>
  <si>
    <t>Ecureuil Protection Social</t>
  </si>
  <si>
    <t>Brice PIPINO</t>
  </si>
  <si>
    <t>&lt;p&gt;Aucune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t>
  </si>
  <si>
    <t>BANQUE POPULAIRE RIVE DE PARIS</t>
  </si>
  <si>
    <t>Mélanie salomez</t>
  </si>
  <si>
    <t>&lt;p&gt;RDV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t>
  </si>
  <si>
    <t>relancer en Juin 2026 pour instruction 2027</t>
  </si>
  <si>
    <t>Strat&amp;Fi Solutions</t>
  </si>
  <si>
    <t>Pauline de Sanderval</t>
  </si>
  <si>
    <t>&lt;p&gt;RDV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t>
  </si>
  <si>
    <t>A relancer fin mars 2026 / proposition faite.</t>
  </si>
  <si>
    <t>SNCF</t>
  </si>
  <si>
    <t>Lucas RUDOLF</t>
  </si>
  <si>
    <t>&lt;p&gt;Mail présentation Straton envoyé 10/02, attribution initiale Romain Andrieu. Enrichissement lead impossible (email non valide). Nouvelle piste créée pour équipe Ventes. Pas d'activité ou retour prospect, prochaines étapes non définies. Suivi à relancer si besoin.&lt;/p&gt;</t>
  </si>
  <si>
    <t>KL Conseil Notaires</t>
  </si>
  <si>
    <t>Caroline Emerique</t>
  </si>
  <si>
    <t>&lt;p&gt;Présentation fonds Audacia au prospect pour étudier un partenariat et envoi de dossiers. Aucun retour du prospect sur l'intérêt ou les suites à donner. Tentative d'enrichissement lead échouée (email invalide). Pas d'autres actions ou activités planifiées à ce jour.&lt;/p&gt;</t>
  </si>
  <si>
    <t>MIFAssur</t>
  </si>
  <si>
    <t>Walid SANAA</t>
  </si>
  <si>
    <t>nouvelles dates de déjeuner proposées</t>
  </si>
  <si>
    <t>MIE Mutuelle Intergroupes d'Entraide</t>
  </si>
  <si>
    <t>Véronique Dubois</t>
  </si>
  <si>
    <t>&lt;p&gt;RDV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t>
  </si>
  <si>
    <t>Relance faite</t>
  </si>
  <si>
    <t>Cabinet d'avocats</t>
  </si>
  <si>
    <t>ARKWOOD</t>
  </si>
  <si>
    <t>Xavier GUERIN</t>
  </si>
  <si>
    <t>&lt;p&gt;25/02/26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t>
  </si>
  <si>
    <t>prise de news</t>
  </si>
  <si>
    <t xml:space="preserve">OFILAE </t>
  </si>
  <si>
    <t>Baptiste Maes</t>
  </si>
  <si>
    <t>&lt;p&gt;Café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t>
  </si>
  <si>
    <t>CARCDSF CAISSE AUTONOME DE RETRAITE DES CHIRURGIENS DENTISTES ET DES SAGES-FEMMES</t>
  </si>
  <si>
    <t>Anne-Laure Baud</t>
  </si>
  <si>
    <t>&lt;p&gt;Aucune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t>
  </si>
  <si>
    <t>SPVM</t>
  </si>
  <si>
    <t>Aurélien Faure</t>
  </si>
  <si>
    <t>&lt;p&gt;Prospect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t>
  </si>
  <si>
    <t>CNP Assurances</t>
  </si>
  <si>
    <t>Raphaël BONTE</t>
  </si>
  <si>
    <t>&lt;p&gt;Présence Eurosatory 01/06, échanges récents sans détails, pas d'activité structurée ni de compte-rendu sur fonds présentés ou retours prospects. Aucune action planifiée, pas de suivi ou prochaine étape identifiée. Aucun contexte de création de piste mentionné. Pas d'activité menée sur le prospect.&lt;/p&gt;</t>
  </si>
  <si>
    <t>Proengin</t>
  </si>
  <si>
    <t>Jean-François Brun</t>
  </si>
  <si>
    <t>&lt;p&gt;Lead créé pour équipe Ventes, origine OdP, présence prévue à Eurosatory. Aucun échange, action ou retour prospect enregistré à ce jour. Pas de suivi ni d'activité complémentaire identifiée. Prochaines étapes non planifiées, attente d'actions ou retours futurs.&lt;/p&gt;</t>
  </si>
  <si>
    <t>COVEA FINANCE</t>
  </si>
  <si>
    <t>Olivier Leborgne</t>
  </si>
  <si>
    <t>&lt;p&gt;15M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allocation.&lt;/p&gt;</t>
  </si>
  <si>
    <t>SAPIANS</t>
  </si>
  <si>
    <t>Etienne de Saint-germain</t>
  </si>
  <si>
    <t>&lt;p&gt;Nouvelle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t>
  </si>
  <si>
    <t>27 mars / MasterClass 150 0 B Ter dont Straton</t>
  </si>
  <si>
    <t>ACOSS (anciennement URSSAF Caisse Nationale)</t>
  </si>
  <si>
    <t>Denis NEITER</t>
  </si>
  <si>
    <t>&lt;p&gt;RDV physique avec Jean-Luc, orientation vers Yann Cotrel, demande de RDV faite. Pas d’investissement possible actuellement : allocation globale non votée, politique non coté non arrêtée. Prochain RDV prévu le 10 juin avec Yves Cotrel. Pas d'autres actions prévues à ce stade.&lt;/p&gt;</t>
  </si>
  <si>
    <t>rdv le 10 juin avec Yves Cotrel</t>
  </si>
  <si>
    <t>TAITTINGER COMPAGNIE COMMERCIALE ET VITICOLE CHAMPENOISE</t>
  </si>
  <si>
    <t>Ane-Claire Taittinger</t>
  </si>
  <si>
    <t>&lt;p&gt;Nouvelle piste créée équipe Ventes 20/04, enrichissement email sans résultat, contact TS 27/04, relance effectuée sans retour, lead TS 29/05. Aucun retour du prospect, pas d'activité ou d'échange significatif depuis la relance. Prochaine étape : attendre un retour ou relancer à nouveau.&lt;/p&gt;</t>
  </si>
  <si>
    <t>0</t>
  </si>
  <si>
    <t>MUTUELLE MEDICIS</t>
  </si>
  <si>
    <t>Michel Clerc</t>
  </si>
  <si>
    <t>Caisse Régionale du Crédit Agricole Centre France</t>
  </si>
  <si>
    <t>Didier Ramond</t>
  </si>
  <si>
    <t>&lt;p&gt;RDV physiques multiples avec CRCA Centre France (Didier Ramond). Présentation fonds dédié 6/3, attente retour qualifié CRCA depuis 17/3. Relances faites 30/1, 2/4, 7/4. CRCA veut co-investir, focus défense, intérêt pour fonds ancrage. Prochaine étape : RDV 2, approfondir dealflow et positionnement fonds de fonds.&lt;/p&gt;</t>
  </si>
  <si>
    <t>relance faite</t>
  </si>
  <si>
    <t>GICAT &lt;&gt; STRATON</t>
  </si>
  <si>
    <t>Hubert Raymond</t>
  </si>
  <si>
    <t>&lt;p&gt;RDV physique réalisé avec STRATON, discussion sur mécénat doctorant, conseil dealflow/fonds. OK financement Doctorat, introduction France Mutualiste. Aucune action de levée prévue. Pas de prochaines étapes identifiées à ce stade. Dernière activité 17/03/2026.&lt;/p&gt;</t>
  </si>
  <si>
    <t>Pas d'action de levées / RDV fait / OK financement Doctorat et intro France Mutualiste</t>
  </si>
  <si>
    <t>Mort / Plus rien à faire</t>
  </si>
  <si>
    <t>UNEDIC</t>
  </si>
  <si>
    <t>Jun DUMOLARD</t>
  </si>
  <si>
    <t>&lt;p&gt;RDV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t>
  </si>
  <si>
    <t>CNAVPL -  Caisse nationale d’assurance vieillesse des professions libérales</t>
  </si>
  <si>
    <t>C Zinai</t>
  </si>
  <si>
    <t>&lt;p&gt;RDV physique réalisé, relance effectuée le 14 avril, contact toujours en cours. Dernière activité le 23/04, prochaine étape : relancer avant le 07/05. Pas de retour prospect sur fonds présentés à ce stade, pas d'autres actions ou conclusions notables mentionnées.&lt;/p&gt;</t>
  </si>
  <si>
    <t>à relancer</t>
  </si>
  <si>
    <t>BPIFrance</t>
  </si>
  <si>
    <t>Edoardo SAMPAIO</t>
  </si>
  <si>
    <t>Amaury Daignes</t>
  </si>
  <si>
    <t>&lt;p&gt;Prospect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t>
  </si>
  <si>
    <t>Caisse d'Epargne Midi Pyrénnées</t>
  </si>
  <si>
    <t>Romain Nadjar</t>
  </si>
  <si>
    <t>&lt;p&gt;3 tickets réalisés : IRENE/Defense/1,5M€, TICKEHAU/ACE AERO/2026, CICLAD/1M€. RDV physique terminé, feedback : la logique CICLAD a asséché leur capacité, fonds Défense fermés. Pas d'étape suivante prévue, feedback prospect : capacité d'investissement limitée, dossier clos.&lt;/p&gt;</t>
  </si>
  <si>
    <t>ARKEA</t>
  </si>
  <si>
    <t>Sophie COULON-RENOUVEL</t>
  </si>
  <si>
    <t>&lt;p&gt;Multiples échanges ARKEA/AUDACIA, focus fonds de fonds, STRATON/SLP EXPANSION poussés. Rdv avec Sophie Coulon-Renouvel, Olivia Inizan impliquée, mandat Pierre-Emmanuel Boulic. ARKEA hérite du sujet fonds de fonds 2026. Prochaine étape : organiser un rdv, deadline 14/01/2026.&lt;/p&gt;</t>
  </si>
  <si>
    <t>Stéphanie Olié</t>
  </si>
  <si>
    <t>&lt;p&gt;Aucune activité récente menée sur l'opportunité. Dernier message : "En apport d'affaire" par Romain Andrieu le 18/05/2026. Nouvelle piste créée pour l'équipe Ventes le 10/03/2026. Pas d'action, de suivi ou de prochaine étape identifiée à ce jour.&lt;/p&gt;</t>
  </si>
  <si>
    <t>CAISSE D'EPARGNE ET DE PREVOYANCE DE RHONE ALPES</t>
  </si>
  <si>
    <t>Didier Bruno</t>
  </si>
  <si>
    <t>&lt;p&gt;16/02/2026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t>
  </si>
  <si>
    <t>Rdv en janvier 2027 pour requalifier le lead</t>
  </si>
  <si>
    <t>CAVEC Caisse Assurance Vieillesse Experts Comptables</t>
  </si>
  <si>
    <t>Vincent BRETIN</t>
  </si>
  <si>
    <t>Nicolas Marcon</t>
  </si>
  <si>
    <t>&lt;p&gt;RDV 6 mai : échanges avec Nicolas Marcon (DF CEPAL), Hervé Sauvanot (immo pro), Christian Rabachou (institutionnels/immo). KO sur Straton, BPCE SA demande intervention banques du groupe, contact Nicolas Conta, initiative Ciclade, 11/14 caisses auraient signé. Prochaine étape à définir.&lt;/p&gt;</t>
  </si>
  <si>
    <t>rdv du 6 mai</t>
  </si>
  <si>
    <t>ORPHEOPOLIS</t>
  </si>
  <si>
    <t>Jean-Francois Grimaud</t>
  </si>
  <si>
    <t>Julien Psomas</t>
  </si>
  <si>
    <t>&lt;p&gt;Aucune activité menée sur le prospect. Lead créé pour équipe Ventes le 16/03, origine CB, enrichissement email sans résultat, pas d'autres échanges ou actions depuis. Pas de retour prospect, pas de passage en comité, aucune prochaine étape identifiée à ce jour.&lt;/p&gt;</t>
  </si>
  <si>
    <t>Caisse de retraite du Sénat</t>
  </si>
  <si>
    <t>Gian Marco Revellat</t>
  </si>
  <si>
    <t>Rdv décalé au 12 juin en teams avec le sénateur Ludovic HAYE</t>
  </si>
  <si>
    <t>Quentin PELTIER</t>
  </si>
  <si>
    <t>&lt;p&gt;Echange avec Quantin Peltier : ils n’investissent pas dans les fonds thématiques ni petits fonds (&amp;lt;500M€). Déjà exposés à la défense, pas d’intérêt supplémentaire. Fonds quantique : meeting possible à l’approche de la levée, intérêt mais hors cible actuelle. Pas d’autres actions prévues.&lt;/p&gt;</t>
  </si>
  <si>
    <t>De manière générale ils n’investissent pas dans les fonds thématiques ni dans les petits fonds (&lt;500M€).</t>
  </si>
  <si>
    <t>MGPrev Adel CHANANE</t>
  </si>
  <si>
    <t>Adel CHANANE</t>
  </si>
  <si>
    <t>MATMUT</t>
  </si>
  <si>
    <t>Léovic LECLUZE</t>
  </si>
  <si>
    <t>&lt;p&gt;Leovic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poursuivre.&lt;/p&gt;</t>
  </si>
  <si>
    <t>Leovic confirme Pas de PE defense et pas de vc</t>
  </si>
  <si>
    <t>CAISSE D'EPARGNE BOURGOGNE FRANCHE COMTE - CEBFC</t>
  </si>
  <si>
    <t>Romain Barnay</t>
  </si>
  <si>
    <t>&lt;p&gt;13 mai : prospect pas intéressé, préfère C4. 14 mai : RDV physique terminé, relance prévue après réunion. 17 mai : deck envoyé, prospect ouvert à réflexion. Nouvelle piste créée pour équipe Ventes. Prochaine étape : relance post-réunion, pas d'intérêt immédiat mais ouverture à discussion future.&lt;/p&gt;</t>
  </si>
  <si>
    <t>BPCE Life - Luxembourg</t>
  </si>
  <si>
    <t>Tristan TOUZELLIER</t>
  </si>
  <si>
    <t>&lt;p&gt;RDV physique 19/02/2026 avec Trisan Touzilier, point méthodo, suivi à faire sur chantier Luxembourgeois. Dernière activité : pas de nouvelle action, discussion sur taille du fond, % d'emprise fonds/clients. Pas de feedback prospect sur fonds. Prochaine étape non précisée.&lt;/p&gt;</t>
  </si>
  <si>
    <t>Vendeur de Pasqal</t>
  </si>
  <si>
    <t>Georges-Olivier Reymond</t>
  </si>
  <si>
    <t>&lt;p&gt;Nouvelle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t>
  </si>
  <si>
    <t>prendre rdv fin decembre / capacité totale estimée 100Me</t>
  </si>
  <si>
    <t>Christophe Leguay</t>
  </si>
  <si>
    <t>&lt;p&gt;RDV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t>
  </si>
  <si>
    <t>rdv en 2027 sur la Défense</t>
  </si>
  <si>
    <t>YIELCO Investments AG</t>
  </si>
  <si>
    <t>Manuel Deimel</t>
  </si>
  <si>
    <t>&lt;p&gt;Présentation fonds Audacia (FPCI, 100-150M€, 10 ans, défense, minoritaire, France, IRR 12,5%). Prospects : stratégie non adaptée (minorité/retour). Équipe first time, 15% AUM, Europe only. Pas d'activité future prévue, refus confirmé par le prospect. Pas d'étape à venir.&lt;/p&gt;</t>
  </si>
  <si>
    <t>UNION DES BLESSES DE LA FACE ET DE LA TETE</t>
  </si>
  <si>
    <t>Godefry Pouch</t>
  </si>
  <si>
    <t>&lt;p&gt;Intro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t>
  </si>
  <si>
    <t>relance faite. Ne me répond plus</t>
  </si>
  <si>
    <t>AGRICA EPARGNE</t>
  </si>
  <si>
    <t>Aurélien Leguay</t>
  </si>
  <si>
    <t>&lt;p&gt;Ouverture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t>
  </si>
  <si>
    <t>CRPCEN (Caisse de Retraîte et de Prévoyance des Clercs et employés de Notaires)</t>
  </si>
  <si>
    <t>Bruno Vaillant</t>
  </si>
  <si>
    <t>MUTAC</t>
  </si>
  <si>
    <t>Guilhem Pialot</t>
  </si>
  <si>
    <t>Nicolas GOMART</t>
  </si>
  <si>
    <t>&lt;p&gt;RDV physique demandé avec Aurélie Dumont (14/01), suivi par échanges, JFC est intervenu, puis renvoi vers Leovic Lecluse (13/04). Dernière action : transfert dossier à Leovic Lecluse. Prochaine étape : attente retour/prise en charge par Leovic Lecluse. Pas d'avis prospect sur fonds.&lt;/p&gt;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</si>
</sst>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0">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3" fontId="1" borderId="0" applyAlignment="1">
      <alignment vertical="center" horizontal="center"/>
    </xf>
    <xf numFmtId="164" fillId="3" fontId="1" borderId="0" applyAlignment="1">
      <alignment vertical="center" horizontal="center"/>
    </xf>
    <xf numFmtId="0" fillId="3" fontId="1" borderId="0" applyAlignment="1">
      <alignment vertical="center" horizont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0" fillId="4" fontId="1"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9" fillId="0" fontId="0" borderId="0"/>
    <xf numFmtId="164" fillId="0" fontId="0" borderId="0"/>
    <xf numFmtId="165" fillId="0" fontId="0"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302" headerRowCount="1" totalsRowCount="0">
  <autoFilter ref="A3:V3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18.88" customWidth="1" hidden="0"/>
    <col min="2" max="2" width="27.17" customWidth="1" hidden="0"/>
    <col min="3" max="3" width="33.89" customWidth="1" hidden="0"/>
    <col min="4" max="4" width="26.31" customWidth="1" hidden="0"/>
    <col min="5" max="5" width="17.59" customWidth="1" hidden="0"/>
    <col min="6" max="6" width="24.17" customWidth="1" hidden="1"/>
    <col min="7" max="7" width="23.31" customWidth="1" hidden="1"/>
    <col min="8" max="8" width="47.9" customWidth="1" hidden="1"/>
    <col min="9" max="9" width="57.63" customWidth="1" hidden="0"/>
    <col min="10" max="10" width="77.08" customWidth="1" hidden="1"/>
    <col min="11" max="11" width="25.31" customWidth="1" hidden="1"/>
    <col min="12" max="12" width="11.01" customWidth="1" hidden="0"/>
    <col min="13" max="13" width="23.31" customWidth="1" hidden="1"/>
    <col min="14" max="14" width="11.87" customWidth="1" hidden="0"/>
    <col min="15" max="15" width="24.88" customWidth="1" hidden="1"/>
    <col min="16" max="16" width="12.3" customWidth="1" hidden="0"/>
    <col min="17" max="17" width="15.16" customWidth="1" hidden="1"/>
    <col min="18" max="18" width="15.16" customWidth="1" hidden="0"/>
    <col min="19" max="19" width="15.16" customWidth="1" hidden="1"/>
    <col min="20" max="20" width="13.3" customWidth="1" hidden="0"/>
    <col min="21" max="21" width="11.58"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41.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5">
</c>
      <c r="Y1" s="6">
</c>
      <c r="Z1" s="4">
</c>
      <c r="AA1" s="4">
</c>
      <c r="AB1" s="6">
</c>
      <c r="AC1" s="6">
</c>
      <c r="AD1" s="6">
</c>
      <c r="AE1" s="7">
</c>
      <c r="AF1" s="7">
</c>
      <c r="AG1" s="7">
</c>
      <c r="AH1" s="7">
</c>
      <c r="AI1" s="7">
</c>
      <c r="AJ1" s="7">
</c>
      <c r="AK1" s="7">
</c>
    </row>
    <row r="2" ht="31.5" customHeight="1">
      <c r="A2" s="8">
</c>
      <c r="B2" s="9">
</c>
      <c r="C2" s="9" cm="1" t="n">
        <f t="array" ref="C2">SUBTOTAL(9,V4:V202)</f>
        <v>178</v>
      </c>
      <c r="D2" s="8">
</c>
      <c r="E2" s="8">
</c>
      <c r="F2" s="8">
</c>
      <c r="G2" s="8">
</c>
      <c r="H2" s="8">
</c>
      <c r="I2" s="8">
</c>
      <c r="J2" s="8">
</c>
      <c r="K2" s="8">
</c>
      <c r="L2" s="8">
</c>
      <c r="M2" s="8">
</c>
      <c r="N2" s="8">
</c>
      <c r="O2" s="8">
</c>
      <c r="P2" s="8">
</c>
      <c r="Q2" s="10" cm="1" t="n">
        <f t="array" ref="Q2">SUBTOTAL(9,Q4:Q402)</f>
        <v>132950000</v>
      </c>
      <c r="R2" s="10" cm="1" t="str">
        <f t="array" ref="R2">ROUND(Q2/1000000,3)&amp;" M€"</f>
        <v>132.95 M€</v>
      </c>
      <c r="S2" s="8">
</c>
      <c r="T2" s="8">
</c>
      <c r="U2" s="8">
</c>
      <c r="V2" s="8">
</c>
      <c r="W2" s="8">
</c>
      <c r="X2" s="8">
</c>
      <c r="Y2" s="8">
</c>
      <c r="Z2" s="8">
</c>
      <c r="AA2" s="8">
</c>
      <c r="AB2" s="8">
</c>
      <c r="AC2" s="8">
</c>
      <c r="AD2" s="8">
</c>
      <c r="AE2" s="8">
</c>
      <c r="AF2" s="8">
</c>
      <c r="AG2" s="8">
</c>
      <c r="AH2" s="8">
</c>
      <c r="AI2" s="8">
</c>
      <c r="AJ2" s="8">
</c>
      <c r="AK2" s="8">
</c>
    </row>
    <row r="3" ht="39.75" customHeight="1">
      <c r="A3" s="2" t="s">
        <v>1</v>
      </c>
      <c r="B3" s="2" t="s">
        <v>2</v>
      </c>
      <c r="C3" s="2" t="s">
        <v>3</v>
      </c>
      <c r="D3" s="2" t="s">
        <v>4</v>
      </c>
      <c r="E3" s="2" t="s">
        <v>5</v>
      </c>
      <c r="F3" s="11" t="s">
        <v>6</v>
      </c>
      <c r="G3" s="11" t="s">
        <v>7</v>
      </c>
      <c r="H3" s="11" t="s">
        <v>8</v>
      </c>
      <c r="I3" s="2" t="s">
        <v>9</v>
      </c>
      <c r="J3" s="11" t="s">
        <v>10</v>
      </c>
      <c r="K3" s="11" t="s">
        <v>11</v>
      </c>
      <c r="L3" s="2" t="s">
        <v>12</v>
      </c>
      <c r="M3" s="11" t="s">
        <v>13</v>
      </c>
      <c r="N3" s="2" t="s">
        <v>14</v>
      </c>
      <c r="O3" s="11" t="s">
        <v>15</v>
      </c>
      <c r="P3" s="2" t="s">
        <v>16</v>
      </c>
      <c r="Q3" s="11" t="s">
        <v>17</v>
      </c>
      <c r="R3" s="2" t="s">
        <v>18</v>
      </c>
      <c r="S3" s="11" t="s">
        <v>19</v>
      </c>
      <c r="T3" s="2" t="s">
        <v>20</v>
      </c>
      <c r="U3" s="2" t="s">
        <v>21</v>
      </c>
      <c r="V3" s="7" t="s">
        <v>22</v>
      </c>
      <c r="W3" s="7">
</c>
      <c r="X3" s="7">
</c>
      <c r="Y3" s="7">
</c>
      <c r="Z3" s="7">
</c>
      <c r="AA3" s="7">
</c>
      <c r="AB3" s="7">
</c>
      <c r="AC3" s="7">
</c>
      <c r="AD3" s="7">
</c>
      <c r="AE3" s="7">
</c>
      <c r="AF3" s="7">
</c>
      <c r="AG3" s="7">
</c>
      <c r="AH3" s="7">
</c>
      <c r="AI3" s="7">
</c>
      <c r="AJ3" s="7">
</c>
      <c r="AK3" s="7">
</c>
    </row>
    <row r="4" ht="76.5" customHeight="1">
      <c r="A4" s="9" t="s">
        <v>23</v>
      </c>
      <c r="B4" s="9" t="s">
        <v>24</v>
      </c>
      <c r="C4" s="12" t="s">
        <v>25</v>
      </c>
      <c r="D4" s="12" t="s">
        <v>26</v>
      </c>
      <c r="E4" s="9" t="s">
        <v>27</v>
      </c>
      <c r="F4" s="13" t="s">
        <v>28</v>
      </c>
      <c r="G4" s="13" cm="1" t="str">
        <f t="array" ref="G4">IF(F4="","",SUBSTITUTE(SUBSTITUTE(SUBSTITUTE(SUBSTITUTE(F4,"&lt;li&gt;",CHAR(10)),"&lt;/li&gt;",""),"&lt;br&gt;",CHAR(10)),"&lt;strong&gt;",""))</f>
        <v>&lt;p&gt;Nouvelle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v>
      </c>
      <c r="H4" s="13" cm="1" t="str">
        <f t="array" ref="H4">IF(G4="","",SUBSTITUTE(SUBSTITUTE(SUBSTITUTE(SUBSTITUTE(SUBSTITUTE(G4,"&lt;p&gt;",""),"&lt;/p&gt;",""),"&lt;ul&gt;",""),"&lt;/ul&gt;",""),"&lt;/strong&gt;",""))</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I4" s="14" cm="1" t="str">
        <f t="array" ref="I4">IF(C4="","",IF(OR(H4="",H4=0,H4=FALSE),"-",H4))</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J4" s="8">
</c>
      <c r="K4" s="8" t="s">
        <v>29</v>
      </c>
      <c r="L4" s="9" cm="1" t="str">
        <f t="array" ref="L4">IF(C4="","",IF(K4="Mort / Plus rien à faire","KO","OK"))</f>
        <v>OK</v>
      </c>
      <c r="M4" s="15">
        <v>46053.60560185185</v>
      </c>
      <c r="N4" s="15" cm="1" t="n">
        <f t="array" ref="N4">IF(OR(C4="",M4="",M4=0),"",M4)</f>
        <v>46053.60560185185</v>
      </c>
      <c r="O4" s="15">
</c>
      <c r="P4" s="15" cm="1" t="str">
        <f t="array" ref="P4">IF(C4="","",IF(OR(O4="",O4=0),"-",O4))</f>
        <v>-</v>
      </c>
      <c r="Q4" s="16">
        <v>5000000</v>
      </c>
      <c r="R4" s="16" cm="1" t="str">
        <f t="array" ref="R4">IF(C4="","",ROUND(Q4/1000000,3)&amp;" M€")</f>
        <v>5 M€</v>
      </c>
      <c r="S4" s="12" t="s">
        <v>30</v>
      </c>
      <c r="T4" s="9" cm="1" t="str">
        <f t="array" ref="T4">IF(C4="","",SUBSTITUTE(S4,"","")&amp;"%")</f>
        <v>100%</v>
      </c>
      <c r="U4" s="14" cm="1" t="str">
        <f t="array" ref="U4">IF(($N4="")*($P4=""),"",IF(($N4&lt;&gt;"")*($N4&gt;TODAY()-9)*($N4&lt;TODAY()+1)*($P4&lt;&gt;"")*($P4&gt;=TODAY())*($P4&lt;=TODAY()+13),"Semaine passée &amp; à venir",IF(($N4&lt;&gt;"")*($N4&gt;TODAY()-9)*($N4&lt;TODAY()+1),"Semaine passée",IF(($P4&lt;&gt;"")*($P4&gt;=TODAY())*($P4&lt;=TODAY()+13),"À venir","Autre"))))</f>
        <v>Autre</v>
      </c>
      <c r="V4" s="8" cm="1" t="n">
        <f t="array" ref="V4">IF(C4&lt;&gt;"",1,0)</f>
        <v>1</v>
      </c>
      <c r="W4" s="8">
</c>
      <c r="X4" s="8">
</c>
      <c r="Y4" s="8">
</c>
      <c r="Z4" s="8">
</c>
      <c r="AA4" s="8">
</c>
      <c r="AB4" s="8">
</c>
      <c r="AC4" s="8">
</c>
      <c r="AD4" s="8">
</c>
      <c r="AE4" s="8">
</c>
      <c r="AF4" s="8">
</c>
      <c r="AG4" s="8">
</c>
      <c r="AH4" s="8">
</c>
      <c r="AI4" s="8">
</c>
      <c r="AJ4" s="8">
</c>
      <c r="AK4" s="8">
</c>
    </row>
    <row r="5" ht="76.5" customHeight="1">
      <c r="A5" s="9" t="s">
        <v>23</v>
      </c>
      <c r="B5" s="9" t="s">
        <v>31</v>
      </c>
      <c r="C5" s="12" t="s">
        <v>32</v>
      </c>
      <c r="D5" s="12" t="s">
        <v>33</v>
      </c>
      <c r="E5" s="9" t="s">
        <v>27</v>
      </c>
      <c r="F5" s="8" t="s">
        <v>34</v>
      </c>
      <c r="G5" s="13" cm="1" t="str">
        <f t="array" ref="G5">IF(F5="","",SUBSTITUTE(SUBSTITUTE(SUBSTITUTE(SUBSTITUTE(F5,"&lt;li&gt;",CHAR(10)),"&lt;/li&gt;",""),"&lt;br&gt;",CHAR(10)),"&lt;strong&gt;",""))</f>
        <v>&lt;p&gt;Aucune activité ou échange enregistré sur cette opportunité. Aucun suivi, action ou retour prospect identifié à ce jour. Aucun message, appel ou tâche renseigné. Aucun élément sur l'origine ou le contexte de création de la piste. Pas de prochaine étape planifiée ni de retour sur les fonds présentés.&lt;/p&gt;</v>
      </c>
      <c r="H5" s="13" cm="1" t="str">
        <f t="array" ref="H5">IF(G5="","",SUBSTITUTE(SUBSTITUTE(SUBSTITUTE(SUBSTITUTE(SUBSTITUTE(G5,"&lt;p&gt;",""),"&lt;/p&gt;",""),"&lt;ul&gt;",""),"&lt;/ul&gt;",""),"&lt;/strong&gt;",""))</f>
        <v>Aucune activité ou échange enregistré sur cette opportunité. Aucun suivi, action ou retour prospect identifié à ce jour. Aucun message, appel ou tâche renseigné. Aucun élément sur l'origine ou le contexte de création de la piste. Pas de prochaine étape planifiée ni de retour sur les fonds présentés.</v>
      </c>
      <c r="I5" s="14" cm="1" t="str">
        <f t="array" ref="I5">IF(C5="","",IF(OR(H5="",H5=0,H5=FALSE),"-",H5))</f>
        <v>Aucune activité ou échange enregistré sur cette opportunité. Aucun suivi, action ou retour prospect identifié à ce jour. Aucun message, appel ou tâche renseigné. Aucun élément sur l'origine ou le contexte de création de la piste. Pas de prochaine étape planifiée ni de retour sur les fonds présentés.</v>
      </c>
      <c r="J5" s="8">
</c>
      <c r="K5" s="8" t="s">
        <v>29</v>
      </c>
      <c r="L5" s="9" cm="1" t="str">
        <f t="array" ref="L5">IF(C5="","",IF(K5="Mort / Plus rien à faire","KO","OK"))</f>
        <v>OK</v>
      </c>
      <c r="M5" s="15">
        <v>46174.66918981481</v>
      </c>
      <c r="N5" s="15" cm="1" t="n">
        <f t="array" ref="N5">IF(OR(C5="",M5="",M5=0),"",M5)</f>
        <v>46174.66918981481</v>
      </c>
      <c r="O5" s="15">
</c>
      <c r="P5" s="15" cm="1" t="str">
        <f t="array" ref="P5">IF(C5="","",IF(OR(O5="",O5=0),"-",O5))</f>
        <v>-</v>
      </c>
      <c r="Q5" s="16">
        <v>0</v>
      </c>
      <c r="R5" s="16" cm="1" t="str">
        <f t="array" ref="R5">IF(C5="","",ROUND(Q5/1000000,3)&amp;" M€")</f>
        <v>0 M€</v>
      </c>
      <c r="S5" s="12" t="s">
        <v>30</v>
      </c>
      <c r="T5" s="9" cm="1" t="str">
        <f t="array" ref="T5">IF(C5="","",SUBSTITUTE(S5,"","")&amp;"%")</f>
        <v>100%</v>
      </c>
      <c r="U5" s="14" cm="1" t="str">
        <f t="array" ref="U5">IF(($N5="")*($P5=""),"",IF(($N5&lt;&gt;"")*($N5&gt;TODAY()-9)*($N5&lt;TODAY()+1)*($P5&lt;&gt;"")*($P5&gt;=TODAY())*($P5&lt;=TODAY()+13),"Semaine passée &amp; à venir",IF(($N5&lt;&gt;"")*($N5&gt;TODAY()-9)*($N5&lt;TODAY()+1),"Semaine passée",IF(($P5&lt;&gt;"")*($P5&gt;=TODAY())*($P5&lt;=TODAY()+13),"À venir","Autre"))))</f>
        <v>Semaine passée</v>
      </c>
      <c r="V5" s="8" cm="1" t="n">
        <f t="array" ref="V5">IF(C5&lt;&gt;"",1,0)</f>
        <v>1</v>
      </c>
      <c r="W5" s="8">
</c>
      <c r="X5" s="14">
</c>
      <c r="Y5" s="8">
</c>
      <c r="Z5" s="8">
</c>
      <c r="AA5" s="8">
</c>
      <c r="AB5" s="8">
</c>
      <c r="AC5" s="8">
</c>
      <c r="AD5" s="8">
</c>
      <c r="AE5" s="8">
</c>
      <c r="AF5" s="8">
</c>
      <c r="AG5" s="8">
</c>
      <c r="AH5" s="8">
</c>
      <c r="AI5" s="8">
</c>
      <c r="AJ5" s="8">
</c>
      <c r="AK5" s="8">
</c>
    </row>
    <row r="6" ht="76.5" customHeight="1">
      <c r="A6" s="9" t="s">
        <v>23</v>
      </c>
      <c r="B6" s="9" t="s">
        <v>35</v>
      </c>
      <c r="C6" s="12" t="s">
        <v>36</v>
      </c>
      <c r="D6" s="12" t="s">
        <v>37</v>
      </c>
      <c r="E6" s="9" t="s">
        <v>27</v>
      </c>
      <c r="F6" s="8" t="s">
        <v>38</v>
      </c>
      <c r="G6" s="13" cm="1" t="str">
        <f t="array" ref="G6">IF(F6="","",SUBSTITUTE(SUBSTITUTE(SUBSTITUTE(SUBSTITUTE(F6,"&lt;li&gt;",CHAR(10)),"&lt;/li&gt;",""),"&lt;br&gt;",CHAR(10)),"&lt;strong&gt;",""))</f>
        <v>&lt;p&gt;CA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v>
      </c>
      <c r="H6" s="13" cm="1" t="str">
        <f t="array" ref="H6">IF(G6="","",SUBSTITUTE(SUBSTITUTE(SUBSTITUTE(SUBSTITUTE(SUBSTITUTE(G6,"&lt;p&gt;",""),"&lt;/p&gt;",""),"&lt;ul&gt;",""),"&lt;/ul&gt;",""),"&lt;/strong&gt;",""))</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I6" s="14" cm="1" t="str">
        <f t="array" ref="I6">IF(C6="","",IF(OR(H6="",H6=0,H6=FALSE),"-",H6))</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J6" s="8" t="s">
        <v>39</v>
      </c>
      <c r="K6" s="8" t="s">
        <v>29</v>
      </c>
      <c r="L6" s="9" cm="1" t="str">
        <f t="array" ref="L6">IF(C6="","",IF(K6="Mort / Plus rien à faire","KO","OK"))</f>
        <v>OK</v>
      </c>
      <c r="M6" s="15">
        <v>46114.67883101852</v>
      </c>
      <c r="N6" s="15" cm="1" t="n">
        <f t="array" ref="N6">IF(OR(C6="",M6="",M6=0),"",M6)</f>
        <v>46114.67883101852</v>
      </c>
      <c r="O6" s="15">
</c>
      <c r="P6" s="15" cm="1" t="str">
        <f t="array" ref="P6">IF(C6="","",IF(OR(O6="",O6=0),"-",O6))</f>
        <v>-</v>
      </c>
      <c r="Q6" s="16">
        <v>1000000</v>
      </c>
      <c r="R6" s="16" cm="1" t="str">
        <f t="array" ref="R6">IF(C6="","",ROUND(Q6/1000000,3)&amp;" M€")</f>
        <v>1 M€</v>
      </c>
      <c r="S6" s="12" t="s">
        <v>30</v>
      </c>
      <c r="T6" s="9" cm="1" t="str">
        <f t="array" ref="T6">IF(C6="","",SUBSTITUTE(S6,"","")&amp;"%")</f>
        <v>100%</v>
      </c>
      <c r="U6" s="14" cm="1" t="str">
        <f t="array" ref="U6">IF(($N6="")*($P6=""),"",IF(($N6&lt;&gt;"")*($N6&gt;TODAY()-9)*($N6&lt;TODAY()+1)*($P6&lt;&gt;"")*($P6&gt;=TODAY())*($P6&lt;=TODAY()+13),"Semaine passée &amp; à venir",IF(($N6&lt;&gt;"")*($N6&gt;TODAY()-9)*($N6&lt;TODAY()+1),"Semaine passée",IF(($P6&lt;&gt;"")*($P6&gt;=TODAY())*($P6&lt;=TODAY()+13),"À venir","Autre"))))</f>
        <v>Autre</v>
      </c>
      <c r="V6" s="8" cm="1" t="n">
        <f t="array" ref="V6">IF(C6&lt;&gt;"",1,0)</f>
        <v>1</v>
      </c>
      <c r="W6" s="8">
</c>
      <c r="X6" s="8">
</c>
      <c r="Y6" s="8">
</c>
      <c r="Z6" s="8">
</c>
      <c r="AA6" s="8">
</c>
      <c r="AB6" s="8">
</c>
      <c r="AC6" s="8">
</c>
      <c r="AD6" s="8">
</c>
      <c r="AE6" s="8">
</c>
      <c r="AF6" s="8">
</c>
      <c r="AG6" s="8">
</c>
      <c r="AH6" s="8">
</c>
      <c r="AI6" s="8">
</c>
      <c r="AJ6" s="8">
</c>
      <c r="AK6" s="8">
</c>
    </row>
    <row r="7" ht="76.5" customHeight="1">
      <c r="A7" s="9" t="s">
        <v>23</v>
      </c>
      <c r="B7" s="9" t="s">
        <v>40</v>
      </c>
      <c r="C7" s="12" t="s">
        <v>41</v>
      </c>
      <c r="D7" s="12" t="s">
        <v>42</v>
      </c>
      <c r="E7" s="9" t="s">
        <v>43</v>
      </c>
      <c r="F7" s="8" t="s">
        <v>44</v>
      </c>
      <c r="G7" s="13" cm="1" t="str">
        <f t="array" ref="G7">IF(F7="","",SUBSTITUTE(SUBSTITUTE(SUBSTITUTE(SUBSTITUTE(F7,"&lt;li&gt;",CHAR(10)),"&lt;/li&gt;",""),"&lt;br&gt;",CHAR(10)),"&lt;strong&gt;",""))</f>
        <v>&lt;p&gt;Accord obtenu pour investissement 100K via client avocat remploi (Nicolas Hournon). Dernière action le 01/06/2026. Prochaine étape : finaliser l'investissement avec le client. Pas d'autres actions ou retours prospect mentionnés dans les échanges récents.&lt;/p&gt;</v>
      </c>
      <c r="H7" s="13" cm="1" t="str">
        <f t="array" ref="H7">IF(G7="","",SUBSTITUTE(SUBSTITUTE(SUBSTITUTE(SUBSTITUTE(SUBSTITUTE(G7,"&lt;p&gt;",""),"&lt;/p&gt;",""),"&lt;ul&gt;",""),"&lt;/ul&gt;",""),"&lt;/strong&gt;",""))</f>
        <v>Accord obtenu pour investissement 100K via client avocat remploi (Nicolas Hournon). Dernière action le 01/06/2026. Prochaine étape : finaliser l'investissement avec le client. Pas d'autres actions ou retours prospect mentionnés dans les échanges récents.</v>
      </c>
      <c r="I7" s="14" cm="1" t="str">
        <f t="array" ref="I7">IF(C7="","",IF(OR(H7="",H7=0,H7=FALSE),"-",H7))</f>
        <v>Accord obtenu pour investissement 100K via client avocat remploi (Nicolas Hournon). Dernière action le 01/06/2026. Prochaine étape : finaliser l'investissement avec le client. Pas d'autres actions ou retours prospect mentionnés dans les échanges récents.</v>
      </c>
      <c r="J7" s="8" t="s">
        <v>45</v>
      </c>
      <c r="K7" s="8" t="s">
        <v>46</v>
      </c>
      <c r="L7" s="9" cm="1" t="str">
        <f t="array" ref="L7">IF(C7="","",IF(K7="Mort / Plus rien à faire","KO","OK"))</f>
        <v>OK</v>
      </c>
      <c r="M7" s="15">
        <v>46174.62721064815</v>
      </c>
      <c r="N7" s="15" cm="1" t="n">
        <f t="array" ref="N7">IF(OR(C7="",M7="",M7=0),"",M7)</f>
        <v>46174.62721064815</v>
      </c>
      <c r="O7" s="15">
</c>
      <c r="P7" s="15" cm="1" t="str">
        <f t="array" ref="P7">IF(C7="","",IF(OR(O7="",O7=0),"-",O7))</f>
        <v>-</v>
      </c>
      <c r="Q7" s="16">
        <v>100000</v>
      </c>
      <c r="R7" s="16" cm="1" t="str">
        <f t="array" ref="R7">IF(C7="","",ROUND(Q7/1000000,3)&amp;" M€")</f>
        <v>0.1 M€</v>
      </c>
      <c r="S7" s="12" t="s">
        <v>47</v>
      </c>
      <c r="T7" s="9" cm="1" t="str">
        <f t="array" ref="T7">IF(C7="","",SUBSTITUTE(S7,"","")&amp;"%")</f>
        <v>80%</v>
      </c>
      <c r="U7" s="14" cm="1" t="str">
        <f t="array" ref="U7">IF(($N7="")*($P7=""),"",IF(($N7&lt;&gt;"")*($N7&gt;TODAY()-9)*($N7&lt;TODAY()+1)*($P7&lt;&gt;"")*($P7&gt;=TODAY())*($P7&lt;=TODAY()+13),"Semaine passée &amp; à venir",IF(($N7&lt;&gt;"")*($N7&gt;TODAY()-9)*($N7&lt;TODAY()+1),"Semaine passée",IF(($P7&lt;&gt;"")*($P7&gt;=TODAY())*($P7&lt;=TODAY()+13),"À venir","Autre"))))</f>
        <v>Semaine passée</v>
      </c>
      <c r="V7" s="8" cm="1" t="n">
        <f t="array" ref="V7">IF(C7&lt;&gt;"",1,0)</f>
        <v>1</v>
      </c>
      <c r="W7" s="8">
</c>
      <c r="X7" s="8">
</c>
      <c r="Y7" s="8">
</c>
      <c r="Z7" s="8">
</c>
      <c r="AA7" s="8">
</c>
      <c r="AB7" s="8">
</c>
      <c r="AC7" s="8">
</c>
      <c r="AD7" s="8">
</c>
      <c r="AE7" s="8">
</c>
      <c r="AF7" s="8">
</c>
      <c r="AG7" s="8">
</c>
      <c r="AH7" s="8">
</c>
      <c r="AI7" s="8">
</c>
      <c r="AJ7" s="8">
</c>
      <c r="AK7" s="8">
</c>
    </row>
    <row r="8" ht="76.5" customHeight="1">
      <c r="A8" s="9" t="s">
        <v>23</v>
      </c>
      <c r="B8" s="9" t="s">
        <v>48</v>
      </c>
      <c r="C8" s="12" t="s">
        <v>49</v>
      </c>
      <c r="D8" s="12" t="s">
        <v>50</v>
      </c>
      <c r="E8" s="9" t="s">
        <v>51</v>
      </c>
      <c r="F8" s="8" t="s">
        <v>52</v>
      </c>
      <c r="G8" s="13" cm="1" t="str">
        <f t="array" ref="G8">IF(F8="","",SUBSTITUTE(SUBSTITUTE(SUBSTITUTE(SUBSTITUTE(F8,"&lt;li&gt;",CHAR(10)),"&lt;/li&gt;",""),"&lt;br&gt;",CHAR(10)),"&lt;strong&gt;",""))</f>
        <v>&lt;p&gt;Aucune activité ou échange récent détecté sur cette opportunité. Création du MFO en 2025, 6 familles toulousaines, exécution des investissements prévue en 2026, 3 nouvelles familles attendues. Supervision globale 800m€, 100% honoraires. Aucun suivi ou action récente identifiée.&lt;/p&gt;</v>
      </c>
      <c r="H8" s="13" cm="1" t="str">
        <f t="array" ref="H8">IF(G8="","",SUBSTITUTE(SUBSTITUTE(SUBSTITUTE(SUBSTITUTE(SUBSTITUTE(G8,"&lt;p&gt;",""),"&lt;/p&gt;",""),"&lt;ul&gt;",""),"&lt;/ul&gt;",""),"&lt;/strong&gt;",""))</f>
        <v>Aucune activité ou échange récent détecté sur cette opportunité. Création du MFO en 2025, 6 familles toulousaines, exécution des investissements prévue en 2026, 3 nouvelles familles attendues. Supervision globale 800m€, 100% honoraires. Aucun suivi ou action récente identifiée.</v>
      </c>
      <c r="I8" s="14" cm="1" t="str">
        <f t="array" ref="I8">IF(C8="","",IF(OR(H8="",H8=0,H8=FALSE),"-",H8))</f>
        <v>Aucune activité ou échange récent détecté sur cette opportunité. Création du MFO en 2025, 6 familles toulousaines, exécution des investissements prévue en 2026, 3 nouvelles familles attendues. Supervision globale 800m€, 100% honoraires. Aucun suivi ou action récente identifiée.</v>
      </c>
      <c r="J8" s="8">
</c>
      <c r="K8" s="8" t="s">
        <v>53</v>
      </c>
      <c r="L8" s="9" cm="1" t="str">
        <f t="array" ref="L8">IF(C8="","",IF(K8="Mort / Plus rien à faire","KO","OK"))</f>
        <v>OK</v>
      </c>
      <c r="M8" s="15">
        <v>46174.71224537037</v>
      </c>
      <c r="N8" s="15" cm="1" t="n">
        <f t="array" ref="N8">IF(OR(C8="",M8="",M8=0),"",M8)</f>
        <v>46174.71224537037</v>
      </c>
      <c r="O8" s="15">
        <v>46267.666666666664</v>
      </c>
      <c r="P8" s="15" cm="1" t="n">
        <f t="array" ref="P8">IF(C8="","",IF(OR(O8="",O8=0),"-",O8))</f>
        <v>46267.666666666664</v>
      </c>
      <c r="Q8" s="16">
        <v>0</v>
      </c>
      <c r="R8" s="16" cm="1" t="str">
        <f t="array" ref="R8">IF(C8="","",ROUND(Q8/1000000,3)&amp;" M€")</f>
        <v>0 M€</v>
      </c>
      <c r="S8" s="12" t="s">
        <v>54</v>
      </c>
      <c r="T8" s="9" cm="1" t="str">
        <f t="array" ref="T8">IF(C8="","",SUBSTITUTE(S8,"","")&amp;"%")</f>
        <v>50%</v>
      </c>
      <c r="U8" s="14" cm="1" t="str">
        <f t="array" ref="U8">IF(($N8="")*($P8=""),"",IF(($N8&lt;&gt;"")*($N8&gt;TODAY()-9)*($N8&lt;TODAY()+1)*($P8&lt;&gt;"")*($P8&gt;=TODAY())*($P8&lt;=TODAY()+13),"Semaine passée &amp; à venir",IF(($N8&lt;&gt;"")*($N8&gt;TODAY()-9)*($N8&lt;TODAY()+1),"Semaine passée",IF(($P8&lt;&gt;"")*($P8&gt;=TODAY())*($P8&lt;=TODAY()+13),"À venir","Autre"))))</f>
        <v>Semaine passée</v>
      </c>
      <c r="V8" s="8" cm="1" t="n">
        <f t="array" ref="V8">IF(C8&lt;&gt;"",1,0)</f>
        <v>1</v>
      </c>
      <c r="W8" s="8">
</c>
      <c r="X8" s="8">
</c>
      <c r="Y8" s="8">
</c>
      <c r="Z8" s="8">
</c>
      <c r="AA8" s="8">
</c>
      <c r="AB8" s="8">
</c>
      <c r="AC8" s="8">
</c>
      <c r="AD8" s="8">
</c>
      <c r="AE8" s="8">
</c>
      <c r="AF8" s="8">
</c>
      <c r="AG8" s="8">
</c>
      <c r="AH8" s="8">
</c>
      <c r="AI8" s="8">
</c>
      <c r="AJ8" s="8">
</c>
      <c r="AK8" s="8">
</c>
    </row>
    <row r="9" ht="76.5" customHeight="1">
      <c r="A9" s="9" t="s">
        <v>23</v>
      </c>
      <c r="B9" s="9" t="s">
        <v>55</v>
      </c>
      <c r="C9" s="12" t="s">
        <v>56</v>
      </c>
      <c r="D9" s="12" t="s">
        <v>57</v>
      </c>
      <c r="E9" s="9" t="s">
        <v>27</v>
      </c>
      <c r="F9" s="8" t="s">
        <v>58</v>
      </c>
      <c r="G9" s="13" cm="1" t="str">
        <f t="array" ref="G9">IF(F9="","",SUBSTITUTE(SUBSTITUTE(SUBSTITUTE(SUBSTITUTE(F9,"&lt;li&gt;",CHAR(10)),"&lt;/li&gt;",""),"&lt;br&gt;",CHAR(10)),"&lt;strong&gt;",""))</f>
        <v>&lt;p&gt;Comité financier prévu 24/06. IPECA réfléchit à réduire Tikehau pour investir chez Audacia, ticket 1-5M€. Bons résultats, capacité d’investissement accrue, possible allocation : 70% taux, 20% PE, 10% immo. Instit 7 accompagne (Vincent Püch, Céline Kalfa). Prochaine étape : décision allocation.&lt;/p&gt;</v>
      </c>
      <c r="H9" s="13" cm="1" t="str">
        <f t="array" ref="H9">IF(G9="","",SUBSTITUTE(SUBSTITUTE(SUBSTITUTE(SUBSTITUTE(SUBSTITUTE(G9,"&lt;p&gt;",""),"&lt;/p&gt;",""),"&lt;ul&gt;",""),"&lt;/ul&gt;",""),"&lt;/strong&gt;",""))</f>
        <v>Comité financier prévu 24/06. IPECA réfléchit à réduire Tikehau pour investir chez Audacia, ticket 1-5M€. Bons résultats, capacité d’investissement accrue, possible allocation : 70% taux, 20% PE, 10% immo. Instit 7 accompagne (Vincent Püch, Céline Kalfa). Prochaine étape : décision allocation.</v>
      </c>
      <c r="I9" s="14" cm="1" t="str">
        <f t="array" ref="I9">IF(C9="","",IF(OR(H9="",H9=0,H9=FALSE),"-",H9))</f>
        <v>Comité financier prévu 24/06. IPECA réfléchit à réduire Tikehau pour investir chez Audacia, ticket 1-5M€. Bons résultats, capacité d’investissement accrue, possible allocation : 70% taux, 20% PE, 10% immo. Instit 7 accompagne (Vincent Püch, Céline Kalfa). Prochaine étape : décision allocation.</v>
      </c>
      <c r="J9" s="8" t="s">
        <v>59</v>
      </c>
      <c r="K9" s="8" t="s">
        <v>46</v>
      </c>
      <c r="L9" s="9" cm="1" t="str">
        <f t="array" ref="L9">IF(C9="","",IF(K9="Mort / Plus rien à faire","KO","OK"))</f>
        <v>OK</v>
      </c>
      <c r="M9" s="15">
        <v>46175.827210648145</v>
      </c>
      <c r="N9" s="15" cm="1" t="n">
        <f t="array" ref="N9">IF(OR(C9="",M9="",M9=0),"",M9)</f>
        <v>46175.827210648145</v>
      </c>
      <c r="O9" s="15">
        <v>46185.083333333336</v>
      </c>
      <c r="P9" s="15" cm="1" t="n">
        <f t="array" ref="P9">IF(C9="","",IF(OR(O9="",O9=0),"-",O9))</f>
        <v>46185.083333333336</v>
      </c>
      <c r="Q9" s="16">
        <v>2000000</v>
      </c>
      <c r="R9" s="16" cm="1" t="str">
        <f t="array" ref="R9">IF(C9="","",ROUND(Q9/1000000,3)&amp;" M€")</f>
        <v>2 M€</v>
      </c>
      <c r="S9" s="12" t="s">
        <v>54</v>
      </c>
      <c r="T9" s="9" cm="1" t="str">
        <f t="array" ref="T9">IF(C9="","",SUBSTITUTE(S9,"","")&amp;"%")</f>
        <v>50%</v>
      </c>
      <c r="U9" s="14" cm="1" t="str">
        <f t="array" ref="U9">IF(($N9="")*($P9=""),"",IF(($N9&lt;&gt;"")*($N9&gt;TODAY()-9)*($N9&lt;TODAY()+1)*($P9&lt;&gt;"")*($P9&gt;=TODAY())*($P9&lt;=TODAY()+13),"Semaine passée &amp; à venir",IF(($N9&lt;&gt;"")*($N9&gt;TODAY()-9)*($N9&lt;TODAY()+1),"Semaine passée",IF(($P9&lt;&gt;"")*($P9&gt;=TODAY())*($P9&lt;=TODAY()+13),"À venir","Autre"))))</f>
        <v>Semaine passée &amp; à venir</v>
      </c>
      <c r="V9" s="8" cm="1" t="n">
        <f t="array" ref="V9">IF(C9&lt;&gt;"",1,0)</f>
        <v>1</v>
      </c>
      <c r="W9" s="8">
</c>
      <c r="X9" s="8">
</c>
      <c r="Y9" s="8">
</c>
      <c r="Z9" s="8">
</c>
      <c r="AA9" s="8">
</c>
      <c r="AB9" s="8">
</c>
      <c r="AC9" s="8">
</c>
      <c r="AD9" s="8">
</c>
      <c r="AE9" s="8">
</c>
      <c r="AF9" s="8">
</c>
      <c r="AG9" s="8">
</c>
      <c r="AH9" s="8">
</c>
      <c r="AI9" s="8">
</c>
      <c r="AJ9" s="8">
</c>
      <c r="AK9" s="8">
</c>
    </row>
    <row r="10" ht="76.5" customHeight="1">
      <c r="A10" s="9" t="s">
        <v>23</v>
      </c>
      <c r="B10" s="9" t="s">
        <v>40</v>
      </c>
      <c r="C10" s="12" t="s">
        <v>60</v>
      </c>
      <c r="D10" s="12" t="s">
        <v>61</v>
      </c>
      <c r="E10" s="9" t="s">
        <v>51</v>
      </c>
      <c r="F10" s="8" t="s">
        <v>62</v>
      </c>
      <c r="G10" s="13" cm="1" t="str">
        <f t="array" ref="G10">IF(F10="","",SUBSTITUTE(SUBSTITUTE(SUBSTITUTE(SUBSTITUTE(F10,"&lt;li&gt;",CHAR(10)),"&lt;/li&gt;",""),"&lt;br&gt;",CHAR(10)),"&lt;strong&gt;",""))</f>
        <v>&lt;p&gt;Lead de TS transmis. Guillaume Duport, fondateur du cabinet (2 ans), vise 7M€/an en PE, clientèle jeune, principalement fonds de fonds via Cédrus, Opale, Archinvest. Pas d'activité VC à ce jour. Aucune activité ou échange récent enregistré sur cette opportunité. Prochaines étapes non définies.&lt;/p&gt;</v>
      </c>
      <c r="H10" s="13" cm="1" t="str">
        <f t="array" ref="H10">IF(G10="","",SUBSTITUTE(SUBSTITUTE(SUBSTITUTE(SUBSTITUTE(SUBSTITUTE(G10,"&lt;p&gt;",""),"&lt;/p&gt;",""),"&lt;ul&gt;",""),"&lt;/ul&gt;",""),"&lt;/strong&gt;",""))</f>
        <v>Lead de TS transmis. Guillaume Duport, fondateur du cabinet (2 ans), vise 7M€/an en PE, clientèle jeune, principalement fonds de fonds via Cédrus, Opale, Archinvest. Pas d'activité VC à ce jour. Aucune activité ou échange récent enregistré sur cette opportunité. Prochaines étapes non définies.</v>
      </c>
      <c r="I10" s="14" cm="1" t="str">
        <f t="array" ref="I10">IF(C10="","",IF(OR(H10="",H10=0,H10=FALSE),"-",H10))</f>
        <v>Lead de TS transmis. Guillaume Duport, fondateur du cabinet (2 ans), vise 7M€/an en PE, clientèle jeune, principalement fonds de fonds via Cédrus, Opale, Archinvest. Pas d'activité VC à ce jour. Aucune activité ou échange récent enregistré sur cette opportunité. Prochaines étapes non définies.</v>
      </c>
      <c r="J10" s="8">
</c>
      <c r="K10" s="8" t="s">
        <v>46</v>
      </c>
      <c r="L10" s="9" cm="1" t="str">
        <f t="array" ref="L10">IF(C10="","",IF(K10="Mort / Plus rien à faire","KO","OK"))</f>
        <v>OK</v>
      </c>
      <c r="M10" s="15">
        <v>46174.71297453704</v>
      </c>
      <c r="N10" s="15" cm="1" t="n">
        <f t="array" ref="N10">IF(OR(C10="",M10="",M10=0),"",M10)</f>
        <v>46174.71297453704</v>
      </c>
      <c r="O10" s="15">
</c>
      <c r="P10" s="15" cm="1" t="str">
        <f t="array" ref="P10">IF(C10="","",IF(OR(O10="",O10=0),"-",O10))</f>
        <v>-</v>
      </c>
      <c r="Q10" s="16">
        <v>300000</v>
      </c>
      <c r="R10" s="16" cm="1" t="str">
        <f t="array" ref="R10">IF(C10="","",ROUND(Q10/1000000,3)&amp;" M€")</f>
        <v>0.3 M€</v>
      </c>
      <c r="S10" s="12" t="s">
        <v>54</v>
      </c>
      <c r="T10" s="9" cm="1" t="str">
        <f t="array" ref="T10">IF(C10="","",SUBSTITUTE(S10,"","")&amp;"%")</f>
        <v>50%</v>
      </c>
      <c r="U10" s="14" cm="1" t="str">
        <f t="array" ref="U10">IF(($N10="")*($P10=""),"",IF(($N10&lt;&gt;"")*($N10&gt;TODAY()-9)*($N10&lt;TODAY()+1)*($P10&lt;&gt;"")*($P10&gt;=TODAY())*($P10&lt;=TODAY()+13),"Semaine passée &amp; à venir",IF(($N10&lt;&gt;"")*($N10&gt;TODAY()-9)*($N10&lt;TODAY()+1),"Semaine passée",IF(($P10&lt;&gt;"")*($P10&gt;=TODAY())*($P10&lt;=TODAY()+13),"À venir","Autre"))))</f>
        <v>Semaine passée</v>
      </c>
      <c r="V10" s="8" cm="1" t="n">
        <f t="array" ref="V10">IF(C10&lt;&gt;"",1,0)</f>
        <v>1</v>
      </c>
      <c r="W10" s="8">
</c>
      <c r="X10" s="8">
</c>
      <c r="Y10" s="8">
</c>
      <c r="Z10" s="8">
</c>
      <c r="AA10" s="8">
</c>
      <c r="AB10" s="8">
</c>
      <c r="AC10" s="8">
</c>
      <c r="AD10" s="8">
</c>
      <c r="AE10" s="8">
</c>
      <c r="AF10" s="8">
</c>
      <c r="AG10" s="8">
</c>
      <c r="AH10" s="8">
</c>
      <c r="AI10" s="8">
</c>
      <c r="AJ10" s="8">
</c>
      <c r="AK10" s="8">
</c>
    </row>
    <row r="11" ht="76.5" customHeight="1">
      <c r="A11" s="9" t="s">
        <v>23</v>
      </c>
      <c r="B11" s="9" t="s">
        <v>63</v>
      </c>
      <c r="C11" s="12" t="s">
        <v>64</v>
      </c>
      <c r="D11" s="12" t="s">
        <v>65</v>
      </c>
      <c r="E11" s="9" t="s">
        <v>43</v>
      </c>
      <c r="F11" s="8" t="s">
        <v>66</v>
      </c>
      <c r="G11" s="13" cm="1" t="str">
        <f t="array" ref="G11">IF(F11="","",SUBSTITUTE(SUBSTITUTE(SUBSTITUTE(SUBSTITUTE(F11,"&lt;li&gt;",CHAR(10)),"&lt;/li&gt;",""),"&lt;br&gt;",CHAR(10)),"&lt;strong&gt;",""))</f>
        <v>&lt;p&gt;Multiples relances mail/phone depuis fév. 2026, peu de retours. Intérêt initial pour Straton, Quanto II, Calderion, demande doc Straton. Dernier contact 16 mai, toujours pas de news. Aucun feedback prospect sur fonds. Prochaine étape : attendre retour suite relance récente, pas d'action planifiée.&lt;/p&gt;</v>
      </c>
      <c r="H11" s="13" cm="1" t="str">
        <f t="array" ref="H11">IF(G11="","",SUBSTITUTE(SUBSTITUTE(SUBSTITUTE(SUBSTITUTE(SUBSTITUTE(G11,"&lt;p&gt;",""),"&lt;/p&gt;",""),"&lt;ul&gt;",""),"&lt;/ul&gt;",""),"&lt;/strong&gt;",""))</f>
        <v>Multiples relances mail/phone depuis fév. 2026, peu de retours. Intérêt initial pour Straton, Quanto II, Calderion, demande doc Straton. Dernier contact 16 mai, toujours pas de news. Aucun feedback prospect sur fonds. Prochaine étape : attendre retour suite relance récente, pas d'action planifiée.</v>
      </c>
      <c r="I11" s="14" cm="1" t="str">
        <f t="array" ref="I11">IF(C11="","",IF(OR(H11="",H11=0,H11=FALSE),"-",H11))</f>
        <v>Multiples relances mail/phone depuis fév. 2026, peu de retours. Intérêt initial pour Straton, Quanto II, Calderion, demande doc Straton. Dernier contact 16 mai, toujours pas de news. Aucun feedback prospect sur fonds. Prochaine étape : attendre retour suite relance récente, pas d'action planifiée.</v>
      </c>
      <c r="J11" s="8">
</c>
      <c r="K11" s="8" t="s">
        <v>53</v>
      </c>
      <c r="L11" s="9" cm="1" t="str">
        <f t="array" ref="L11">IF(C11="","",IF(K11="Mort / Plus rien à faire","KO","OK"))</f>
        <v>OK</v>
      </c>
      <c r="M11" s="15">
        <v>46161.74381944445</v>
      </c>
      <c r="N11" s="15" cm="1" t="n">
        <f t="array" ref="N11">IF(OR(C11="",M11="",M11=0),"",M11)</f>
        <v>46161.74381944445</v>
      </c>
      <c r="O11" s="15">
</c>
      <c r="P11" s="15" cm="1" t="str">
        <f t="array" ref="P11">IF(C11="","",IF(OR(O11="",O11=0),"-",O11))</f>
        <v>-</v>
      </c>
      <c r="Q11" s="16">
        <v>500000</v>
      </c>
      <c r="R11" s="16" cm="1" t="str">
        <f t="array" ref="R11">IF(C11="","",ROUND(Q11/1000000,3)&amp;" M€")</f>
        <v>0.5 M€</v>
      </c>
      <c r="S11" s="12" t="s">
        <v>54</v>
      </c>
      <c r="T11" s="9" cm="1" t="str">
        <f t="array" ref="T11">IF(C11="","",SUBSTITUTE(S11,"","")&amp;"%")</f>
        <v>50%</v>
      </c>
      <c r="U11" s="14" cm="1" t="str">
        <f t="array" ref="U11">IF(($N11="")*($P11=""),"",IF(($N11&lt;&gt;"")*($N11&gt;TODAY()-9)*($N11&lt;TODAY()+1)*($P11&lt;&gt;"")*($P11&gt;=TODAY())*($P11&lt;=TODAY()+13),"Semaine passée &amp; à venir",IF(($N11&lt;&gt;"")*($N11&gt;TODAY()-9)*($N11&lt;TODAY()+1),"Semaine passée",IF(($P11&lt;&gt;"")*($P11&gt;=TODAY())*($P11&lt;=TODAY()+13),"À venir","Autre"))))</f>
        <v>Autre</v>
      </c>
      <c r="V11" s="8" cm="1" t="n">
        <f t="array" ref="V11">IF(C11&lt;&gt;"",1,0)</f>
        <v>1</v>
      </c>
      <c r="W11" s="8">
</c>
      <c r="X11" s="8">
</c>
      <c r="Y11" s="8">
</c>
      <c r="Z11" s="8">
</c>
      <c r="AA11" s="8">
</c>
      <c r="AB11" s="8">
</c>
      <c r="AC11" s="8">
</c>
      <c r="AD11" s="8">
</c>
      <c r="AE11" s="8">
</c>
      <c r="AF11" s="8">
</c>
      <c r="AG11" s="8">
</c>
      <c r="AH11" s="8">
</c>
      <c r="AI11" s="8">
</c>
      <c r="AJ11" s="8">
</c>
      <c r="AK11" s="8">
</c>
    </row>
    <row r="12" ht="76.5" customHeight="1">
      <c r="A12" s="9" t="s">
        <v>23</v>
      </c>
      <c r="B12" s="9" t="s">
        <v>48</v>
      </c>
      <c r="C12" s="12" t="s">
        <v>67</v>
      </c>
      <c r="D12" s="12" t="s">
        <v>68</v>
      </c>
      <c r="E12" s="9" t="s">
        <v>27</v>
      </c>
      <c r="F12" s="8" t="s">
        <v>69</v>
      </c>
      <c r="G12" s="13" cm="1" t="str">
        <f t="array" ref="G12">IF(F12="","",SUBSTITUTE(SUBSTITUTE(SUBSTITUTE(SUBSTITUTE(F12,"&lt;li&gt;",CHAR(10)),"&lt;/li&gt;",""),"&lt;br&gt;",CHAR(10)),"&lt;strong&gt;",""))</f>
        <v>&lt;p&gt;Echanges multiples depuis avril : proposition de rdv, feedback FO intéressés stratégie Défense, accord sur rémunération 3% pour Geodesic après signature BS, signature convention, contrat d'apport d'affaire en cours. Fonds Straton prioritaire, Constellation ajouté. Prochaine étape : finaliser contrat.&lt;/p&gt;</v>
      </c>
      <c r="H12" s="13" cm="1" t="str">
        <f t="array" ref="H12">IF(G12="","",SUBSTITUTE(SUBSTITUTE(SUBSTITUTE(SUBSTITUTE(SUBSTITUTE(G12,"&lt;p&gt;",""),"&lt;/p&gt;",""),"&lt;ul&gt;",""),"&lt;/ul&gt;",""),"&lt;/strong&gt;",""))</f>
        <v>Echanges multiples depuis avril : proposition de rdv, feedback FO intéressés stratégie Défense, accord sur rémunération 3% pour Geodesic après signature BS, signature convention, contrat d'apport d'affaire en cours. Fonds Straton prioritaire, Constellation ajouté. Prochaine étape : finaliser contrat.</v>
      </c>
      <c r="I12" s="14" cm="1" t="str">
        <f t="array" ref="I12">IF(C12="","",IF(OR(H12="",H12=0,H12=FALSE),"-",H12))</f>
        <v>Echanges multiples depuis avril : proposition de rdv, feedback FO intéressés stratégie Défense, accord sur rémunération 3% pour Geodesic après signature BS, signature convention, contrat d'apport d'affaire en cours. Fonds Straton prioritaire, Constellation ajouté. Prochaine étape : finaliser contrat.</v>
      </c>
      <c r="J12" s="8">
</c>
      <c r="K12" s="8" t="s">
        <v>46</v>
      </c>
      <c r="L12" s="9" cm="1" t="str">
        <f t="array" ref="L12">IF(C12="","",IF(K12="Mort / Plus rien à faire","KO","OK"))</f>
        <v>OK</v>
      </c>
      <c r="M12" s="15">
        <v>46171.5296875</v>
      </c>
      <c r="N12" s="15" cm="1" t="n">
        <f t="array" ref="N12">IF(OR(C12="",M12="",M12=0),"",M12)</f>
        <v>46171.5296875</v>
      </c>
      <c r="O12" s="15">
</c>
      <c r="P12" s="15" cm="1" t="str">
        <f t="array" ref="P12">IF(C12="","",IF(OR(O12="",O12=0),"-",O12))</f>
        <v>-</v>
      </c>
      <c r="Q12" s="16">
        <v>0</v>
      </c>
      <c r="R12" s="16" cm="1" t="str">
        <f t="array" ref="R12">IF(C12="","",ROUND(Q12/1000000,3)&amp;" M€")</f>
        <v>0 M€</v>
      </c>
      <c r="S12" s="12" t="s">
        <v>54</v>
      </c>
      <c r="T12" s="9" cm="1" t="str">
        <f t="array" ref="T12">IF(C12="","",SUBSTITUTE(S12,"","")&amp;"%")</f>
        <v>50%</v>
      </c>
      <c r="U12" s="14" cm="1" t="str">
        <f t="array" ref="U12">IF(($N12="")*($P12=""),"",IF(($N12&lt;&gt;"")*($N12&gt;TODAY()-9)*($N12&lt;TODAY()+1)*($P12&lt;&gt;"")*($P12&gt;=TODAY())*($P12&lt;=TODAY()+13),"Semaine passée &amp; à venir",IF(($N12&lt;&gt;"")*($N12&gt;TODAY()-9)*($N12&lt;TODAY()+1),"Semaine passée",IF(($P12&lt;&gt;"")*($P12&gt;=TODAY())*($P12&lt;=TODAY()+13),"À venir","Autre"))))</f>
        <v>Semaine passée</v>
      </c>
      <c r="V12" s="8" cm="1" t="n">
        <f t="array" ref="V12">IF(C12&lt;&gt;"",1,0)</f>
        <v>1</v>
      </c>
      <c r="W12" s="8">
</c>
      <c r="X12" s="8">
</c>
      <c r="Y12" s="8">
</c>
      <c r="Z12" s="8">
</c>
      <c r="AA12" s="8">
</c>
      <c r="AB12" s="8">
</c>
      <c r="AC12" s="8">
</c>
      <c r="AD12" s="8">
</c>
      <c r="AE12" s="8">
</c>
      <c r="AF12" s="8">
</c>
      <c r="AG12" s="8">
</c>
      <c r="AH12" s="8">
</c>
      <c r="AI12" s="8">
</c>
      <c r="AJ12" s="8">
</c>
      <c r="AK12" s="8">
</c>
    </row>
    <row r="13" ht="76.5" customHeight="1">
      <c r="A13" s="9" t="s">
        <v>23</v>
      </c>
      <c r="B13" s="9" t="s">
        <v>40</v>
      </c>
      <c r="C13" s="12" t="s">
        <v>70</v>
      </c>
      <c r="D13" s="12" t="s">
        <v>71</v>
      </c>
      <c r="E13" s="9" t="s">
        <v>43</v>
      </c>
      <c r="F13" s="8" t="s">
        <v>72</v>
      </c>
      <c r="G13" s="13" cm="1" t="str">
        <f t="array" ref="G13">IF(F13="","",SUBSTITUTE(SUBSTITUTE(SUBSTITUTE(SUBSTITUTE(F13,"&lt;li&gt;",CHAR(10)),"&lt;/li&gt;",""),"&lt;br&gt;",CHAR(10)),"&lt;strong&gt;",""))</f>
        <v>&lt;p&gt;Partenariat en cours avec Audacia pour fonds remploi. Intérêt fort confirmé le 05/02/2026, screening complet par le cabinet avant signature. Appel du 27/03 : message laissé pour avancement convention partenaires. Préparer conditions financières rémunération. Pas d'activité future planifiée.&lt;/p&gt;</v>
      </c>
      <c r="H13" s="13" cm="1" t="str">
        <f t="array" ref="H13">IF(G13="","",SUBSTITUTE(SUBSTITUTE(SUBSTITUTE(SUBSTITUTE(SUBSTITUTE(G13,"&lt;p&gt;",""),"&lt;/p&gt;",""),"&lt;ul&gt;",""),"&lt;/ul&gt;",""),"&lt;/strong&gt;",""))</f>
        <v>Partenariat en cours avec Audacia pour fonds remploi. Intérêt fort confirmé le 05/02/2026, screening complet par le cabinet avant signature. Appel du 27/03 : message laissé pour avancement convention partenaires. Préparer conditions financières rémunération. Pas d'activité future planifiée.</v>
      </c>
      <c r="I13" s="14" cm="1" t="str">
        <f t="array" ref="I13">IF(C13="","",IF(OR(H13="",H13=0,H13=FALSE),"-",H13))</f>
        <v>Partenariat en cours avec Audacia pour fonds remploi. Intérêt fort confirmé le 05/02/2026, screening complet par le cabinet avant signature. Appel du 27/03 : message laissé pour avancement convention partenaires. Préparer conditions financières rémunération. Pas d'activité future planifiée.</v>
      </c>
      <c r="J13" s="8">
</c>
      <c r="K13" s="8" t="s">
        <v>46</v>
      </c>
      <c r="L13" s="9" cm="1" t="str">
        <f t="array" ref="L13">IF(C13="","",IF(K13="Mort / Plus rien à faire","KO","OK"))</f>
        <v>OK</v>
      </c>
      <c r="M13" s="15">
        <v>46171.52780092593</v>
      </c>
      <c r="N13" s="15" cm="1" t="n">
        <f t="array" ref="N13">IF(OR(C13="",M13="",M13=0),"",M13)</f>
        <v>46171.52780092593</v>
      </c>
      <c r="O13" s="15">
</c>
      <c r="P13" s="15" cm="1" t="str">
        <f t="array" ref="P13">IF(C13="","",IF(OR(O13="",O13=0),"-",O13))</f>
        <v>-</v>
      </c>
      <c r="Q13" s="16">
        <v>0</v>
      </c>
      <c r="R13" s="16" cm="1" t="str">
        <f t="array" ref="R13">IF(C13="","",ROUND(Q13/1000000,3)&amp;" M€")</f>
        <v>0 M€</v>
      </c>
      <c r="S13" s="12" t="s">
        <v>54</v>
      </c>
      <c r="T13" s="9" cm="1" t="str">
        <f t="array" ref="T13">IF(C13="","",SUBSTITUTE(S13,"","")&amp;"%")</f>
        <v>50%</v>
      </c>
      <c r="U13" s="14" cm="1" t="str">
        <f t="array" ref="U13">IF(($N13="")*($P13=""),"",IF(($N13&lt;&gt;"")*($N13&gt;TODAY()-9)*($N13&lt;TODAY()+1)*($P13&lt;&gt;"")*($P13&gt;=TODAY())*($P13&lt;=TODAY()+13),"Semaine passée &amp; à venir",IF(($N13&lt;&gt;"")*($N13&gt;TODAY()-9)*($N13&lt;TODAY()+1),"Semaine passée",IF(($P13&lt;&gt;"")*($P13&gt;=TODAY())*($P13&lt;=TODAY()+13),"À venir","Autre"))))</f>
        <v>Semaine passée</v>
      </c>
      <c r="V13" s="8" cm="1" t="n">
        <f t="array" ref="V13">IF(C13&lt;&gt;"",1,0)</f>
        <v>1</v>
      </c>
      <c r="W13" s="8">
</c>
      <c r="X13" s="8">
</c>
      <c r="Y13" s="8">
</c>
      <c r="Z13" s="8">
</c>
      <c r="AA13" s="8">
</c>
      <c r="AB13" s="8">
</c>
      <c r="AC13" s="8">
</c>
      <c r="AD13" s="8">
</c>
      <c r="AE13" s="8">
</c>
      <c r="AF13" s="8">
</c>
      <c r="AG13" s="8">
</c>
      <c r="AH13" s="8">
</c>
      <c r="AI13" s="8">
</c>
      <c r="AJ13" s="8">
</c>
      <c r="AK13" s="8">
</c>
    </row>
    <row r="14" ht="76.5" customHeight="1">
      <c r="A14" s="9" t="s">
        <v>23</v>
      </c>
      <c r="B14" s="9">
</c>
      <c r="C14" s="12" t="s">
        <v>73</v>
      </c>
      <c r="D14" s="12" t="s">
        <v>74</v>
      </c>
      <c r="E14" s="9" t="s">
        <v>43</v>
      </c>
      <c r="F14" s="8" t="s">
        <v>75</v>
      </c>
      <c r="G14" s="13" cm="1" t="str">
        <f t="array" ref="G14">IF(F14="","",SUBSTITUTE(SUBSTITUTE(SUBSTITUTE(SUBSTITUTE(F14,"&lt;li&gt;",CHAR(10)),"&lt;/li&gt;",""),"&lt;br&gt;",CHAR(10)),"&lt;strong&gt;",""))</f>
        <v>&lt;p data-oe-version="2.0"&gt;Dernier échange : Voir fonction des appels de fonds de Straton,à recontacter après succession (activité du 01/06/2026). Prochaine étape : suivi à partir du 01/09/2026. Aucun élément sur contexte création piste ni avis prospect sur offres.&lt;/p&gt;</v>
      </c>
      <c r="H14" s="13" cm="1" t="str">
        <f t="array" ref="H14">IF(G14="","",SUBSTITUTE(SUBSTITUTE(SUBSTITUTE(SUBSTITUTE(SUBSTITUTE(G14,"&lt;p&gt;",""),"&lt;/p&gt;",""),"&lt;ul&gt;",""),"&lt;/ul&gt;",""),"&lt;/strong&gt;",""))</f>
        <v>&lt;p data-oe-version="2.0"&gt;Dernier échange : Voir fonction des appels de fonds de Straton,à recontacter après succession (activité du 01/06/2026). Prochaine étape : suivi à partir du 01/09/2026. Aucun élément sur contexte création piste ni avis prospect sur offres.</v>
      </c>
      <c r="I14" s="14" cm="1" t="str">
        <f t="array" ref="I14">IF(C14="","",IF(OR(H14="",H14=0,H14=FALSE),"-",H14))</f>
        <v>&lt;p data-oe-version="2.0"&gt;Dernier échange : Voir fonction des appels de fonds de Straton,à recontacter après succession (activité du 01/06/2026). Prochaine étape : suivi à partir du 01/09/2026. Aucun élément sur contexte création piste ni avis prospect sur offres.</v>
      </c>
      <c r="J14" s="8">
</c>
      <c r="K14" s="8" t="s">
        <v>46</v>
      </c>
      <c r="L14" s="9" cm="1" t="str">
        <f t="array" ref="L14">IF(C14="","",IF(K14="Mort / Plus rien à faire","KO","OK"))</f>
        <v>OK</v>
      </c>
      <c r="M14" s="15">
        <v>46175.50497685185</v>
      </c>
      <c r="N14" s="15" cm="1" t="n">
        <f t="array" ref="N14">IF(OR(C14="",M14="",M14=0),"",M14)</f>
        <v>46175.50497685185</v>
      </c>
      <c r="O14" s="15">
</c>
      <c r="P14" s="15" cm="1" t="str">
        <f t="array" ref="P14">IF(C14="","",IF(OR(O14="",O14=0),"-",O14))</f>
        <v>-</v>
      </c>
      <c r="Q14" s="16">
        <v>100000</v>
      </c>
      <c r="R14" s="16" cm="1" t="str">
        <f t="array" ref="R14">IF(C14="","",ROUND(Q14/1000000,3)&amp;" M€")</f>
        <v>0.1 M€</v>
      </c>
      <c r="S14" s="12" t="s">
        <v>54</v>
      </c>
      <c r="T14" s="9" cm="1" t="str">
        <f t="array" ref="T14">IF(C14="","",SUBSTITUTE(S14,"","")&amp;"%")</f>
        <v>50%</v>
      </c>
      <c r="U14" s="14" cm="1" t="str">
        <f t="array" ref="U14">IF(($N14="")*($P14=""),"",IF(($N14&lt;&gt;"")*($N14&gt;TODAY()-9)*($N14&lt;TODAY()+1)*($P14&lt;&gt;"")*($P14&gt;=TODAY())*($P14&lt;=TODAY()+13),"Semaine passée &amp; à venir",IF(($N14&lt;&gt;"")*($N14&gt;TODAY()-9)*($N14&lt;TODAY()+1),"Semaine passée",IF(($P14&lt;&gt;"")*($P14&gt;=TODAY())*($P14&lt;=TODAY()+13),"À venir","Autre"))))</f>
        <v>Semaine passée</v>
      </c>
      <c r="V14" s="8" cm="1" t="n">
        <f t="array" ref="V14">IF(C14&lt;&gt;"",1,0)</f>
        <v>1</v>
      </c>
      <c r="W14" s="8">
</c>
      <c r="X14" s="8">
</c>
      <c r="Y14" s="8">
</c>
      <c r="Z14" s="8">
</c>
      <c r="AA14" s="8">
</c>
      <c r="AB14" s="8">
</c>
      <c r="AC14" s="8">
</c>
      <c r="AD14" s="8">
</c>
      <c r="AE14" s="8">
</c>
      <c r="AF14" s="8">
</c>
      <c r="AG14" s="8">
</c>
      <c r="AH14" s="8">
</c>
      <c r="AI14" s="8">
</c>
      <c r="AJ14" s="8">
</c>
      <c r="AK14" s="8">
</c>
    </row>
    <row r="15" ht="76.5" customHeight="1">
      <c r="A15" s="9" t="s">
        <v>23</v>
      </c>
      <c r="B15" s="9" t="s">
        <v>76</v>
      </c>
      <c r="C15" s="12" t="s">
        <v>77</v>
      </c>
      <c r="D15" s="12" t="s">
        <v>77</v>
      </c>
      <c r="E15" s="9" t="s">
        <v>78</v>
      </c>
      <c r="F15" s="8" t="s">
        <v>79</v>
      </c>
      <c r="G15" s="13" cm="1" t="str">
        <f t="array" ref="G15">IF(F15="","",SUBSTITUTE(SUBSTITUTE(SUBSTITUTE(SUBSTITUTE(F15,"&lt;li&gt;",CHAR(10)),"&lt;/li&gt;",""),"&lt;br&gt;",CHAR(10)),"&lt;strong&gt;",""))</f>
        <v>&lt;p&gt;Piste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présentés.&lt;/p&gt;</v>
      </c>
      <c r="H15" s="13" cm="1" t="str">
        <f t="array" ref="H15">IF(G15="","",SUBSTITUTE(SUBSTITUTE(SUBSTITUTE(SUBSTITUTE(SUBSTITUTE(G15,"&lt;p&gt;",""),"&lt;/p&gt;",""),"&lt;ul&gt;",""),"&lt;/ul&gt;",""),"&lt;/strong&gt;",""))</f>
        <v>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v>
      </c>
      <c r="I15" s="14" cm="1" t="str">
        <f t="array" ref="I15">IF(C15="","",IF(OR(H15="",H15=0,H15=FALSE),"-",H15))</f>
        <v>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v>
      </c>
      <c r="J15" s="8">
</c>
      <c r="K15" s="8" t="s">
        <v>53</v>
      </c>
      <c r="L15" s="9" cm="1" t="str">
        <f t="array" ref="L15">IF(C15="","",IF(K15="Mort / Plus rien à faire","KO","OK"))</f>
        <v>OK</v>
      </c>
      <c r="M15" s="15">
        <v>46105.63811342593</v>
      </c>
      <c r="N15" s="15" cm="1" t="n">
        <f t="array" ref="N15">IF(OR(C15="",M15="",M15=0),"",M15)</f>
        <v>46105.63811342593</v>
      </c>
      <c r="O15" s="15">
</c>
      <c r="P15" s="15" cm="1" t="str">
        <f t="array" ref="P15">IF(C15="","",IF(OR(O15="",O15=0),"-",O15))</f>
        <v>-</v>
      </c>
      <c r="Q15" s="16">
        <v>0</v>
      </c>
      <c r="R15" s="16" cm="1" t="str">
        <f t="array" ref="R15">IF(C15="","",ROUND(Q15/1000000,3)&amp;" M€")</f>
        <v>0 M€</v>
      </c>
      <c r="S15" s="12" t="s">
        <v>54</v>
      </c>
      <c r="T15" s="9" cm="1" t="str">
        <f t="array" ref="T15">IF(C15="","",SUBSTITUTE(S15,"","")&amp;"%")</f>
        <v>50%</v>
      </c>
      <c r="U15" s="14" cm="1" t="str">
        <f t="array" ref="U15">IF(($N15="")*($P15=""),"",IF(($N15&lt;&gt;"")*($N15&gt;TODAY()-9)*($N15&lt;TODAY()+1)*($P15&lt;&gt;"")*($P15&gt;=TODAY())*($P15&lt;=TODAY()+13),"Semaine passée &amp; à venir",IF(($N15&lt;&gt;"")*($N15&gt;TODAY()-9)*($N15&lt;TODAY()+1),"Semaine passée",IF(($P15&lt;&gt;"")*($P15&gt;=TODAY())*($P15&lt;=TODAY()+13),"À venir","Autre"))))</f>
        <v>Autre</v>
      </c>
      <c r="V15" s="8" cm="1" t="n">
        <f t="array" ref="V15">IF(C15&lt;&gt;"",1,0)</f>
        <v>1</v>
      </c>
      <c r="W15" s="8">
</c>
      <c r="X15" s="8">
</c>
      <c r="Y15" s="8">
</c>
      <c r="Z15" s="8">
</c>
      <c r="AA15" s="8">
</c>
      <c r="AB15" s="8">
</c>
      <c r="AC15" s="8">
</c>
      <c r="AD15" s="8">
</c>
      <c r="AE15" s="8">
</c>
      <c r="AF15" s="8">
</c>
      <c r="AG15" s="8">
</c>
      <c r="AH15" s="8">
</c>
      <c r="AI15" s="8">
</c>
      <c r="AJ15" s="8">
</c>
      <c r="AK15" s="8">
</c>
    </row>
    <row r="16" ht="76.5" customHeight="1">
      <c r="A16" s="9" t="s">
        <v>23</v>
      </c>
      <c r="B16" s="9" t="s">
        <v>31</v>
      </c>
      <c r="C16" s="12" t="s">
        <v>32</v>
      </c>
      <c r="D16" s="12" t="s">
        <v>33</v>
      </c>
      <c r="E16" s="9" t="s">
        <v>27</v>
      </c>
      <c r="F16" s="8" t="s">
        <v>80</v>
      </c>
      <c r="G16" s="13" cm="1" t="str">
        <f t="array" ref="G16">IF(F16="","",SUBSTITUTE(SUBSTITUTE(SUBSTITUTE(SUBSTITUTE(F16,"&lt;li&gt;",CHAR(10)),"&lt;/li&gt;",""),"&lt;br&gt;",CHAR(10)),"&lt;strong&gt;",""))</f>
        <v>&lt;p&gt;Présence Eurosatory 01/06, aucun échange ou action détaillée récente, pas de compte-rendu ni retour prospect sur fonds présentés, aucune activité ou interaction supplémentaire relevée dans le suivi, aucune prochaine étape identifiée, pas de mention de comité ni de contexte de création de piste.&lt;/p&gt;</v>
      </c>
      <c r="H16" s="13" cm="1" t="str">
        <f t="array" ref="H16">IF(G16="","",SUBSTITUTE(SUBSTITUTE(SUBSTITUTE(SUBSTITUTE(SUBSTITUTE(G16,"&lt;p&gt;",""),"&lt;/p&gt;",""),"&lt;ul&gt;",""),"&lt;/ul&gt;",""),"&lt;/strong&gt;",""))</f>
        <v>Présence Eurosatory 01/06, aucun échange ou action détaillée récente, pas de compte-rendu ni retour prospect sur fonds présentés, aucune activité ou interaction supplémentaire relevée dans le suivi, aucune prochaine étape identifiée, pas de mention de comité ni de contexte de création de piste.</v>
      </c>
      <c r="I16" s="14" cm="1" t="str">
        <f t="array" ref="I16">IF(C16="","",IF(OR(H16="",H16=0,H16=FALSE),"-",H16))</f>
        <v>Présence Eurosatory 01/06, aucun échange ou action détaillée récente, pas de compte-rendu ni retour prospect sur fonds présentés, aucune activité ou interaction supplémentaire relevée dans le suivi, aucune prochaine étape identifiée, pas de mention de comité ni de contexte de création de piste.</v>
      </c>
      <c r="J16" s="8">
</c>
      <c r="K16" s="8" t="s">
        <v>46</v>
      </c>
      <c r="L16" s="9" cm="1" t="str">
        <f t="array" ref="L16">IF(C16="","",IF(K16="Mort / Plus rien à faire","KO","OK"))</f>
        <v>OK</v>
      </c>
      <c r="M16" s="15">
        <v>46174.52462962963</v>
      </c>
      <c r="N16" s="15" cm="1" t="n">
        <f t="array" ref="N16">IF(OR(C16="",M16="",M16=0),"",M16)</f>
        <v>46174.52462962963</v>
      </c>
      <c r="O16" s="15">
</c>
      <c r="P16" s="15" cm="1" t="str">
        <f t="array" ref="P16">IF(C16="","",IF(OR(O16="",O16=0),"-",O16))</f>
        <v>-</v>
      </c>
      <c r="Q16" s="16">
        <v>2000000</v>
      </c>
      <c r="R16" s="16" cm="1" t="str">
        <f t="array" ref="R16">IF(C16="","",ROUND(Q16/1000000,3)&amp;" M€")</f>
        <v>2 M€</v>
      </c>
      <c r="S16" s="12" t="s">
        <v>54</v>
      </c>
      <c r="T16" s="9" cm="1" t="str">
        <f t="array" ref="T16">IF(C16="","",SUBSTITUTE(S16,"","")&amp;"%")</f>
        <v>50%</v>
      </c>
      <c r="U16" s="14" cm="1" t="str">
        <f t="array" ref="U16">IF(($N16="")*($P16=""),"",IF(($N16&lt;&gt;"")*($N16&gt;TODAY()-9)*($N16&lt;TODAY()+1)*($P16&lt;&gt;"")*($P16&gt;=TODAY())*($P16&lt;=TODAY()+13),"Semaine passée &amp; à venir",IF(($N16&lt;&gt;"")*($N16&gt;TODAY()-9)*($N16&lt;TODAY()+1),"Semaine passée",IF(($P16&lt;&gt;"")*($P16&gt;=TODAY())*($P16&lt;=TODAY()+13),"À venir","Autre"))))</f>
        <v>Semaine passée</v>
      </c>
      <c r="V16" s="8" cm="1" t="n">
        <f t="array" ref="V16">IF(C16&lt;&gt;"",1,0)</f>
        <v>1</v>
      </c>
      <c r="W16" s="8">
</c>
      <c r="X16" s="8">
</c>
      <c r="Y16" s="8">
</c>
      <c r="Z16" s="8">
</c>
      <c r="AA16" s="8">
</c>
      <c r="AB16" s="8">
</c>
      <c r="AC16" s="8">
</c>
      <c r="AD16" s="8">
</c>
      <c r="AE16" s="8">
</c>
      <c r="AF16" s="8">
</c>
      <c r="AG16" s="8">
</c>
      <c r="AH16" s="8">
</c>
      <c r="AI16" s="8">
</c>
      <c r="AJ16" s="8">
</c>
      <c r="AK16" s="8">
</c>
    </row>
    <row r="17" ht="76.5" customHeight="1">
      <c r="A17" s="9" t="s">
        <v>23</v>
      </c>
      <c r="B17" s="9" t="s">
        <v>40</v>
      </c>
      <c r="C17" s="12" t="s">
        <v>81</v>
      </c>
      <c r="D17" s="12" t="s">
        <v>82</v>
      </c>
      <c r="E17" s="9" t="s">
        <v>78</v>
      </c>
      <c r="F17" s="8" t="s">
        <v>83</v>
      </c>
      <c r="G17" s="13" cm="1" t="str">
        <f t="array" ref="G17">IF(F17="","",SUBSTITUTE(SUBSTITUTE(SUBSTITUTE(SUBSTITUTE(F17,"&lt;li&gt;",CHAR(10)),"&lt;/li&gt;",""),"&lt;br&gt;",CHAR(10)),"&lt;strong&gt;",""))</f>
        <v>&lt;p&gt;Prospect intéressé, accord de principe pour investir, ticket envisagé entre 300Ke et 500Ke. Attente de confirmation définitive, réponse attendue le 5 juin 2026. Dernière interaction le 29/05. Prochaine étape : suivi de la réponse et finalisation de l'engagement.&lt;/p&gt;</v>
      </c>
      <c r="H17" s="13" cm="1" t="str">
        <f t="array" ref="H17">IF(G17="","",SUBSTITUTE(SUBSTITUTE(SUBSTITUTE(SUBSTITUTE(SUBSTITUTE(G17,"&lt;p&gt;",""),"&lt;/p&gt;",""),"&lt;ul&gt;",""),"&lt;/ul&gt;",""),"&lt;/strong&gt;",""))</f>
        <v>Prospect intéressé, accord de principe pour investir, ticket envisagé entre 300Ke et 500Ke. Attente de confirmation définitive, réponse attendue le 5 juin 2026. Dernière interaction le 29/05. Prochaine étape : suivi de la réponse et finalisation de l'engagement.</v>
      </c>
      <c r="I17" s="14" cm="1" t="str">
        <f t="array" ref="I17">IF(C17="","",IF(OR(H17="",H17=0,H17=FALSE),"-",H17))</f>
        <v>Prospect intéressé, accord de principe pour investir, ticket envisagé entre 300Ke et 500Ke. Attente de confirmation définitive, réponse attendue le 5 juin 2026. Dernière interaction le 29/05. Prochaine étape : suivi de la réponse et finalisation de l'engagement.</v>
      </c>
      <c r="J17" s="8" t="s">
        <v>84</v>
      </c>
      <c r="K17" s="8" t="s">
        <v>46</v>
      </c>
      <c r="L17" s="9" cm="1" t="str">
        <f t="array" ref="L17">IF(C17="","",IF(K17="Mort / Plus rien à faire","KO","OK"))</f>
        <v>OK</v>
      </c>
      <c r="M17" s="15">
        <v>46175.499814814815</v>
      </c>
      <c r="N17" s="15" cm="1" t="n">
        <f t="array" ref="N17">IF(OR(C17="",M17="",M17=0),"",M17)</f>
        <v>46175.499814814815</v>
      </c>
      <c r="O17" s="15">
</c>
      <c r="P17" s="15" cm="1" t="str">
        <f t="array" ref="P17">IF(C17="","",IF(OR(O17="",O17=0),"-",O17))</f>
        <v>-</v>
      </c>
      <c r="Q17" s="16">
        <v>300000</v>
      </c>
      <c r="R17" s="16" cm="1" t="str">
        <f t="array" ref="R17">IF(C17="","",ROUND(Q17/1000000,3)&amp;" M€")</f>
        <v>0.3 M€</v>
      </c>
      <c r="S17" s="12" t="s">
        <v>54</v>
      </c>
      <c r="T17" s="9" cm="1" t="str">
        <f t="array" ref="T17">IF(C17="","",SUBSTITUTE(S17,"","")&amp;"%")</f>
        <v>50%</v>
      </c>
      <c r="U17" s="14" cm="1" t="str">
        <f t="array" ref="U17">IF(($N17="")*($P17=""),"",IF(($N17&lt;&gt;"")*($N17&gt;TODAY()-9)*($N17&lt;TODAY()+1)*($P17&lt;&gt;"")*($P17&gt;=TODAY())*($P17&lt;=TODAY()+13),"Semaine passée &amp; à venir",IF(($N17&lt;&gt;"")*($N17&gt;TODAY()-9)*($N17&lt;TODAY()+1),"Semaine passée",IF(($P17&lt;&gt;"")*($P17&gt;=TODAY())*($P17&lt;=TODAY()+13),"À venir","Autre"))))</f>
        <v>Semaine passée</v>
      </c>
      <c r="V17" s="8" cm="1" t="n">
        <f t="array" ref="V17">IF(C17&lt;&gt;"",1,0)</f>
        <v>1</v>
      </c>
      <c r="W17" s="8">
</c>
      <c r="X17" s="8">
</c>
      <c r="Y17" s="8">
</c>
      <c r="Z17" s="8">
</c>
      <c r="AA17" s="8">
</c>
      <c r="AB17" s="8">
</c>
      <c r="AC17" s="8">
</c>
      <c r="AD17" s="8">
</c>
      <c r="AE17" s="8">
</c>
      <c r="AF17" s="8">
</c>
      <c r="AG17" s="8">
</c>
      <c r="AH17" s="8">
</c>
      <c r="AI17" s="8">
</c>
      <c r="AJ17" s="8">
</c>
      <c r="AK17" s="8">
</c>
    </row>
    <row r="18" ht="76.5" customHeight="1">
      <c r="A18" s="9" t="s">
        <v>23</v>
      </c>
      <c r="B18" s="9" t="s">
        <v>40</v>
      </c>
      <c r="C18" s="12" t="s">
        <v>85</v>
      </c>
      <c r="D18" s="12" t="s">
        <v>86</v>
      </c>
      <c r="E18" s="9" t="s">
        <v>43</v>
      </c>
      <c r="F18" s="8" t="s">
        <v>87</v>
      </c>
      <c r="G18" s="13" cm="1" t="str">
        <f t="array" ref="G18">IF(F18="","",SUBSTITUTE(SUBSTITUTE(SUBSTITUTE(SUBSTITUTE(F18,"&lt;li&gt;",CHAR(10)),"&lt;/li&gt;",""),"&lt;br&gt;",CHAR(10)),"&lt;strong&gt;",""))</f>
        <v>&lt;p&gt;Dorian confirme présence aux événements Audacia 15/17 juin. En attente dossier bancaire, déblocage fonds possible mi-juin. Suivi régulier par mail, échanges constructifs, pas d'objection majeure. Prochaine étape&amp;nbsp;: réception dossier bancaire, confirmation déblocage fonds.&lt;/p&gt;</v>
      </c>
      <c r="H18" s="13" cm="1" t="str">
        <f t="array" ref="H18">IF(G18="","",SUBSTITUTE(SUBSTITUTE(SUBSTITUTE(SUBSTITUTE(SUBSTITUTE(G18,"&lt;p&gt;",""),"&lt;/p&gt;",""),"&lt;ul&gt;",""),"&lt;/ul&gt;",""),"&lt;/strong&gt;",""))</f>
        <v>Dorian confirme présence aux événements Audacia 15/17 juin. En attente dossier bancaire, déblocage fonds possible mi-juin. Suivi régulier par mail, échanges constructifs, pas d'objection majeure. Prochaine étape&amp;nbsp;: réception dossier bancaire, confirmation déblocage fonds.</v>
      </c>
      <c r="I18" s="14" cm="1" t="str">
        <f t="array" ref="I18">IF(C18="","",IF(OR(H18="",H18=0,H18=FALSE),"-",H18))</f>
        <v>Dorian confirme présence aux événements Audacia 15/17 juin. En attente dossier bancaire, déblocage fonds possible mi-juin. Suivi régulier par mail, échanges constructifs, pas d'objection majeure. Prochaine étape&amp;nbsp;: réception dossier bancaire, confirmation déblocage fonds.</v>
      </c>
      <c r="J18" s="8">
</c>
      <c r="K18" s="8" t="s">
        <v>46</v>
      </c>
      <c r="L18" s="9" cm="1" t="str">
        <f t="array" ref="L18">IF(C18="","",IF(K18="Mort / Plus rien à faire","KO","OK"))</f>
        <v>OK</v>
      </c>
      <c r="M18" s="15">
        <v>46174.61813657408</v>
      </c>
      <c r="N18" s="15" cm="1" t="n">
        <f t="array" ref="N18">IF(OR(C18="",M18="",M18=0),"",M18)</f>
        <v>46174.61813657408</v>
      </c>
      <c r="O18" s="15">
</c>
      <c r="P18" s="15" cm="1" t="str">
        <f t="array" ref="P18">IF(C18="","",IF(OR(O18="",O18=0),"-",O18))</f>
        <v>-</v>
      </c>
      <c r="Q18" s="16">
        <v>500000</v>
      </c>
      <c r="R18" s="16" cm="1" t="str">
        <f t="array" ref="R18">IF(C18="","",ROUND(Q18/1000000,3)&amp;" M€")</f>
        <v>0.5 M€</v>
      </c>
      <c r="S18" s="12" t="s">
        <v>54</v>
      </c>
      <c r="T18" s="9" cm="1" t="str">
        <f t="array" ref="T18">IF(C18="","",SUBSTITUTE(S18,"","")&amp;"%")</f>
        <v>50%</v>
      </c>
      <c r="U18" s="14" cm="1" t="str">
        <f t="array" ref="U18">IF(($N18="")*($P18=""),"",IF(($N18&lt;&gt;"")*($N18&gt;TODAY()-9)*($N18&lt;TODAY()+1)*($P18&lt;&gt;"")*($P18&gt;=TODAY())*($P18&lt;=TODAY()+13),"Semaine passée &amp; à venir",IF(($N18&lt;&gt;"")*($N18&gt;TODAY()-9)*($N18&lt;TODAY()+1),"Semaine passée",IF(($P18&lt;&gt;"")*($P18&gt;=TODAY())*($P18&lt;=TODAY()+13),"À venir","Autre"))))</f>
        <v>Semaine passée</v>
      </c>
      <c r="V18" s="8" cm="1" t="n">
        <f t="array" ref="V18">IF(C18&lt;&gt;"",1,0)</f>
        <v>1</v>
      </c>
      <c r="W18" s="8">
</c>
      <c r="X18" s="8">
</c>
      <c r="Y18" s="8">
</c>
      <c r="Z18" s="8">
</c>
      <c r="AA18" s="8">
</c>
      <c r="AB18" s="8">
</c>
      <c r="AC18" s="8">
</c>
      <c r="AD18" s="8">
</c>
      <c r="AE18" s="8">
</c>
      <c r="AF18" s="8">
</c>
      <c r="AG18" s="8">
</c>
      <c r="AH18" s="8">
</c>
      <c r="AI18" s="8">
</c>
      <c r="AJ18" s="8">
</c>
      <c r="AK18" s="8">
</c>
    </row>
    <row r="19" ht="76.5" customHeight="1">
      <c r="A19" s="9" t="s">
        <v>23</v>
      </c>
      <c r="B19" s="9" t="s">
        <v>76</v>
      </c>
      <c r="C19" s="12" t="s">
        <v>88</v>
      </c>
      <c r="D19" s="12" t="s">
        <v>89</v>
      </c>
      <c r="E19" s="9" t="s">
        <v>43</v>
      </c>
      <c r="F19" s="8" t="s">
        <v>90</v>
      </c>
      <c r="G19" s="13" cm="1" t="str">
        <f t="array" ref="G19">IF(F19="","",SUBSTITUTE(SUBSTITUTE(SUBSTITUTE(SUBSTITUTE(F19,"&lt;li&gt;",CHAR(10)),"&lt;/li&gt;",""),"&lt;br&gt;",CHAR(10)),"&lt;strong&gt;",""))</f>
        <v>&lt;p&gt;Visio 18/05 : présentation fonds défense Audacia, prospect très intéressé, ticket envisagé 250-300K. 29/05 : échange, possible augmentation du ticket, intérêt pour le spatial, BS à préremplir début juin, signature possible 4/06. Montant à confirmer. Pas d'autres actions prévues.&lt;/p&gt;</v>
      </c>
      <c r="H19" s="13" cm="1" t="str">
        <f t="array" ref="H19">IF(G19="","",SUBSTITUTE(SUBSTITUTE(SUBSTITUTE(SUBSTITUTE(SUBSTITUTE(G19,"&lt;p&gt;",""),"&lt;/p&gt;",""),"&lt;ul&gt;",""),"&lt;/ul&gt;",""),"&lt;/strong&gt;",""))</f>
        <v>Visio 18/05 : présentation fonds défense Audacia, prospect très intéressé, ticket envisagé 250-300K. 29/05 : échange, possible augmentation du ticket, intérêt pour le spatial, BS à préremplir début juin, signature possible 4/06. Montant à confirmer. Pas d'autres actions prévues.</v>
      </c>
      <c r="I19" s="14" cm="1" t="str">
        <f t="array" ref="I19">IF(C19="","",IF(OR(H19="",H19=0,H19=FALSE),"-",H19))</f>
        <v>Visio 18/05 : présentation fonds défense Audacia, prospect très intéressé, ticket envisagé 250-300K. 29/05 : échange, possible augmentation du ticket, intérêt pour le spatial, BS à préremplir début juin, signature possible 4/06. Montant à confirmer. Pas d'autres actions prévues.</v>
      </c>
      <c r="J19" s="8">
</c>
      <c r="K19" s="8" t="s">
        <v>46</v>
      </c>
      <c r="L19" s="9" cm="1" t="str">
        <f t="array" ref="L19">IF(C19="","",IF(K19="Mort / Plus rien à faire","KO","OK"))</f>
        <v>OK</v>
      </c>
      <c r="M19" s="15">
        <v>46171.71659722222</v>
      </c>
      <c r="N19" s="15" cm="1" t="n">
        <f t="array" ref="N19">IF(OR(C19="",M19="",M19=0),"",M19)</f>
        <v>46171.71659722222</v>
      </c>
      <c r="O19" s="15">
</c>
      <c r="P19" s="15" cm="1" t="str">
        <f t="array" ref="P19">IF(C19="","",IF(OR(O19="",O19=0),"-",O19))</f>
        <v>-</v>
      </c>
      <c r="Q19" s="16">
        <v>300000</v>
      </c>
      <c r="R19" s="16" cm="1" t="str">
        <f t="array" ref="R19">IF(C19="","",ROUND(Q19/1000000,3)&amp;" M€")</f>
        <v>0.3 M€</v>
      </c>
      <c r="S19" s="12" t="s">
        <v>54</v>
      </c>
      <c r="T19" s="9" cm="1" t="str">
        <f t="array" ref="T19">IF(C19="","",SUBSTITUTE(S19,"","")&amp;"%")</f>
        <v>50%</v>
      </c>
      <c r="U19" s="14" cm="1" t="str">
        <f t="array" ref="U19">IF(($N19="")*($P19=""),"",IF(($N19&lt;&gt;"")*($N19&gt;TODAY()-9)*($N19&lt;TODAY()+1)*($P19&lt;&gt;"")*($P19&gt;=TODAY())*($P19&lt;=TODAY()+13),"Semaine passée &amp; à venir",IF(($N19&lt;&gt;"")*($N19&gt;TODAY()-9)*($N19&lt;TODAY()+1),"Semaine passée",IF(($P19&lt;&gt;"")*($P19&gt;=TODAY())*($P19&lt;=TODAY()+13),"À venir","Autre"))))</f>
        <v>Semaine passée</v>
      </c>
      <c r="V19" s="8" cm="1" t="n">
        <f t="array" ref="V19">IF(C19&lt;&gt;"",1,0)</f>
        <v>1</v>
      </c>
      <c r="W19" s="8">
</c>
      <c r="X19" s="8">
</c>
      <c r="Y19" s="8">
</c>
      <c r="Z19" s="8">
</c>
      <c r="AA19" s="8">
</c>
      <c r="AB19" s="8">
</c>
      <c r="AC19" s="8">
</c>
      <c r="AD19" s="8">
</c>
      <c r="AE19" s="8">
</c>
      <c r="AF19" s="8">
</c>
      <c r="AG19" s="8">
</c>
      <c r="AH19" s="8">
</c>
      <c r="AI19" s="8">
</c>
      <c r="AJ19" s="8">
</c>
      <c r="AK19" s="8">
</c>
    </row>
    <row r="20" ht="76.5" customHeight="1">
      <c r="A20" s="9" t="s">
        <v>23</v>
      </c>
      <c r="B20" s="9" t="s">
        <v>24</v>
      </c>
      <c r="C20" s="12" t="s">
        <v>91</v>
      </c>
      <c r="D20" s="12" t="s">
        <v>92</v>
      </c>
      <c r="E20" s="9" t="s">
        <v>27</v>
      </c>
      <c r="F20" s="8" t="s">
        <v>93</v>
      </c>
      <c r="G20" s="13" cm="1" t="str">
        <f t="array" ref="G20">IF(F20="","",SUBSTITUTE(SUBSTITUTE(SUBSTITUTE(SUBSTITUTE(F20,"&lt;li&gt;",CHAR(10)),"&lt;/li&gt;",""),"&lt;br&gt;",CHAR(10)),"&lt;strong&gt;",""))</f>
        <v>&lt;p&gt;Rdv physique 4 mars avec Emmanuelle Cales : point sur STRATON, besoin de temps, nettoyage AGPM lancé, vente actions cotées Klesia. Marché interrogé, prospects prudents, pas de décision immédiate. Prochain rdv prévu 9 juin. Suivi à maintenir, attente retour prospects sur fonds présentés.&lt;/p&gt;</v>
      </c>
      <c r="H20" s="13" cm="1" t="str">
        <f t="array" ref="H20">IF(G20="","",SUBSTITUTE(SUBSTITUTE(SUBSTITUTE(SUBSTITUTE(SUBSTITUTE(G20,"&lt;p&gt;",""),"&lt;/p&gt;",""),"&lt;ul&gt;",""),"&lt;/ul&gt;",""),"&lt;/strong&gt;",""))</f>
        <v>Rdv physique 4 mars avec Emmanuelle Cales : point sur STRATON, besoin de temps, nettoyage AGPM lancé, vente actions cotées Klesia. Marché interrogé, prospects prudents, pas de décision immédiate. Prochain rdv prévu 9 juin. Suivi à maintenir, attente retour prospects sur fonds présentés.</v>
      </c>
      <c r="I20" s="14" cm="1" t="str">
        <f t="array" ref="I20">IF(C20="","",IF(OR(H20="",H20=0,H20=FALSE),"-",H20))</f>
        <v>Rdv physique 4 mars avec Emmanuelle Cales : point sur STRATON, besoin de temps, nettoyage AGPM lancé, vente actions cotées Klesia. Marché interrogé, prospects prudents, pas de décision immédiate. Prochain rdv prévu 9 juin. Suivi à maintenir, attente retour prospects sur fonds présentés.</v>
      </c>
      <c r="J20" s="8" t="s">
        <v>94</v>
      </c>
      <c r="K20" s="8" t="s">
        <v>46</v>
      </c>
      <c r="L20" s="9" cm="1" t="str">
        <f t="array" ref="L20">IF(C20="","",IF(K20="Mort / Plus rien à faire","KO","OK"))</f>
        <v>OK</v>
      </c>
      <c r="M20" s="15">
        <v>46176.68050925926</v>
      </c>
      <c r="N20" s="15" cm="1" t="n">
        <f t="array" ref="N20">IF(OR(C20="",M20="",M20=0),"",M20)</f>
        <v>46176.68050925926</v>
      </c>
      <c r="O20" s="15">
        <v>46182.083333333336</v>
      </c>
      <c r="P20" s="15" cm="1" t="n">
        <f t="array" ref="P20">IF(C20="","",IF(OR(O20="",O20=0),"-",O20))</f>
        <v>46182.083333333336</v>
      </c>
      <c r="Q20" s="16">
        <v>5000000</v>
      </c>
      <c r="R20" s="16" cm="1" t="str">
        <f t="array" ref="R20">IF(C20="","",ROUND(Q20/1000000,3)&amp;" M€")</f>
        <v>5 M€</v>
      </c>
      <c r="S20" s="12" t="s">
        <v>54</v>
      </c>
      <c r="T20" s="9" cm="1" t="str">
        <f t="array" ref="T20">IF(C20="","",SUBSTITUTE(S20,"","")&amp;"%")</f>
        <v>50%</v>
      </c>
      <c r="U20" s="14" cm="1" t="str">
        <f t="array" ref="U20">IF(($N20="")*($P20=""),"",IF(($N20&lt;&gt;"")*($N20&gt;TODAY()-9)*($N20&lt;TODAY()+1)*($P20&lt;&gt;"")*($P20&gt;=TODAY())*($P20&lt;=TODAY()+13),"Semaine passée &amp; à venir",IF(($N20&lt;&gt;"")*($N20&gt;TODAY()-9)*($N20&lt;TODAY()+1),"Semaine passée",IF(($P20&lt;&gt;"")*($P20&gt;=TODAY())*($P20&lt;=TODAY()+13),"À venir","Autre"))))</f>
        <v>Semaine passée &amp; à venir</v>
      </c>
      <c r="V20" s="8" cm="1" t="n">
        <f t="array" ref="V20">IF(C20&lt;&gt;"",1,0)</f>
        <v>1</v>
      </c>
      <c r="W20" s="8">
</c>
      <c r="X20" s="8">
</c>
      <c r="Y20" s="8">
</c>
      <c r="Z20" s="8">
</c>
      <c r="AA20" s="8">
</c>
      <c r="AB20" s="8">
</c>
      <c r="AC20" s="8">
</c>
      <c r="AD20" s="8">
</c>
      <c r="AE20" s="8">
</c>
      <c r="AF20" s="8">
</c>
      <c r="AG20" s="8">
</c>
      <c r="AH20" s="8">
</c>
      <c r="AI20" s="8">
</c>
      <c r="AJ20" s="8">
</c>
      <c r="AK20" s="8">
</c>
    </row>
    <row r="21" ht="76.5" customHeight="1">
      <c r="A21" s="9" t="s">
        <v>23</v>
      </c>
      <c r="B21" s="9" t="s">
        <v>63</v>
      </c>
      <c r="C21" s="12" t="s">
        <v>95</v>
      </c>
      <c r="D21" s="12" t="s">
        <v>96</v>
      </c>
      <c r="E21" s="9" t="s">
        <v>27</v>
      </c>
      <c r="F21" s="8" t="s">
        <v>97</v>
      </c>
      <c r="G21" s="13" cm="1" t="str">
        <f t="array" ref="G21">IF(F21="","",SUBSTITUTE(SUBSTITUTE(SUBSTITUTE(SUBSTITUTE(F21,"&lt;li&gt;",CHAR(10)),"&lt;/li&gt;",""),"&lt;br&gt;",CHAR(10)),"&lt;strong&gt;",""))</f>
        <v>&lt;p&gt;Due diligence ouverte, échanges réguliers, rdv calé pour 28 mai. Discussions actives sur fonds présentés, retours positifs mais attente de précisions complémentaires. Prochaines étapes : finalisation due diligence, suivi post-rdv, collecte documents manquants, relance prévue si besoin.&lt;/p&gt;</v>
      </c>
      <c r="H21" s="13" cm="1" t="str">
        <f t="array" ref="H21">IF(G21="","",SUBSTITUTE(SUBSTITUTE(SUBSTITUTE(SUBSTITUTE(SUBSTITUTE(G21,"&lt;p&gt;",""),"&lt;/p&gt;",""),"&lt;ul&gt;",""),"&lt;/ul&gt;",""),"&lt;/strong&gt;",""))</f>
        <v>Due diligence ouverte, échanges réguliers, rdv calé pour 28 mai. Discussions actives sur fonds présentés, retours positifs mais attente de précisions complémentaires. Prochaines étapes : finalisation due diligence, suivi post-rdv, collecte documents manquants, relance prévue si besoin.</v>
      </c>
      <c r="I21" s="14" cm="1" t="str">
        <f t="array" ref="I21">IF(C21="","",IF(OR(H21="",H21=0,H21=FALSE),"-",H21))</f>
        <v>Due diligence ouverte, échanges réguliers, rdv calé pour 28 mai. Discussions actives sur fonds présentés, retours positifs mais attente de précisions complémentaires. Prochaines étapes : finalisation due diligence, suivi post-rdv, collecte documents manquants, relance prévue si besoin.</v>
      </c>
      <c r="J21" s="8" t="s">
        <v>98</v>
      </c>
      <c r="K21" s="8" t="s">
        <v>46</v>
      </c>
      <c r="L21" s="9" cm="1" t="str">
        <f t="array" ref="L21">IF(C21="","",IF(K21="Mort / Plus rien à faire","KO","OK"))</f>
        <v>OK</v>
      </c>
      <c r="M21" s="15">
        <v>46177.45496527778</v>
      </c>
      <c r="N21" s="15" cm="1" t="n">
        <f t="array" ref="N21">IF(OR(C21="",M21="",M21=0),"",M21)</f>
        <v>46177.45496527778</v>
      </c>
      <c r="O21" s="15">
</c>
      <c r="P21" s="15" cm="1" t="str">
        <f t="array" ref="P21">IF(C21="","",IF(OR(O21="",O21=0),"-",O21))</f>
        <v>-</v>
      </c>
      <c r="Q21" s="16">
        <v>0</v>
      </c>
      <c r="R21" s="16" cm="1" t="str">
        <f t="array" ref="R21">IF(C21="","",ROUND(Q21/1000000,3)&amp;" M€")</f>
        <v>0 M€</v>
      </c>
      <c r="S21" s="12" t="s">
        <v>54</v>
      </c>
      <c r="T21" s="9" cm="1" t="str">
        <f t="array" ref="T21">IF(C21="","",SUBSTITUTE(S21,"","")&amp;"%")</f>
        <v>50%</v>
      </c>
      <c r="U21" s="14" cm="1" t="str">
        <f t="array" ref="U21">IF(($N21="")*($P21=""),"",IF(($N21&lt;&gt;"")*($N21&gt;TODAY()-9)*($N21&lt;TODAY()+1)*($P21&lt;&gt;"")*($P21&gt;=TODAY())*($P21&lt;=TODAY()+13),"Semaine passée &amp; à venir",IF(($N21&lt;&gt;"")*($N21&gt;TODAY()-9)*($N21&lt;TODAY()+1),"Semaine passée",IF(($P21&lt;&gt;"")*($P21&gt;=TODAY())*($P21&lt;=TODAY()+13),"À venir","Autre"))))</f>
        <v>Semaine passée</v>
      </c>
      <c r="V21" s="8" cm="1" t="n">
        <f t="array" ref="V21">IF(C21&lt;&gt;"",1,0)</f>
        <v>1</v>
      </c>
      <c r="W21" s="8">
</c>
      <c r="X21" s="8">
</c>
      <c r="Y21" s="8">
</c>
      <c r="Z21" s="8">
</c>
      <c r="AA21" s="8">
</c>
      <c r="AB21" s="8">
</c>
      <c r="AC21" s="8">
</c>
      <c r="AD21" s="8">
</c>
      <c r="AE21" s="8">
</c>
      <c r="AF21" s="8">
</c>
      <c r="AG21" s="8">
</c>
      <c r="AH21" s="8">
</c>
      <c r="AI21" s="8">
</c>
      <c r="AJ21" s="8">
</c>
      <c r="AK21" s="8">
</c>
    </row>
    <row r="22" ht="76.5" customHeight="1">
      <c r="A22" s="9" t="s">
        <v>23</v>
      </c>
      <c r="B22" s="9" t="s">
        <v>40</v>
      </c>
      <c r="C22" s="12" t="s">
        <v>99</v>
      </c>
      <c r="D22" s="12" t="s">
        <v>100</v>
      </c>
      <c r="E22" s="9" t="s">
        <v>43</v>
      </c>
      <c r="F22" s="8" t="s">
        <v>101</v>
      </c>
      <c r="G22" s="13" cm="1" t="str">
        <f t="array" ref="G22">IF(F22="","",SUBSTITUTE(SUBSTITUTE(SUBSTITUTE(SUBSTITUTE(F22,"&lt;li&gt;",CHAR(10)),"&lt;/li&gt;",""),"&lt;br&gt;",CHAR(10)),"&lt;strong&gt;",""))</f>
        <v>&lt;p&gt;Docs envoyés fin avril, relance téléphonique effectuée le 29/05, toujours en attente de retour du prospect. Pas de feedback explicite sur les fonds présentés. Prochaine étape : nouvelle relance à prévoir si pas de réponse. Aucun autre échange ou action significative notée à ce jour.&lt;/p&gt;</v>
      </c>
      <c r="H22" s="13" cm="1" t="str">
        <f t="array" ref="H22">IF(G22="","",SUBSTITUTE(SUBSTITUTE(SUBSTITUTE(SUBSTITUTE(SUBSTITUTE(G22,"&lt;p&gt;",""),"&lt;/p&gt;",""),"&lt;ul&gt;",""),"&lt;/ul&gt;",""),"&lt;/strong&gt;",""))</f>
        <v>Docs envoyés fin avril, relance téléphonique effectuée le 29/05, toujours en attente de retour du prospect. Pas de feedback explicite sur les fonds présentés. Prochaine étape : nouvelle relance à prévoir si pas de réponse. Aucun autre échange ou action significative notée à ce jour.</v>
      </c>
      <c r="I22" s="14" cm="1" t="str">
        <f t="array" ref="I22">IF(C22="","",IF(OR(H22="",H22=0,H22=FALSE),"-",H22))</f>
        <v>Docs envoyés fin avril, relance téléphonique effectuée le 29/05, toujours en attente de retour du prospect. Pas de feedback explicite sur les fonds présentés. Prochaine étape : nouvelle relance à prévoir si pas de réponse. Aucun autre échange ou action significative notée à ce jour.</v>
      </c>
      <c r="J22" s="8">
</c>
      <c r="K22" s="8" t="s">
        <v>53</v>
      </c>
      <c r="L22" s="9" cm="1" t="str">
        <f t="array" ref="L22">IF(C22="","",IF(K22="Mort / Plus rien à faire","KO","OK"))</f>
        <v>OK</v>
      </c>
      <c r="M22" s="15">
        <v>46171.715208333335</v>
      </c>
      <c r="N22" s="15" cm="1" t="n">
        <f t="array" ref="N22">IF(OR(C22="",M22="",M22=0),"",M22)</f>
        <v>46171.715208333335</v>
      </c>
      <c r="O22" s="15">
</c>
      <c r="P22" s="15" cm="1" t="str">
        <f t="array" ref="P22">IF(C22="","",IF(OR(O22="",O22=0),"-",O22))</f>
        <v>-</v>
      </c>
      <c r="Q22" s="16">
        <v>100000</v>
      </c>
      <c r="R22" s="16" cm="1" t="str">
        <f t="array" ref="R22">IF(C22="","",ROUND(Q22/1000000,3)&amp;" M€")</f>
        <v>0.1 M€</v>
      </c>
      <c r="S22" s="12" t="s">
        <v>102</v>
      </c>
      <c r="T22" s="9" cm="1" t="str">
        <f t="array" ref="T22">IF(C22="","",SUBSTITUTE(S22,"","")&amp;"%")</f>
        <v>30%</v>
      </c>
      <c r="U22" s="14" cm="1" t="str">
        <f t="array" ref="U22">IF(($N22="")*($P22=""),"",IF(($N22&lt;&gt;"")*($N22&gt;TODAY()-9)*($N22&lt;TODAY()+1)*($P22&lt;&gt;"")*($P22&gt;=TODAY())*($P22&lt;=TODAY()+13),"Semaine passée &amp; à venir",IF(($N22&lt;&gt;"")*($N22&gt;TODAY()-9)*($N22&lt;TODAY()+1),"Semaine passée",IF(($P22&lt;&gt;"")*($P22&gt;=TODAY())*($P22&lt;=TODAY()+13),"À venir","Autre"))))</f>
        <v>Semaine passée</v>
      </c>
      <c r="V22" s="8" cm="1" t="n">
        <f t="array" ref="V22">IF(C22&lt;&gt;"",1,0)</f>
        <v>1</v>
      </c>
      <c r="W22" s="8">
</c>
      <c r="X22" s="8">
</c>
      <c r="Y22" s="8">
</c>
      <c r="Z22" s="8">
</c>
      <c r="AA22" s="8">
</c>
      <c r="AB22" s="8">
</c>
      <c r="AC22" s="8">
</c>
      <c r="AD22" s="8">
</c>
      <c r="AE22" s="8">
</c>
      <c r="AF22" s="8">
</c>
      <c r="AG22" s="8">
</c>
      <c r="AH22" s="8">
</c>
      <c r="AI22" s="8">
</c>
      <c r="AJ22" s="8">
</c>
      <c r="AK22" s="8">
</c>
    </row>
    <row r="23" ht="76.5" customHeight="1">
      <c r="A23" s="9" t="s">
        <v>23</v>
      </c>
      <c r="B23" s="9" t="s">
        <v>40</v>
      </c>
      <c r="C23" s="12" t="s">
        <v>103</v>
      </c>
      <c r="D23" s="12" t="s">
        <v>104</v>
      </c>
      <c r="E23" s="9" t="s">
        <v>51</v>
      </c>
      <c r="F23" s="8" t="s">
        <v>105</v>
      </c>
      <c r="G23" s="13" cm="1" t="str">
        <f t="array" ref="G23">IF(F23="","",SUBSTITUTE(SUBSTITUTE(SUBSTITUTE(SUBSTITUTE(F23,"&lt;li&gt;",CHAR(10)),"&lt;/li&gt;",""),"&lt;br&gt;",CHAR(10)),"&lt;strong&gt;",""))</f>
        <v>&lt;p&gt;Visio 16/12/25 présentation Audacia, demande infos sur Géodésic/fonds Défense. Plusieurs relances pour organiser RDV avec Benjamin, pas de réponse, relance mail 04/05/26 pour proposer présentation à tous les CGP Emeraude Capital. Prochaine étape : organiser réunion groupe, relancer Benjamin.&lt;/p&gt;</v>
      </c>
      <c r="H23" s="13" cm="1" t="str">
        <f t="array" ref="H23">IF(G23="","",SUBSTITUTE(SUBSTITUTE(SUBSTITUTE(SUBSTITUTE(SUBSTITUTE(G23,"&lt;p&gt;",""),"&lt;/p&gt;",""),"&lt;ul&gt;",""),"&lt;/ul&gt;",""),"&lt;/strong&gt;",""))</f>
        <v>Visio 16/12/25 présentation Audacia, demande infos sur Géodésic/fonds Défense. Plusieurs relances pour organiser RDV avec Benjamin, pas de réponse, relance mail 04/05/26 pour proposer présentation à tous les CGP Emeraude Capital. Prochaine étape : organiser réunion groupe, relancer Benjamin.</v>
      </c>
      <c r="I23" s="14" cm="1" t="str">
        <f t="array" ref="I23">IF(C23="","",IF(OR(H23="",H23=0,H23=FALSE),"-",H23))</f>
        <v>Visio 16/12/25 présentation Audacia, demande infos sur Géodésic/fonds Défense. Plusieurs relances pour organiser RDV avec Benjamin, pas de réponse, relance mail 04/05/26 pour proposer présentation à tous les CGP Emeraude Capital. Prochaine étape : organiser réunion groupe, relancer Benjamin.</v>
      </c>
      <c r="J23" s="8">
</c>
      <c r="K23" s="8" t="s">
        <v>106</v>
      </c>
      <c r="L23" s="9" cm="1" t="str">
        <f t="array" ref="L23">IF(C23="","",IF(K23="Mort / Plus rien à faire","KO","OK"))</f>
        <v>OK</v>
      </c>
      <c r="M23" s="15">
        <v>46146.70390046296</v>
      </c>
      <c r="N23" s="15" cm="1" t="n">
        <f t="array" ref="N23">IF(OR(C23="",M23="",M23=0),"",M23)</f>
        <v>46146.70390046296</v>
      </c>
      <c r="O23" s="15">
</c>
      <c r="P23" s="15" cm="1" t="str">
        <f t="array" ref="P23">IF(C23="","",IF(OR(O23="",O23=0),"-",O23))</f>
        <v>-</v>
      </c>
      <c r="Q23" s="16">
        <v>0</v>
      </c>
      <c r="R23" s="16" cm="1" t="str">
        <f t="array" ref="R23">IF(C23="","",ROUND(Q23/1000000,3)&amp;" M€")</f>
        <v>0 M€</v>
      </c>
      <c r="S23" s="12" t="s">
        <v>102</v>
      </c>
      <c r="T23" s="9" cm="1" t="str">
        <f t="array" ref="T23">IF(C23="","",SUBSTITUTE(S23,"","")&amp;"%")</f>
        <v>30%</v>
      </c>
      <c r="U23" s="14" cm="1" t="str">
        <f t="array" ref="U23">IF(($N23="")*($P23=""),"",IF(($N23&lt;&gt;"")*($N23&gt;TODAY()-9)*($N23&lt;TODAY()+1)*($P23&lt;&gt;"")*($P23&gt;=TODAY())*($P23&lt;=TODAY()+13),"Semaine passée &amp; à venir",IF(($N23&lt;&gt;"")*($N23&gt;TODAY()-9)*($N23&lt;TODAY()+1),"Semaine passée",IF(($P23&lt;&gt;"")*($P23&gt;=TODAY())*($P23&lt;=TODAY()+13),"À venir","Autre"))))</f>
        <v>Autre</v>
      </c>
      <c r="V23" s="8" cm="1" t="n">
        <f t="array" ref="V23">IF(C23&lt;&gt;"",1,0)</f>
        <v>1</v>
      </c>
      <c r="W23" s="8">
</c>
      <c r="X23" s="8">
</c>
      <c r="Y23" s="8">
</c>
      <c r="Z23" s="8">
</c>
      <c r="AA23" s="8">
</c>
      <c r="AB23" s="8">
</c>
      <c r="AC23" s="8">
</c>
      <c r="AD23" s="8">
</c>
      <c r="AE23" s="8">
</c>
      <c r="AF23" s="8">
</c>
      <c r="AG23" s="8">
</c>
      <c r="AH23" s="8">
</c>
      <c r="AI23" s="8">
</c>
      <c r="AJ23" s="8">
</c>
      <c r="AK23" s="8">
</c>
    </row>
    <row r="24" ht="76.5" customHeight="1">
      <c r="A24" s="9" t="s">
        <v>23</v>
      </c>
      <c r="B24" s="9" t="s">
        <v>24</v>
      </c>
      <c r="C24" s="12" t="s">
        <v>107</v>
      </c>
      <c r="D24" s="12" t="s">
        <v>108</v>
      </c>
      <c r="E24" s="9" t="s">
        <v>27</v>
      </c>
      <c r="F24" s="8" t="s">
        <v>109</v>
      </c>
      <c r="G24" s="13" cm="1" t="str">
        <f t="array" ref="G24">IF(F24="","",SUBSTITUTE(SUBSTITUTE(SUBSTITUTE(SUBSTITUTE(F24,"&lt;li&gt;",CHAR(10)),"&lt;/li&gt;",""),"&lt;br&gt;",CHAR(10)),"&lt;strong&gt;",""))</f>
        <v>&lt;p&gt;Soirée ULTRAOPS : rencontre Marc Leclere et Marie Chabaud (nouvelle DG SOLIDARM). Echanges initiaux, pas de retour explicite des prospects sur les fonds présentés. Prochaine étape non précisée, pas d'autres actions ou retours significatifs enregistrés à ce jour.&lt;/p&gt;</v>
      </c>
      <c r="H24" s="13" cm="1" t="str">
        <f t="array" ref="H24">IF(G24="","",SUBSTITUTE(SUBSTITUTE(SUBSTITUTE(SUBSTITUTE(SUBSTITUTE(G24,"&lt;p&gt;",""),"&lt;/p&gt;",""),"&lt;ul&gt;",""),"&lt;/ul&gt;",""),"&lt;/strong&gt;",""))</f>
        <v>Soirée ULTRAOPS : rencontre Marc Leclere et Marie Chabaud (nouvelle DG SOLIDARM). Echanges initiaux, pas de retour explicite des prospects sur les fonds présentés. Prochaine étape non précisée, pas d'autres actions ou retours significatifs enregistrés à ce jour.</v>
      </c>
      <c r="I24" s="14" cm="1" t="str">
        <f t="array" ref="I24">IF(C24="","",IF(OR(H24="",H24=0,H24=FALSE),"-",H24))</f>
        <v>Soirée ULTRAOPS : rencontre Marc Leclere et Marie Chabaud (nouvelle DG SOLIDARM). Echanges initiaux, pas de retour explicite des prospects sur les fonds présentés. Prochaine étape non précisée, pas d'autres actions ou retours significatifs enregistrés à ce jour.</v>
      </c>
      <c r="J24" s="8" t="s">
        <v>110</v>
      </c>
      <c r="K24" s="8" t="s">
        <v>53</v>
      </c>
      <c r="L24" s="9" cm="1" t="str">
        <f t="array" ref="L24">IF(C24="","",IF(K24="Mort / Plus rien à faire","KO","OK"))</f>
        <v>OK</v>
      </c>
      <c r="M24" s="15">
        <v>46163.75748842592</v>
      </c>
      <c r="N24" s="15" cm="1" t="n">
        <f t="array" ref="N24">IF(OR(C24="",M24="",M24=0),"",M24)</f>
        <v>46163.75748842592</v>
      </c>
      <c r="O24" s="15">
</c>
      <c r="P24" s="15" cm="1" t="str">
        <f t="array" ref="P24">IF(C24="","",IF(OR(O24="",O24=0),"-",O24))</f>
        <v>-</v>
      </c>
      <c r="Q24" s="16">
        <v>5000000</v>
      </c>
      <c r="R24" s="16" cm="1" t="str">
        <f t="array" ref="R24">IF(C24="","",ROUND(Q24/1000000,3)&amp;" M€")</f>
        <v>5 M€</v>
      </c>
      <c r="S24" s="12" t="s">
        <v>102</v>
      </c>
      <c r="T24" s="9" cm="1" t="str">
        <f t="array" ref="T24">IF(C24="","",SUBSTITUTE(S24,"","")&amp;"%")</f>
        <v>30%</v>
      </c>
      <c r="U24" s="14" cm="1" t="str">
        <f t="array" ref="U24">IF(($N24="")*($P24=""),"",IF(($N24&lt;&gt;"")*($N24&gt;TODAY()-9)*($N24&lt;TODAY()+1)*($P24&lt;&gt;"")*($P24&gt;=TODAY())*($P24&lt;=TODAY()+13),"Semaine passée &amp; à venir",IF(($N24&lt;&gt;"")*($N24&gt;TODAY()-9)*($N24&lt;TODAY()+1),"Semaine passée",IF(($P24&lt;&gt;"")*($P24&gt;=TODAY())*($P24&lt;=TODAY()+13),"À venir","Autre"))))</f>
        <v>Autre</v>
      </c>
      <c r="V24" s="8" cm="1" t="n">
        <f t="array" ref="V24">IF(C24&lt;&gt;"",1,0)</f>
        <v>1</v>
      </c>
      <c r="W24" s="8">
</c>
      <c r="X24" s="8">
</c>
      <c r="Y24" s="8">
</c>
      <c r="Z24" s="8">
</c>
      <c r="AA24" s="8">
</c>
      <c r="AB24" s="8">
</c>
      <c r="AC24" s="8">
</c>
      <c r="AD24" s="8">
</c>
      <c r="AE24" s="8">
</c>
      <c r="AF24" s="8">
</c>
      <c r="AG24" s="8">
</c>
      <c r="AH24" s="8">
</c>
      <c r="AI24" s="8">
</c>
      <c r="AJ24" s="8">
</c>
      <c r="AK24" s="8">
</c>
    </row>
    <row r="25" ht="76.5" customHeight="1">
      <c r="A25" s="9" t="s">
        <v>23</v>
      </c>
      <c r="B25" s="9" t="s">
        <v>40</v>
      </c>
      <c r="C25" s="12" t="s">
        <v>111</v>
      </c>
      <c r="D25" s="12" t="s">
        <v>112</v>
      </c>
      <c r="E25" s="9" t="s">
        <v>78</v>
      </c>
      <c r="F25" s="8" t="s">
        <v>113</v>
      </c>
      <c r="G25" s="13" cm="1" t="str">
        <f t="array" ref="G25">IF(F25="","",SUBSTITUTE(SUBSTITUTE(SUBSTITUTE(SUBSTITUTE(F25,"&lt;li&gt;",CHAR(10)),"&lt;/li&gt;",""),"&lt;br&gt;",CHAR(10)),"&lt;strong&gt;",""))</f>
        <v>&lt;p&gt;Appels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suivi.&lt;/p&gt;</v>
      </c>
      <c r="H25" s="13" cm="1" t="str">
        <f t="array" ref="H25">IF(G25="","",SUBSTITUTE(SUBSTITUTE(SUBSTITUTE(SUBSTITUTE(SUBSTITUTE(G25,"&lt;p&gt;",""),"&lt;/p&gt;",""),"&lt;ul&gt;",""),"&lt;/ul&gt;",""),"&lt;/strong&gt;",""))</f>
        <v>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v>
      </c>
      <c r="I25" s="14" cm="1" t="str">
        <f t="array" ref="I25">IF(C25="","",IF(OR(H25="",H25=0,H25=FALSE),"-",H25))</f>
        <v>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v>
      </c>
      <c r="J25" s="8">
</c>
      <c r="K25" s="8" t="s">
        <v>53</v>
      </c>
      <c r="L25" s="9" cm="1" t="str">
        <f t="array" ref="L25">IF(C25="","",IF(K25="Mort / Plus rien à faire","KO","OK"))</f>
        <v>OK</v>
      </c>
      <c r="M25" s="15">
        <v>46140.446388888886</v>
      </c>
      <c r="N25" s="15" cm="1" t="n">
        <f t="array" ref="N25">IF(OR(C25="",M25="",M25=0),"",M25)</f>
        <v>46140.446388888886</v>
      </c>
      <c r="O25" s="15">
</c>
      <c r="P25" s="15" cm="1" t="str">
        <f t="array" ref="P25">IF(C25="","",IF(OR(O25="",O25=0),"-",O25))</f>
        <v>-</v>
      </c>
      <c r="Q25" s="16">
        <v>0</v>
      </c>
      <c r="R25" s="16" cm="1" t="str">
        <f t="array" ref="R25">IF(C25="","",ROUND(Q25/1000000,3)&amp;" M€")</f>
        <v>0 M€</v>
      </c>
      <c r="S25" s="12" t="s">
        <v>102</v>
      </c>
      <c r="T25" s="9" cm="1" t="str">
        <f t="array" ref="T25">IF(C25="","",SUBSTITUTE(S25,"","")&amp;"%")</f>
        <v>30%</v>
      </c>
      <c r="U25" s="14" cm="1" t="str">
        <f t="array" ref="U25">IF(($N25="")*($P25=""),"",IF(($N25&lt;&gt;"")*($N25&gt;TODAY()-9)*($N25&lt;TODAY()+1)*($P25&lt;&gt;"")*($P25&gt;=TODAY())*($P25&lt;=TODAY()+13),"Semaine passée &amp; à venir",IF(($N25&lt;&gt;"")*($N25&gt;TODAY()-9)*($N25&lt;TODAY()+1),"Semaine passée",IF(($P25&lt;&gt;"")*($P25&gt;=TODAY())*($P25&lt;=TODAY()+13),"À venir","Autre"))))</f>
        <v>Autre</v>
      </c>
      <c r="V25" s="8" cm="1" t="n">
        <f t="array" ref="V25">IF(C25&lt;&gt;"",1,0)</f>
        <v>1</v>
      </c>
      <c r="W25" s="8">
</c>
      <c r="X25" s="8">
</c>
      <c r="Y25" s="8">
</c>
      <c r="Z25" s="8">
</c>
      <c r="AA25" s="8">
</c>
      <c r="AB25" s="8">
</c>
      <c r="AC25" s="8">
</c>
      <c r="AD25" s="8">
</c>
      <c r="AE25" s="8">
</c>
      <c r="AF25" s="8">
</c>
      <c r="AG25" s="8">
</c>
      <c r="AH25" s="8">
</c>
      <c r="AI25" s="8">
</c>
      <c r="AJ25" s="8">
</c>
      <c r="AK25" s="8">
</c>
    </row>
    <row r="26" ht="76.5" customHeight="1">
      <c r="A26" s="9" t="s">
        <v>23</v>
      </c>
      <c r="B26" s="9" t="s">
        <v>40</v>
      </c>
      <c r="C26" s="12" t="s">
        <v>103</v>
      </c>
      <c r="D26" s="12" t="s">
        <v>104</v>
      </c>
      <c r="E26" s="9" t="s">
        <v>51</v>
      </c>
      <c r="F26" s="8" t="s">
        <v>114</v>
      </c>
      <c r="G26" s="13" cm="1" t="str">
        <f t="array" ref="G26">IF(F26="","",SUBSTITUTE(SUBSTITUTE(SUBSTITUTE(SUBSTITUTE(F26,"&lt;li&gt;",CHAR(10)),"&lt;/li&gt;",""),"&lt;br&gt;",CHAR(10)),"&lt;strong&gt;",""))</f>
        <v>&lt;p&gt;Multiples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v>
      </c>
      <c r="H26" s="13" cm="1" t="str">
        <f t="array" ref="H26">IF(G26="","",SUBSTITUTE(SUBSTITUTE(SUBSTITUTE(SUBSTITUTE(SUBSTITUTE(G26,"&lt;p&gt;",""),"&lt;/p&gt;",""),"&lt;ul&gt;",""),"&lt;/ul&gt;",""),"&lt;/strong&gt;",""))</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I26" s="14" cm="1" t="str">
        <f t="array" ref="I26">IF(C26="","",IF(OR(H26="",H26=0,H26=FALSE),"-",H26))</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J26" s="8">
</c>
      <c r="K26" s="8" t="s">
        <v>106</v>
      </c>
      <c r="L26" s="9" cm="1" t="str">
        <f t="array" ref="L26">IF(C26="","",IF(K26="Mort / Plus rien à faire","KO","OK"))</f>
        <v>OK</v>
      </c>
      <c r="M26" s="15">
        <v>46112.48979166667</v>
      </c>
      <c r="N26" s="15" cm="1" t="n">
        <f t="array" ref="N26">IF(OR(C26="",M26="",M26=0),"",M26)</f>
        <v>46112.48979166667</v>
      </c>
      <c r="O26" s="15">
</c>
      <c r="P26" s="15" cm="1" t="str">
        <f t="array" ref="P26">IF(C26="","",IF(OR(O26="",O26=0),"-",O26))</f>
        <v>-</v>
      </c>
      <c r="Q26" s="16">
        <v>0</v>
      </c>
      <c r="R26" s="16" cm="1" t="str">
        <f t="array" ref="R26">IF(C26="","",ROUND(Q26/1000000,3)&amp;" M€")</f>
        <v>0 M€</v>
      </c>
      <c r="S26" s="12" t="s">
        <v>102</v>
      </c>
      <c r="T26" s="9" cm="1" t="str">
        <f t="array" ref="T26">IF(C26="","",SUBSTITUTE(S26,"","")&amp;"%")</f>
        <v>30%</v>
      </c>
      <c r="U26" s="14" cm="1" t="str">
        <f t="array" ref="U26">IF(($N26="")*($P26=""),"",IF(($N26&lt;&gt;"")*($N26&gt;TODAY()-9)*($N26&lt;TODAY()+1)*($P26&lt;&gt;"")*($P26&gt;=TODAY())*($P26&lt;=TODAY()+13),"Semaine passée &amp; à venir",IF(($N26&lt;&gt;"")*($N26&gt;TODAY()-9)*($N26&lt;TODAY()+1),"Semaine passée",IF(($P26&lt;&gt;"")*($P26&gt;=TODAY())*($P26&lt;=TODAY()+13),"À venir","Autre"))))</f>
        <v>Autre</v>
      </c>
      <c r="V26" s="8" cm="1" t="n">
        <f t="array" ref="V26">IF(C26&lt;&gt;"",1,0)</f>
        <v>1</v>
      </c>
      <c r="W26" s="8">
</c>
      <c r="X26" s="8">
</c>
      <c r="Y26" s="8">
</c>
      <c r="Z26" s="8">
</c>
      <c r="AA26" s="8">
</c>
      <c r="AB26" s="8">
</c>
      <c r="AC26" s="8">
</c>
      <c r="AD26" s="8">
</c>
      <c r="AE26" s="8">
</c>
      <c r="AF26" s="8">
</c>
      <c r="AG26" s="8">
</c>
      <c r="AH26" s="8">
</c>
      <c r="AI26" s="8">
</c>
      <c r="AJ26" s="8">
</c>
      <c r="AK26" s="8">
</c>
    </row>
    <row r="27" ht="76.5" customHeight="1">
      <c r="A27" s="9" t="s">
        <v>23</v>
      </c>
      <c r="B27" s="9" t="s">
        <v>40</v>
      </c>
      <c r="C27" s="12" t="s">
        <v>115</v>
      </c>
      <c r="D27" s="12" t="s">
        <v>116</v>
      </c>
      <c r="E27" s="9" t="s">
        <v>51</v>
      </c>
      <c r="F27" s="8" t="s">
        <v>117</v>
      </c>
      <c r="G27" s="13" cm="1" t="str">
        <f t="array" ref="G27">IF(F27="","",SUBSTITUTE(SUBSTITUTE(SUBSTITUTE(SUBSTITUTE(F27,"&lt;li&gt;",CHAR(10)),"&lt;/li&gt;",""),"&lt;br&gt;",CHAR(10)),"&lt;strong&gt;",""))</f>
        <v>&lt;p&gt;Visio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v>
      </c>
      <c r="H27" s="13" cm="1" t="str">
        <f t="array" ref="H27">IF(G27="","",SUBSTITUTE(SUBSTITUTE(SUBSTITUTE(SUBSTITUTE(SUBSTITUTE(G27,"&lt;p&gt;",""),"&lt;/p&gt;",""),"&lt;ul&gt;",""),"&lt;/ul&gt;",""),"&lt;/strong&gt;",""))</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I27" s="14" cm="1" t="str">
        <f t="array" ref="I27">IF(C27="","",IF(OR(H27="",H27=0,H27=FALSE),"-",H27))</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J27" s="8">
</c>
      <c r="K27" s="8" t="s">
        <v>53</v>
      </c>
      <c r="L27" s="9" cm="1" t="str">
        <f t="array" ref="L27">IF(C27="","",IF(K27="Mort / Plus rien à faire","KO","OK"))</f>
        <v>OK</v>
      </c>
      <c r="M27" s="15">
        <v>46044.65715277778</v>
      </c>
      <c r="N27" s="15" cm="1" t="n">
        <f t="array" ref="N27">IF(OR(C27="",M27="",M27=0),"",M27)</f>
        <v>46044.65715277778</v>
      </c>
      <c r="O27" s="15">
</c>
      <c r="P27" s="15" cm="1" t="str">
        <f t="array" ref="P27">IF(C27="","",IF(OR(O27="",O27=0),"-",O27))</f>
        <v>-</v>
      </c>
      <c r="Q27" s="16">
        <v>0</v>
      </c>
      <c r="R27" s="16" cm="1" t="str">
        <f t="array" ref="R27">IF(C27="","",ROUND(Q27/1000000,3)&amp;" M€")</f>
        <v>0 M€</v>
      </c>
      <c r="S27" s="12" t="s">
        <v>102</v>
      </c>
      <c r="T27" s="9" cm="1" t="str">
        <f t="array" ref="T27">IF(C27="","",SUBSTITUTE(S27,"","")&amp;"%")</f>
        <v>30%</v>
      </c>
      <c r="U27" s="14" cm="1" t="str">
        <f t="array" ref="U27">IF(($N27="")*($P27=""),"",IF(($N27&lt;&gt;"")*($N27&gt;TODAY()-9)*($N27&lt;TODAY()+1)*($P27&lt;&gt;"")*($P27&gt;=TODAY())*($P27&lt;=TODAY()+13),"Semaine passée &amp; à venir",IF(($N27&lt;&gt;"")*($N27&gt;TODAY()-9)*($N27&lt;TODAY()+1),"Semaine passée",IF(($P27&lt;&gt;"")*($P27&gt;=TODAY())*($P27&lt;=TODAY()+13),"À venir","Autre"))))</f>
        <v>Autre</v>
      </c>
      <c r="V27" s="8" cm="1" t="n">
        <f t="array" ref="V27">IF(C27&lt;&gt;"",1,0)</f>
        <v>1</v>
      </c>
      <c r="W27" s="8">
</c>
      <c r="X27" s="8">
</c>
      <c r="Y27" s="8">
</c>
      <c r="Z27" s="8">
</c>
      <c r="AA27" s="8">
</c>
      <c r="AB27" s="8">
</c>
      <c r="AC27" s="8">
</c>
      <c r="AD27" s="8">
</c>
      <c r="AE27" s="8">
</c>
      <c r="AF27" s="8">
</c>
      <c r="AG27" s="8">
</c>
      <c r="AH27" s="8">
</c>
      <c r="AI27" s="8">
</c>
      <c r="AJ27" s="8">
</c>
      <c r="AK27" s="8">
</c>
    </row>
    <row r="28" ht="76.5" customHeight="1">
      <c r="A28" s="9" t="s">
        <v>23</v>
      </c>
      <c r="B28" s="9" t="s">
        <v>76</v>
      </c>
      <c r="C28" s="12" t="s">
        <v>118</v>
      </c>
      <c r="D28" s="12" t="s">
        <v>118</v>
      </c>
      <c r="E28" s="9" t="s">
        <v>27</v>
      </c>
      <c r="F28" s="8" t="s">
        <v>119</v>
      </c>
      <c r="G28" s="13" cm="1" t="str">
        <f t="array" ref="G28">IF(F28="","",SUBSTITUTE(SUBSTITUTE(SUBSTITUTE(SUBSTITUTE(F28,"&lt;li&gt;",CHAR(10)),"&lt;/li&gt;",""),"&lt;br&gt;",CHAR(10)),"&lt;strong&gt;",""))</f>
        <v>&lt;p&gt;Félicitations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stade.&lt;/p&gt;</v>
      </c>
      <c r="H28" s="13" cm="1" t="str">
        <f t="array" ref="H28">IF(G28="","",SUBSTITUTE(SUBSTITUTE(SUBSTITUTE(SUBSTITUTE(SUBSTITUTE(G28,"&lt;p&gt;",""),"&lt;/p&gt;",""),"&lt;ul&gt;",""),"&lt;/ul&gt;",""),"&lt;/strong&gt;",""))</f>
        <v>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v>
      </c>
      <c r="I28" s="14" cm="1" t="str">
        <f t="array" ref="I28">IF(C28="","",IF(OR(H28="",H28=0,H28=FALSE),"-",H28))</f>
        <v>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v>
      </c>
      <c r="J28" s="8">
</c>
      <c r="K28" s="8" t="s">
        <v>53</v>
      </c>
      <c r="L28" s="9" cm="1" t="str">
        <f t="array" ref="L28">IF(C28="","",IF(K28="Mort / Plus rien à faire","KO","OK"))</f>
        <v>OK</v>
      </c>
      <c r="M28" s="15">
        <v>46139.50864583333</v>
      </c>
      <c r="N28" s="15" cm="1" t="n">
        <f t="array" ref="N28">IF(OR(C28="",M28="",M28=0),"",M28)</f>
        <v>46139.50864583333</v>
      </c>
      <c r="O28" s="15">
</c>
      <c r="P28" s="15" cm="1" t="str">
        <f t="array" ref="P28">IF(C28="","",IF(OR(O28="",O28=0),"-",O28))</f>
        <v>-</v>
      </c>
      <c r="Q28" s="16">
        <v>100000</v>
      </c>
      <c r="R28" s="16" cm="1" t="str">
        <f t="array" ref="R28">IF(C28="","",ROUND(Q28/1000000,3)&amp;" M€")</f>
        <v>0.1 M€</v>
      </c>
      <c r="S28" s="12" t="s">
        <v>102</v>
      </c>
      <c r="T28" s="9" cm="1" t="str">
        <f t="array" ref="T28">IF(C28="","",SUBSTITUTE(S28,"","")&amp;"%")</f>
        <v>30%</v>
      </c>
      <c r="U28" s="14" cm="1" t="str">
        <f t="array" ref="U28">IF(($N28="")*($P28=""),"",IF(($N28&lt;&gt;"")*($N28&gt;TODAY()-9)*($N28&lt;TODAY()+1)*($P28&lt;&gt;"")*($P28&gt;=TODAY())*($P28&lt;=TODAY()+13),"Semaine passée &amp; à venir",IF(($N28&lt;&gt;"")*($N28&gt;TODAY()-9)*($N28&lt;TODAY()+1),"Semaine passée",IF(($P28&lt;&gt;"")*($P28&gt;=TODAY())*($P28&lt;=TODAY()+13),"À venir","Autre"))))</f>
        <v>Autre</v>
      </c>
      <c r="V28" s="8" cm="1" t="n">
        <f t="array" ref="V28">IF(C28&lt;&gt;"",1,0)</f>
        <v>1</v>
      </c>
      <c r="W28" s="8">
</c>
      <c r="X28" s="8">
</c>
      <c r="Y28" s="8">
</c>
      <c r="Z28" s="8">
</c>
      <c r="AA28" s="8">
</c>
      <c r="AB28" s="8">
</c>
      <c r="AC28" s="8">
</c>
      <c r="AD28" s="8">
</c>
      <c r="AE28" s="8">
</c>
      <c r="AF28" s="8">
</c>
      <c r="AG28" s="8">
</c>
      <c r="AH28" s="8">
</c>
      <c r="AI28" s="8">
</c>
      <c r="AJ28" s="8">
</c>
      <c r="AK28" s="8">
</c>
    </row>
    <row r="29" ht="76.5" customHeight="1">
      <c r="A29" s="9" t="s">
        <v>23</v>
      </c>
      <c r="B29" s="9" t="s">
        <v>76</v>
      </c>
      <c r="C29" s="12" t="s">
        <v>120</v>
      </c>
      <c r="D29" s="12" t="s">
        <v>120</v>
      </c>
      <c r="E29" s="9" t="s">
        <v>27</v>
      </c>
      <c r="F29" s="8" t="s">
        <v>121</v>
      </c>
      <c r="G29" s="13" cm="1" t="str">
        <f t="array" ref="G29">IF(F29="","",SUBSTITUTE(SUBSTITUTE(SUBSTITUTE(SUBSTITUTE(F29,"&lt;li&gt;",CHAR(10)),"&lt;/li&gt;",""),"&lt;br&gt;",CHAR(10)),"&lt;strong&gt;",""))</f>
        <v>&lt;p&gt;Piste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jour.&lt;/p&gt;</v>
      </c>
      <c r="H29" s="13" cm="1" t="str">
        <f t="array" ref="H29">IF(G29="","",SUBSTITUTE(SUBSTITUTE(SUBSTITUTE(SUBSTITUTE(SUBSTITUTE(G29,"&lt;p&gt;",""),"&lt;/p&gt;",""),"&lt;ul&gt;",""),"&lt;/ul&gt;",""),"&lt;/strong&gt;",""))</f>
        <v>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v>
      </c>
      <c r="I29" s="14" cm="1" t="str">
        <f t="array" ref="I29">IF(C29="","",IF(OR(H29="",H29=0,H29=FALSE),"-",H29))</f>
        <v>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v>
      </c>
      <c r="J29" s="8" t="s">
        <v>122</v>
      </c>
      <c r="K29" s="8" t="s">
        <v>53</v>
      </c>
      <c r="L29" s="9" cm="1" t="str">
        <f t="array" ref="L29">IF(C29="","",IF(K29="Mort / Plus rien à faire","KO","OK"))</f>
        <v>OK</v>
      </c>
      <c r="M29" s="15">
        <v>46134.347407407404</v>
      </c>
      <c r="N29" s="15" cm="1" t="n">
        <f t="array" ref="N29">IF(OR(C29="",M29="",M29=0),"",M29)</f>
        <v>46134.347407407404</v>
      </c>
      <c r="O29" s="15">
</c>
      <c r="P29" s="15" cm="1" t="str">
        <f t="array" ref="P29">IF(C29="","",IF(OR(O29="",O29=0),"-",O29))</f>
        <v>-</v>
      </c>
      <c r="Q29" s="16">
        <v>0</v>
      </c>
      <c r="R29" s="16" cm="1" t="str">
        <f t="array" ref="R29">IF(C29="","",ROUND(Q29/1000000,3)&amp;" M€")</f>
        <v>0 M€</v>
      </c>
      <c r="S29" s="12" t="s">
        <v>102</v>
      </c>
      <c r="T29" s="9" cm="1" t="str">
        <f t="array" ref="T29">IF(C29="","",SUBSTITUTE(S29,"","")&amp;"%")</f>
        <v>30%</v>
      </c>
      <c r="U29" s="14" cm="1" t="str">
        <f t="array" ref="U29">IF(($N29="")*($P29=""),"",IF(($N29&lt;&gt;"")*($N29&gt;TODAY()-9)*($N29&lt;TODAY()+1)*($P29&lt;&gt;"")*($P29&gt;=TODAY())*($P29&lt;=TODAY()+13),"Semaine passée &amp; à venir",IF(($N29&lt;&gt;"")*($N29&gt;TODAY()-9)*($N29&lt;TODAY()+1),"Semaine passée",IF(($P29&lt;&gt;"")*($P29&gt;=TODAY())*($P29&lt;=TODAY()+13),"À venir","Autre"))))</f>
        <v>Autre</v>
      </c>
      <c r="V29" s="8" cm="1" t="n">
        <f t="array" ref="V29">IF(C29&lt;&gt;"",1,0)</f>
        <v>1</v>
      </c>
      <c r="W29" s="8">
</c>
      <c r="X29" s="8">
</c>
      <c r="Y29" s="8">
</c>
      <c r="Z29" s="8">
</c>
      <c r="AA29" s="8">
</c>
      <c r="AB29" s="8">
</c>
      <c r="AC29" s="8">
</c>
      <c r="AD29" s="8">
</c>
      <c r="AE29" s="8">
</c>
      <c r="AF29" s="8">
</c>
      <c r="AG29" s="8">
</c>
      <c r="AH29" s="8">
</c>
      <c r="AI29" s="8">
</c>
      <c r="AJ29" s="8">
</c>
      <c r="AK29" s="8">
</c>
    </row>
    <row r="30" ht="76.5" customHeight="1">
      <c r="A30" s="9" t="s">
        <v>23</v>
      </c>
      <c r="B30" s="9" t="s">
        <v>63</v>
      </c>
      <c r="C30" s="12" t="s">
        <v>123</v>
      </c>
      <c r="D30" s="12" t="s">
        <v>124</v>
      </c>
      <c r="E30" s="9" t="s">
        <v>27</v>
      </c>
      <c r="F30" s="8" t="s">
        <v>125</v>
      </c>
      <c r="G30" s="13" cm="1" t="str">
        <f t="array" ref="G30">IF(F30="","",SUBSTITUTE(SUBSTITUTE(SUBSTITUTE(SUBSTITUTE(F30,"&lt;li&gt;",CHAR(10)),"&lt;/li&gt;",""),"&lt;br&gt;",CHAR(10)),"&lt;strong&gt;",""))</f>
        <v>&lt;p&gt;RDV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17/04/26).&lt;/p&gt;</v>
      </c>
      <c r="H30" s="13" cm="1" t="str">
        <f t="array" ref="H30">IF(G30="","",SUBSTITUTE(SUBSTITUTE(SUBSTITUTE(SUBSTITUTE(SUBSTITUTE(G30,"&lt;p&gt;",""),"&lt;/p&gt;",""),"&lt;ul&gt;",""),"&lt;/ul&gt;",""),"&lt;/strong&gt;",""))</f>
        <v>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v>
      </c>
      <c r="I30" s="14" cm="1" t="str">
        <f t="array" ref="I30">IF(C30="","",IF(OR(H30="",H30=0,H30=FALSE),"-",H30))</f>
        <v>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v>
      </c>
      <c r="J30" s="8" t="s">
        <v>126</v>
      </c>
      <c r="K30" s="8" t="s">
        <v>53</v>
      </c>
      <c r="L30" s="9" cm="1" t="str">
        <f t="array" ref="L30">IF(C30="","",IF(K30="Mort / Plus rien à faire","KO","OK"))</f>
        <v>OK</v>
      </c>
      <c r="M30" s="15">
        <v>46125.404074074075</v>
      </c>
      <c r="N30" s="15" cm="1" t="n">
        <f t="array" ref="N30">IF(OR(C30="",M30="",M30=0),"",M30)</f>
        <v>46125.404074074075</v>
      </c>
      <c r="O30" s="15">
</c>
      <c r="P30" s="15" cm="1" t="str">
        <f t="array" ref="P30">IF(C30="","",IF(OR(O30="",O30=0),"-",O30))</f>
        <v>-</v>
      </c>
      <c r="Q30" s="16">
        <v>1000000</v>
      </c>
      <c r="R30" s="16" cm="1" t="str">
        <f t="array" ref="R30">IF(C30="","",ROUND(Q30/1000000,3)&amp;" M€")</f>
        <v>1 M€</v>
      </c>
      <c r="S30" s="12" t="s">
        <v>102</v>
      </c>
      <c r="T30" s="9" cm="1" t="str">
        <f t="array" ref="T30">IF(C30="","",SUBSTITUTE(S30,"","")&amp;"%")</f>
        <v>30%</v>
      </c>
      <c r="U30" s="14" cm="1" t="str">
        <f t="array" ref="U30">IF(($N30="")*($P30=""),"",IF(($N30&lt;&gt;"")*($N30&gt;TODAY()-9)*($N30&lt;TODAY()+1)*($P30&lt;&gt;"")*($P30&gt;=TODAY())*($P30&lt;=TODAY()+13),"Semaine passée &amp; à venir",IF(($N30&lt;&gt;"")*($N30&gt;TODAY()-9)*($N30&lt;TODAY()+1),"Semaine passée",IF(($P30&lt;&gt;"")*($P30&gt;=TODAY())*($P30&lt;=TODAY()+13),"À venir","Autre"))))</f>
        <v>Autre</v>
      </c>
      <c r="V30" s="8" cm="1" t="n">
        <f t="array" ref="V30">IF(C30&lt;&gt;"",1,0)</f>
        <v>1</v>
      </c>
      <c r="W30" s="8">
</c>
      <c r="X30" s="8">
</c>
      <c r="Y30" s="8">
</c>
      <c r="Z30" s="8">
</c>
      <c r="AA30" s="8">
</c>
      <c r="AB30" s="8">
</c>
      <c r="AC30" s="8">
</c>
      <c r="AD30" s="8">
</c>
      <c r="AE30" s="8">
</c>
      <c r="AF30" s="8">
</c>
      <c r="AG30" s="8">
</c>
      <c r="AH30" s="8">
</c>
      <c r="AI30" s="8">
</c>
      <c r="AJ30" s="8">
</c>
      <c r="AK30" s="8">
</c>
    </row>
    <row r="31" ht="76.5" customHeight="1">
      <c r="A31" s="9" t="s">
        <v>23</v>
      </c>
      <c r="B31" s="9" t="s">
        <v>76</v>
      </c>
      <c r="C31" s="12" t="s">
        <v>127</v>
      </c>
      <c r="D31" s="12" t="s">
        <v>127</v>
      </c>
      <c r="E31" s="9" t="s">
        <v>43</v>
      </c>
      <c r="F31" s="8" t="s">
        <v>128</v>
      </c>
      <c r="G31" s="13" cm="1" t="str">
        <f t="array" ref="G31">IF(F31="","",SUBSTITUTE(SUBSTITUTE(SUBSTITUTE(SUBSTITUTE(F31,"&lt;li&gt;",CHAR(10)),"&lt;/li&gt;",""),"&lt;br&gt;",CHAR(10)),"&lt;strong&gt;",""))</f>
        <v>&lt;p&gt;Nouvelle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inexistant.&lt;/p&gt;</v>
      </c>
      <c r="H31" s="13" cm="1" t="str">
        <f t="array" ref="H31">IF(G31="","",SUBSTITUTE(SUBSTITUTE(SUBSTITUTE(SUBSTITUTE(SUBSTITUTE(G31,"&lt;p&gt;",""),"&lt;/p&gt;",""),"&lt;ul&gt;",""),"&lt;/ul&gt;",""),"&lt;/strong&gt;",""))</f>
        <v>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v>
      </c>
      <c r="I31" s="14" cm="1" t="str">
        <f t="array" ref="I31">IF(C31="","",IF(OR(H31="",H31=0,H31=FALSE),"-",H31))</f>
        <v>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v>
      </c>
      <c r="J31" s="8" t="s">
        <v>129</v>
      </c>
      <c r="K31" s="8" t="s">
        <v>53</v>
      </c>
      <c r="L31" s="9" cm="1" t="str">
        <f t="array" ref="L31">IF(C31="","",IF(K31="Mort / Plus rien à faire","KO","OK"))</f>
        <v>OK</v>
      </c>
      <c r="M31" s="15">
        <v>46105.646006944444</v>
      </c>
      <c r="N31" s="15" cm="1" t="n">
        <f t="array" ref="N31">IF(OR(C31="",M31="",M31=0),"",M31)</f>
        <v>46105.646006944444</v>
      </c>
      <c r="O31" s="15">
</c>
      <c r="P31" s="15" cm="1" t="str">
        <f t="array" ref="P31">IF(C31="","",IF(OR(O31="",O31=0),"-",O31))</f>
        <v>-</v>
      </c>
      <c r="Q31" s="16">
        <v>100000</v>
      </c>
      <c r="R31" s="16" cm="1" t="str">
        <f t="array" ref="R31">IF(C31="","",ROUND(Q31/1000000,3)&amp;" M€")</f>
        <v>0.1 M€</v>
      </c>
      <c r="S31" s="12" t="s">
        <v>102</v>
      </c>
      <c r="T31" s="9" cm="1" t="str">
        <f t="array" ref="T31">IF(C31="","",SUBSTITUTE(S31,"","")&amp;"%")</f>
        <v>30%</v>
      </c>
      <c r="U31" s="14" cm="1" t="str">
        <f t="array" ref="U31">IF(($N31="")*($P31=""),"",IF(($N31&lt;&gt;"")*($N31&gt;TODAY()-9)*($N31&lt;TODAY()+1)*($P31&lt;&gt;"")*($P31&gt;=TODAY())*($P31&lt;=TODAY()+13),"Semaine passée &amp; à venir",IF(($N31&lt;&gt;"")*($N31&gt;TODAY()-9)*($N31&lt;TODAY()+1),"Semaine passée",IF(($P31&lt;&gt;"")*($P31&gt;=TODAY())*($P31&lt;=TODAY()+13),"À venir","Autre"))))</f>
        <v>Autre</v>
      </c>
      <c r="V31" s="8" cm="1" t="n">
        <f t="array" ref="V31">IF(C31&lt;&gt;"",1,0)</f>
        <v>1</v>
      </c>
      <c r="W31" s="8">
</c>
      <c r="X31" s="8">
</c>
      <c r="Y31" s="8">
</c>
      <c r="Z31" s="8">
</c>
      <c r="AA31" s="8">
</c>
      <c r="AB31" s="8">
</c>
      <c r="AC31" s="8">
</c>
      <c r="AD31" s="8">
</c>
      <c r="AE31" s="8">
</c>
      <c r="AF31" s="8">
</c>
      <c r="AG31" s="8">
</c>
      <c r="AH31" s="8">
</c>
      <c r="AI31" s="8">
</c>
      <c r="AJ31" s="8">
</c>
      <c r="AK31" s="8">
</c>
    </row>
    <row r="32" ht="76.5" customHeight="1">
      <c r="A32" s="9" t="s">
        <v>23</v>
      </c>
      <c r="B32" s="9" t="s">
        <v>31</v>
      </c>
      <c r="C32" s="12" t="s">
        <v>130</v>
      </c>
      <c r="D32" s="12" t="s">
        <v>131</v>
      </c>
      <c r="E32" s="9" t="s">
        <v>51</v>
      </c>
      <c r="F32" s="8" t="s">
        <v>132</v>
      </c>
      <c r="G32" s="13" cm="1" t="str">
        <f t="array" ref="G32">IF(F32="","",SUBSTITUTE(SUBSTITUTE(SUBSTITUTE(SUBSTITUTE(F32,"&lt;li&gt;",CHAR(10)),"&lt;/li&gt;",""),"&lt;br&gt;",CHAR(10)),"&lt;strong&gt;",""))</f>
        <v>&lt;p&gt;Multiples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v>
      </c>
      <c r="H32" s="13" cm="1" t="str">
        <f t="array" ref="H32">IF(G32="","",SUBSTITUTE(SUBSTITUTE(SUBSTITUTE(SUBSTITUTE(SUBSTITUTE(G32,"&lt;p&gt;",""),"&lt;/p&gt;",""),"&lt;ul&gt;",""),"&lt;/ul&gt;",""),"&lt;/strong&gt;",""))</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I32" s="14" cm="1" t="str">
        <f t="array" ref="I32">IF(C32="","",IF(OR(H32="",H32=0,H32=FALSE),"-",H32))</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J32" s="8">
</c>
      <c r="K32" s="8" t="s">
        <v>106</v>
      </c>
      <c r="L32" s="9" cm="1" t="str">
        <f t="array" ref="L32">IF(C32="","",IF(K32="Mort / Plus rien à faire","KO","OK"))</f>
        <v>OK</v>
      </c>
      <c r="M32" s="15">
        <v>46113.72516203704</v>
      </c>
      <c r="N32" s="15" cm="1" t="n">
        <f t="array" ref="N32">IF(OR(C32="",M32="",M32=0),"",M32)</f>
        <v>46113.72516203704</v>
      </c>
      <c r="O32" s="15">
</c>
      <c r="P32" s="15" cm="1" t="str">
        <f t="array" ref="P32">IF(C32="","",IF(OR(O32="",O32=0),"-",O32))</f>
        <v>-</v>
      </c>
      <c r="Q32" s="16">
        <v>0</v>
      </c>
      <c r="R32" s="16" cm="1" t="str">
        <f t="array" ref="R32">IF(C32="","",ROUND(Q32/1000000,3)&amp;" M€")</f>
        <v>0 M€</v>
      </c>
      <c r="S32" s="12" t="s">
        <v>102</v>
      </c>
      <c r="T32" s="9" cm="1" t="str">
        <f t="array" ref="T32">IF(C32="","",SUBSTITUTE(S32,"","")&amp;"%")</f>
        <v>30%</v>
      </c>
      <c r="U32" s="14" cm="1" t="str">
        <f t="array" ref="U32">IF(($N32="")*($P32=""),"",IF(($N32&lt;&gt;"")*($N32&gt;TODAY()-9)*($N32&lt;TODAY()+1)*($P32&lt;&gt;"")*($P32&gt;=TODAY())*($P32&lt;=TODAY()+13),"Semaine passée &amp; à venir",IF(($N32&lt;&gt;"")*($N32&gt;TODAY()-9)*($N32&lt;TODAY()+1),"Semaine passée",IF(($P32&lt;&gt;"")*($P32&gt;=TODAY())*($P32&lt;=TODAY()+13),"À venir","Autre"))))</f>
        <v>Autre</v>
      </c>
      <c r="V32" s="8" cm="1" t="n">
        <f t="array" ref="V32">IF(C32&lt;&gt;"",1,0)</f>
        <v>1</v>
      </c>
      <c r="W32" s="8">
</c>
      <c r="X32" s="8">
</c>
      <c r="Y32" s="8">
</c>
      <c r="Z32" s="8">
</c>
      <c r="AA32" s="8">
</c>
      <c r="AB32" s="8">
</c>
      <c r="AC32" s="8">
</c>
      <c r="AD32" s="8">
</c>
      <c r="AE32" s="8">
</c>
      <c r="AF32" s="8">
</c>
      <c r="AG32" s="8">
</c>
      <c r="AH32" s="8">
</c>
      <c r="AI32" s="8">
</c>
      <c r="AJ32" s="8">
</c>
      <c r="AK32" s="8">
</c>
    </row>
    <row r="33" ht="76.5" customHeight="1">
      <c r="A33" s="9" t="s">
        <v>23</v>
      </c>
      <c r="B33" s="9" t="s">
        <v>24</v>
      </c>
      <c r="C33" s="12" t="s">
        <v>133</v>
      </c>
      <c r="D33" s="12" t="s">
        <v>134</v>
      </c>
      <c r="E33" s="9" t="s">
        <v>27</v>
      </c>
      <c r="F33" s="8" t="s">
        <v>135</v>
      </c>
      <c r="G33" s="13" cm="1" t="str">
        <f t="array" ref="G33">IF(F33="","",SUBSTITUTE(SUBSTITUTE(SUBSTITUTE(SUBSTITUTE(F33,"&lt;li&gt;",CHAR(10)),"&lt;/li&gt;",""),"&lt;br&gt;",CHAR(10)),"&lt;strong&gt;",""))</f>
        <v>&lt;p&gt;Déj.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Fabrice/Michel.&lt;/p&gt;</v>
      </c>
      <c r="H33" s="13" cm="1" t="str">
        <f t="array" ref="H33">IF(G33="","",SUBSTITUTE(SUBSTITUTE(SUBSTITUTE(SUBSTITUTE(SUBSTITUTE(G33,"&lt;p&gt;",""),"&lt;/p&gt;",""),"&lt;ul&gt;",""),"&lt;/ul&gt;",""),"&lt;/strong&gt;",""))</f>
        <v>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v>
      </c>
      <c r="I33" s="14" cm="1" t="str">
        <f t="array" ref="I33">IF(C33="","",IF(OR(H33="",H33=0,H33=FALSE),"-",H33))</f>
        <v>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v>
      </c>
      <c r="J33" s="8">
</c>
      <c r="K33" s="8" t="s">
        <v>53</v>
      </c>
      <c r="L33" s="9" cm="1" t="str">
        <f t="array" ref="L33">IF(C33="","",IF(K33="Mort / Plus rien à faire","KO","OK"))</f>
        <v>OK</v>
      </c>
      <c r="M33" s="15">
        <v>46134.35175925926</v>
      </c>
      <c r="N33" s="15" cm="1" t="n">
        <f t="array" ref="N33">IF(OR(C33="",M33="",M33=0),"",M33)</f>
        <v>46134.35175925926</v>
      </c>
      <c r="O33" s="15">
</c>
      <c r="P33" s="15" cm="1" t="str">
        <f t="array" ref="P33">IF(C33="","",IF(OR(O33="",O33=0),"-",O33))</f>
        <v>-</v>
      </c>
      <c r="Q33" s="16">
        <v>5000000</v>
      </c>
      <c r="R33" s="16" cm="1" t="str">
        <f t="array" ref="R33">IF(C33="","",ROUND(Q33/1000000,3)&amp;" M€")</f>
        <v>5 M€</v>
      </c>
      <c r="S33" s="12" t="s">
        <v>102</v>
      </c>
      <c r="T33" s="9" cm="1" t="str">
        <f t="array" ref="T33">IF(C33="","",SUBSTITUTE(S33,"","")&amp;"%")</f>
        <v>30%</v>
      </c>
      <c r="U33" s="14" cm="1" t="str">
        <f t="array" ref="U33">IF(($N33="")*($P33=""),"",IF(($N33&lt;&gt;"")*($N33&gt;TODAY()-9)*($N33&lt;TODAY()+1)*($P33&lt;&gt;"")*($P33&gt;=TODAY())*($P33&lt;=TODAY()+13),"Semaine passée &amp; à venir",IF(($N33&lt;&gt;"")*($N33&gt;TODAY()-9)*($N33&lt;TODAY()+1),"Semaine passée",IF(($P33&lt;&gt;"")*($P33&gt;=TODAY())*($P33&lt;=TODAY()+13),"À venir","Autre"))))</f>
        <v>Autre</v>
      </c>
      <c r="V33" s="8" cm="1" t="n">
        <f t="array" ref="V33">IF(C33&lt;&gt;"",1,0)</f>
        <v>1</v>
      </c>
      <c r="W33" s="8">
</c>
      <c r="X33" s="8">
</c>
      <c r="Y33" s="8">
</c>
      <c r="Z33" s="8">
</c>
      <c r="AA33" s="8">
</c>
      <c r="AB33" s="8">
</c>
      <c r="AC33" s="8">
</c>
      <c r="AD33" s="8">
</c>
      <c r="AE33" s="8">
</c>
      <c r="AF33" s="8">
</c>
      <c r="AG33" s="8">
</c>
      <c r="AH33" s="8">
</c>
      <c r="AI33" s="8">
</c>
      <c r="AJ33" s="8">
</c>
      <c r="AK33" s="8">
</c>
    </row>
    <row r="34" ht="76.5" customHeight="1">
      <c r="A34" s="9" t="s">
        <v>23</v>
      </c>
      <c r="B34" s="9" t="s">
        <v>55</v>
      </c>
      <c r="C34" s="12" t="s">
        <v>136</v>
      </c>
      <c r="D34" s="12" t="s">
        <v>137</v>
      </c>
      <c r="E34" s="9" t="s">
        <v>27</v>
      </c>
      <c r="F34" s="8" t="s">
        <v>138</v>
      </c>
      <c r="G34" s="13" cm="1" t="str">
        <f t="array" ref="G34">IF(F34="","",SUBSTITUTE(SUBSTITUTE(SUBSTITUTE(SUBSTITUTE(F34,"&lt;li&gt;",CHAR(10)),"&lt;/li&gt;",""),"&lt;br&gt;",CHAR(10)),"&lt;strong&gt;",""))</f>
        <v>&lt;p&gt;Multiples RDV physiques depuis janvier. Défense Straton, décision fin mars, Quadrille passé pour 1M€, reste 1M€, 50% de chance. Pré-comité KO, prospect part vers club ABENEX sur le territoire. Prochain RDV fixé au 20 juin. Pas d'intérêt manifeste pour les fonds présentés, réorientation en cours.&lt;/p&gt;</v>
      </c>
      <c r="H34" s="13" cm="1" t="str">
        <f t="array" ref="H34">IF(G34="","",SUBSTITUTE(SUBSTITUTE(SUBSTITUTE(SUBSTITUTE(SUBSTITUTE(G34,"&lt;p&gt;",""),"&lt;/p&gt;",""),"&lt;ul&gt;",""),"&lt;/ul&gt;",""),"&lt;/strong&gt;",""))</f>
        <v>Multiples RDV physiques depuis janvier. Défense Straton, décision fin mars, Quadrille passé pour 1M€, reste 1M€, 50% de chance. Pré-comité KO, prospect part vers club ABENEX sur le territoire. Prochain RDV fixé au 20 juin. Pas d'intérêt manifeste pour les fonds présentés, réorientation en cours.</v>
      </c>
      <c r="I34" s="14" cm="1" t="str">
        <f t="array" ref="I34">IF(C34="","",IF(OR(H34="",H34=0,H34=FALSE),"-",H34))</f>
        <v>Multiples RDV physiques depuis janvier. Défense Straton, décision fin mars, Quadrille passé pour 1M€, reste 1M€, 50% de chance. Pré-comité KO, prospect part vers club ABENEX sur le territoire. Prochain RDV fixé au 20 juin. Pas d'intérêt manifeste pour les fonds présentés, réorientation en cours.</v>
      </c>
      <c r="J34" s="8" t="s">
        <v>139</v>
      </c>
      <c r="K34" s="8" t="s">
        <v>53</v>
      </c>
      <c r="L34" s="9" cm="1" t="str">
        <f t="array" ref="L34">IF(C34="","",IF(K34="Mort / Plus rien à faire","KO","OK"))</f>
        <v>OK</v>
      </c>
      <c r="M34" s="15">
        <v>46155.68666666667</v>
      </c>
      <c r="N34" s="15" cm="1" t="n">
        <f t="array" ref="N34">IF(OR(C34="",M34="",M34=0),"",M34)</f>
        <v>46155.68666666667</v>
      </c>
      <c r="O34" s="15">
</c>
      <c r="P34" s="15" cm="1" t="str">
        <f t="array" ref="P34">IF(C34="","",IF(OR(O34="",O34=0),"-",O34))</f>
        <v>-</v>
      </c>
      <c r="Q34" s="16">
        <v>1000000</v>
      </c>
      <c r="R34" s="16" cm="1" t="str">
        <f t="array" ref="R34">IF(C34="","",ROUND(Q34/1000000,3)&amp;" M€")</f>
        <v>1 M€</v>
      </c>
      <c r="S34" s="12" t="s">
        <v>102</v>
      </c>
      <c r="T34" s="9" cm="1" t="str">
        <f t="array" ref="T34">IF(C34="","",SUBSTITUTE(S34,"","")&amp;"%")</f>
        <v>30%</v>
      </c>
      <c r="U34" s="14" cm="1" t="str">
        <f t="array" ref="U34">IF(($N34="")*($P34=""),"",IF(($N34&lt;&gt;"")*($N34&gt;TODAY()-9)*($N34&lt;TODAY()+1)*($P34&lt;&gt;"")*($P34&gt;=TODAY())*($P34&lt;=TODAY()+13),"Semaine passée &amp; à venir",IF(($N34&lt;&gt;"")*($N34&gt;TODAY()-9)*($N34&lt;TODAY()+1),"Semaine passée",IF(($P34&lt;&gt;"")*($P34&gt;=TODAY())*($P34&lt;=TODAY()+13),"À venir","Autre"))))</f>
        <v>Autre</v>
      </c>
      <c r="V34" s="8" cm="1" t="n">
        <f t="array" ref="V34">IF(C34&lt;&gt;"",1,0)</f>
        <v>1</v>
      </c>
      <c r="W34" s="8">
</c>
      <c r="X34" s="8">
</c>
      <c r="Y34" s="8">
</c>
      <c r="Z34" s="8">
</c>
      <c r="AA34" s="8">
</c>
      <c r="AB34" s="8">
</c>
      <c r="AC34" s="8">
</c>
      <c r="AD34" s="8">
</c>
      <c r="AE34" s="8">
</c>
      <c r="AF34" s="8">
</c>
      <c r="AG34" s="8">
</c>
      <c r="AH34" s="8">
</c>
      <c r="AI34" s="8">
</c>
      <c r="AJ34" s="8">
</c>
      <c r="AK34" s="8">
</c>
    </row>
    <row r="35" ht="76.5" customHeight="1">
      <c r="A35" s="9" t="s">
        <v>23</v>
      </c>
      <c r="B35" s="9" t="s">
        <v>63</v>
      </c>
      <c r="C35" s="12" t="s">
        <v>140</v>
      </c>
      <c r="D35" s="12" t="s">
        <v>141</v>
      </c>
      <c r="E35" s="9" t="s">
        <v>27</v>
      </c>
      <c r="F35" s="8" t="s">
        <v>142</v>
      </c>
      <c r="G35" s="13" cm="1" t="str">
        <f t="array" ref="G35">IF(F35="","",SUBSTITUTE(SUBSTITUTE(SUBSTITUTE(SUBSTITUTE(F35,"&lt;li&gt;",CHAR(10)),"&lt;/li&gt;",""),"&lt;br&gt;",CHAR(10)),"&lt;strong&gt;",""))</f>
        <v>&lt;p&gt;20/04 mail prospect sur sujet Défense, relance pour RDV. 29/04 RDV physique prévu. 05/05 RDV effectué, présentation à l’équipe fonds de fonds non coté, intro à Jehan Batti et Caroline Larousi. Prochaine étape : pitch Référencement/Intermédiation Straton Geodesic FCPI Capital innovation prévu pour le 28/05.&lt;/p&gt;</v>
      </c>
      <c r="H35" s="13" cm="1" t="str">
        <f t="array" ref="H35">IF(G35="","",SUBSTITUTE(SUBSTITUTE(SUBSTITUTE(SUBSTITUTE(SUBSTITUTE(G35,"&lt;p&gt;",""),"&lt;/p&gt;",""),"&lt;ul&gt;",""),"&lt;/ul&gt;",""),"&lt;/strong&gt;",""))</f>
        <v>20/04 mail prospect sur sujet Défense, relance pour RDV. 29/04 RDV physique prévu. 05/05 RDV effectué, présentation à l’équipe fonds de fonds non coté, intro à Jehan Batti et Caroline Larousi. Prochaine étape : pitch Référencement/Intermédiation Straton Geodesic FCPI Capital innovation prévu pour le 28/05.</v>
      </c>
      <c r="I35" s="14" cm="1" t="str">
        <f t="array" ref="I35">IF(C35="","",IF(OR(H35="",H35=0,H35=FALSE),"-",H35))</f>
        <v>20/04 mail prospect sur sujet Défense, relance pour RDV. 29/04 RDV physique prévu. 05/05 RDV effectué, présentation à l’équipe fonds de fonds non coté, intro à Jehan Batti et Caroline Larousi. Prochaine étape : pitch Référencement/Intermédiation Straton Geodesic FCPI Capital innovation prévu pour le 28/05.</v>
      </c>
      <c r="J35" s="8" t="s">
        <v>143</v>
      </c>
      <c r="K35" s="8" t="s">
        <v>53</v>
      </c>
      <c r="L35" s="9" cm="1" t="str">
        <f t="array" ref="L35">IF(C35="","",IF(K35="Mort / Plus rien à faire","KO","OK"))</f>
        <v>OK</v>
      </c>
      <c r="M35" s="15">
        <v>46147.788090277776</v>
      </c>
      <c r="N35" s="15" cm="1" t="n">
        <f t="array" ref="N35">IF(OR(C35="",M35="",M35=0),"",M35)</f>
        <v>46147.788090277776</v>
      </c>
      <c r="O35" s="15">
</c>
      <c r="P35" s="15" cm="1" t="str">
        <f t="array" ref="P35">IF(C35="","",IF(OR(O35="",O35=0),"-",O35))</f>
        <v>-</v>
      </c>
      <c r="Q35" s="16">
        <v>0</v>
      </c>
      <c r="R35" s="16" cm="1" t="str">
        <f t="array" ref="R35">IF(C35="","",ROUND(Q35/1000000,3)&amp;" M€")</f>
        <v>0 M€</v>
      </c>
      <c r="S35" s="12" t="s">
        <v>102</v>
      </c>
      <c r="T35" s="9" cm="1" t="str">
        <f t="array" ref="T35">IF(C35="","",SUBSTITUTE(S35,"","")&amp;"%")</f>
        <v>30%</v>
      </c>
      <c r="U35" s="14" cm="1" t="str">
        <f t="array" ref="U35">IF(($N35="")*($P35=""),"",IF(($N35&lt;&gt;"")*($N35&gt;TODAY()-9)*($N35&lt;TODAY()+1)*($P35&lt;&gt;"")*($P35&gt;=TODAY())*($P35&lt;=TODAY()+13),"Semaine passée &amp; à venir",IF(($N35&lt;&gt;"")*($N35&gt;TODAY()-9)*($N35&lt;TODAY()+1),"Semaine passée",IF(($P35&lt;&gt;"")*($P35&gt;=TODAY())*($P35&lt;=TODAY()+13),"À venir","Autre"))))</f>
        <v>Autre</v>
      </c>
      <c r="V35" s="8" cm="1" t="n">
        <f t="array" ref="V35">IF(C35&lt;&gt;"",1,0)</f>
        <v>1</v>
      </c>
      <c r="W35" s="8">
</c>
      <c r="X35" s="8">
</c>
      <c r="Y35" s="8">
</c>
      <c r="Z35" s="8">
</c>
      <c r="AA35" s="8">
</c>
      <c r="AB35" s="8">
</c>
      <c r="AC35" s="8">
</c>
      <c r="AD35" s="8">
</c>
      <c r="AE35" s="8">
</c>
      <c r="AF35" s="8">
</c>
      <c r="AG35" s="8">
</c>
      <c r="AH35" s="8">
</c>
      <c r="AI35" s="8">
</c>
      <c r="AJ35" s="8">
</c>
      <c r="AK35" s="8">
</c>
    </row>
    <row r="36" ht="76.5" customHeight="1">
      <c r="A36" s="9" t="s">
        <v>23</v>
      </c>
      <c r="B36" s="9" t="s">
        <v>144</v>
      </c>
      <c r="C36" s="12" t="s">
        <v>145</v>
      </c>
      <c r="D36" s="12" t="s">
        <v>146</v>
      </c>
      <c r="E36" s="9" t="s">
        <v>27</v>
      </c>
      <c r="F36" s="8" t="s">
        <v>147</v>
      </c>
      <c r="G36" s="13" cm="1" t="str">
        <f t="array" ref="G36">IF(F36="","",SUBSTITUTE(SUBSTITUTE(SUBSTITUTE(SUBSTITUTE(F36,"&lt;li&gt;",CHAR(10)),"&lt;/li&gt;",""),"&lt;br&gt;",CHAR(10)),"&lt;strong&gt;",""))</f>
        <v>&lt;p&gt;Déj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v>
      </c>
      <c r="H36" s="13" cm="1" t="str">
        <f t="array" ref="H36">IF(G36="","",SUBSTITUTE(SUBSTITUTE(SUBSTITUTE(SUBSTITUTE(SUBSTITUTE(G36,"&lt;p&gt;",""),"&lt;/p&gt;",""),"&lt;ul&gt;",""),"&lt;/ul&gt;",""),"&lt;/strong&gt;",""))</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I36" s="14" cm="1" t="str">
        <f t="array" ref="I36">IF(C36="","",IF(OR(H36="",H36=0,H36=FALSE),"-",H36))</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J36" s="8">
</c>
      <c r="K36" s="8" t="s">
        <v>53</v>
      </c>
      <c r="L36" s="9" cm="1" t="str">
        <f t="array" ref="L36">IF(C36="","",IF(K36="Mort / Plus rien à faire","KO","OK"))</f>
        <v>OK</v>
      </c>
      <c r="M36" s="15">
        <v>46090.7022337963</v>
      </c>
      <c r="N36" s="15" cm="1" t="n">
        <f t="array" ref="N36">IF(OR(C36="",M36="",M36=0),"",M36)</f>
        <v>46090.7022337963</v>
      </c>
      <c r="O36" s="15">
</c>
      <c r="P36" s="15" cm="1" t="str">
        <f t="array" ref="P36">IF(C36="","",IF(OR(O36="",O36=0),"-",O36))</f>
        <v>-</v>
      </c>
      <c r="Q36" s="16">
        <v>1000000</v>
      </c>
      <c r="R36" s="16" cm="1" t="str">
        <f t="array" ref="R36">IF(C36="","",ROUND(Q36/1000000,3)&amp;" M€")</f>
        <v>1 M€</v>
      </c>
      <c r="S36" s="12" t="s">
        <v>102</v>
      </c>
      <c r="T36" s="9" cm="1" t="str">
        <f t="array" ref="T36">IF(C36="","",SUBSTITUTE(S36,"","")&amp;"%")</f>
        <v>30%</v>
      </c>
      <c r="U36" s="14" cm="1" t="str">
        <f t="array" ref="U36">IF(($N36="")*($P36=""),"",IF(($N36&lt;&gt;"")*($N36&gt;TODAY()-9)*($N36&lt;TODAY()+1)*($P36&lt;&gt;"")*($P36&gt;=TODAY())*($P36&lt;=TODAY()+13),"Semaine passée &amp; à venir",IF(($N36&lt;&gt;"")*($N36&gt;TODAY()-9)*($N36&lt;TODAY()+1),"Semaine passée",IF(($P36&lt;&gt;"")*($P36&gt;=TODAY())*($P36&lt;=TODAY()+13),"À venir","Autre"))))</f>
        <v>Autre</v>
      </c>
      <c r="V36" s="8" cm="1" t="n">
        <f t="array" ref="V36">IF(C36&lt;&gt;"",1,0)</f>
        <v>1</v>
      </c>
      <c r="W36" s="8">
</c>
      <c r="X36" s="8">
</c>
      <c r="Y36" s="8">
</c>
      <c r="Z36" s="8">
</c>
      <c r="AA36" s="8">
</c>
      <c r="AB36" s="8">
</c>
      <c r="AC36" s="8">
</c>
      <c r="AD36" s="8">
</c>
      <c r="AE36" s="8">
</c>
      <c r="AF36" s="8">
</c>
      <c r="AG36" s="8">
</c>
      <c r="AH36" s="8">
</c>
      <c r="AI36" s="8">
</c>
      <c r="AJ36" s="8">
</c>
      <c r="AK36" s="8">
</c>
    </row>
    <row r="37" ht="76.5" customHeight="1">
      <c r="A37" s="9" t="s">
        <v>23</v>
      </c>
      <c r="B37" s="9" t="s">
        <v>31</v>
      </c>
      <c r="C37" s="12" t="s">
        <v>148</v>
      </c>
      <c r="D37" s="12" t="s">
        <v>149</v>
      </c>
      <c r="E37" s="9" t="s">
        <v>27</v>
      </c>
      <c r="F37" s="8" t="s">
        <v>150</v>
      </c>
      <c r="G37" s="13" cm="1" t="str">
        <f t="array" ref="G37">IF(F37="","",SUBSTITUTE(SUBSTITUTE(SUBSTITUTE(SUBSTITUTE(F37,"&lt;li&gt;",CHAR(10)),"&lt;/li&gt;",""),"&lt;br&gt;",CHAR(10)),"&lt;strong&gt;",""))</f>
        <v>&lt;p&gt;Déj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STRATON.&lt;/p&gt;</v>
      </c>
      <c r="H37" s="13" cm="1" t="str">
        <f t="array" ref="H37">IF(G37="","",SUBSTITUTE(SUBSTITUTE(SUBSTITUTE(SUBSTITUTE(SUBSTITUTE(G37,"&lt;p&gt;",""),"&lt;/p&gt;",""),"&lt;ul&gt;",""),"&lt;/ul&gt;",""),"&lt;/strong&gt;",""))</f>
        <v>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v>
      </c>
      <c r="I37" s="14" cm="1" t="str">
        <f t="array" ref="I37">IF(C37="","",IF(OR(H37="",H37=0,H37=FALSE),"-",H37))</f>
        <v>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v>
      </c>
      <c r="J37" s="8">
</c>
      <c r="K37" s="8" t="s">
        <v>53</v>
      </c>
      <c r="L37" s="9" cm="1" t="str">
        <f t="array" ref="L37">IF(C37="","",IF(K37="Mort / Plus rien à faire","KO","OK"))</f>
        <v>OK</v>
      </c>
      <c r="M37" s="15">
        <v>46135.47131944444</v>
      </c>
      <c r="N37" s="15" cm="1" t="n">
        <f t="array" ref="N37">IF(OR(C37="",M37="",M37=0),"",M37)</f>
        <v>46135.47131944444</v>
      </c>
      <c r="O37" s="15">
</c>
      <c r="P37" s="15" cm="1" t="str">
        <f t="array" ref="P37">IF(C37="","",IF(OR(O37="",O37=0),"-",O37))</f>
        <v>-</v>
      </c>
      <c r="Q37" s="16">
        <v>1000000</v>
      </c>
      <c r="R37" s="16" cm="1" t="str">
        <f t="array" ref="R37">IF(C37="","",ROUND(Q37/1000000,3)&amp;" M€")</f>
        <v>1 M€</v>
      </c>
      <c r="S37" s="12" t="s">
        <v>102</v>
      </c>
      <c r="T37" s="9" cm="1" t="str">
        <f t="array" ref="T37">IF(C37="","",SUBSTITUTE(S37,"","")&amp;"%")</f>
        <v>30%</v>
      </c>
      <c r="U37" s="14" cm="1" t="str">
        <f t="array" ref="U37">IF(($N37="")*($P37=""),"",IF(($N37&lt;&gt;"")*($N37&gt;TODAY()-9)*($N37&lt;TODAY()+1)*($P37&lt;&gt;"")*($P37&gt;=TODAY())*($P37&lt;=TODAY()+13),"Semaine passée &amp; à venir",IF(($N37&lt;&gt;"")*($N37&gt;TODAY()-9)*($N37&lt;TODAY()+1),"Semaine passée",IF(($P37&lt;&gt;"")*($P37&gt;=TODAY())*($P37&lt;=TODAY()+13),"À venir","Autre"))))</f>
        <v>Autre</v>
      </c>
      <c r="V37" s="8" cm="1" t="n">
        <f t="array" ref="V37">IF(C37&lt;&gt;"",1,0)</f>
        <v>1</v>
      </c>
      <c r="W37" s="8">
</c>
      <c r="X37" s="8">
</c>
      <c r="Y37" s="8">
</c>
      <c r="Z37" s="8">
</c>
      <c r="AA37" s="8">
</c>
      <c r="AB37" s="8">
</c>
      <c r="AC37" s="8">
</c>
      <c r="AD37" s="8">
</c>
      <c r="AE37" s="8">
</c>
      <c r="AF37" s="8">
</c>
      <c r="AG37" s="8">
</c>
      <c r="AH37" s="8">
</c>
      <c r="AI37" s="8">
</c>
      <c r="AJ37" s="8">
</c>
      <c r="AK37" s="8">
</c>
    </row>
    <row r="38" ht="76.5" customHeight="1">
      <c r="A38" s="9" t="s">
        <v>23</v>
      </c>
      <c r="B38" s="9" t="s">
        <v>40</v>
      </c>
      <c r="C38" s="12" t="s">
        <v>151</v>
      </c>
      <c r="D38" s="12" t="s">
        <v>152</v>
      </c>
      <c r="E38" s="9" t="s">
        <v>78</v>
      </c>
      <c r="F38" s="8" t="s">
        <v>153</v>
      </c>
      <c r="G38" s="13" cm="1" t="str">
        <f t="array" ref="G38">IF(F38="","",SUBSTITUTE(SUBSTITUTE(SUBSTITUTE(SUBSTITUTE(F38,"&lt;li&gt;",CHAR(10)),"&lt;/li&gt;",""),"&lt;br&gt;",CHAR(10)),"&lt;strong&gt;",""))</f>
        <v>&lt;p&gt;RDV 07/05 : Présentation offre Private Assets à Éthique et Patrimoine/Equity Valley (expatriés, ticket moyen 100k€, peu d'intérêt VC, focus 150-0 BTE). Decks Calderion, Exergon, FCPI envoyés. Prochaines étapes : envoyer Straton/Geodesic, vérifier onboarding clients Suisse, relance sur decks.&lt;/p&gt;</v>
      </c>
      <c r="H38" s="13" cm="1" t="str">
        <f t="array" ref="H38">IF(G38="","",SUBSTITUTE(SUBSTITUTE(SUBSTITUTE(SUBSTITUTE(SUBSTITUTE(G38,"&lt;p&gt;",""),"&lt;/p&gt;",""),"&lt;ul&gt;",""),"&lt;/ul&gt;",""),"&lt;/strong&gt;",""))</f>
        <v>RDV 07/05 : Présentation offre Private Assets à Éthique et Patrimoine/Equity Valley (expatriés, ticket moyen 100k€, peu d'intérêt VC, focus 150-0 BTE). Decks Calderion, Exergon, FCPI envoyés. Prochaines étapes : envoyer Straton/Geodesic, vérifier onboarding clients Suisse, relance sur decks.</v>
      </c>
      <c r="I38" s="14" cm="1" t="str">
        <f t="array" ref="I38">IF(C38="","",IF(OR(H38="",H38=0,H38=FALSE),"-",H38))</f>
        <v>RDV 07/05 : Présentation offre Private Assets à Éthique et Patrimoine/Equity Valley (expatriés, ticket moyen 100k€, peu d'intérêt VC, focus 150-0 BTE). Decks Calderion, Exergon, FCPI envoyés. Prochaines étapes : envoyer Straton/Geodesic, vérifier onboarding clients Suisse, relance sur decks.</v>
      </c>
      <c r="J38" s="8">
</c>
      <c r="K38" s="8" t="s">
        <v>53</v>
      </c>
      <c r="L38" s="9" cm="1" t="str">
        <f t="array" ref="L38">IF(C38="","",IF(K38="Mort / Plus rien à faire","KO","OK"))</f>
        <v>OK</v>
      </c>
      <c r="M38" s="15">
        <v>46161.75481481481</v>
      </c>
      <c r="N38" s="15" cm="1" t="n">
        <f t="array" ref="N38">IF(OR(C38="",M38="",M38=0),"",M38)</f>
        <v>46161.75481481481</v>
      </c>
      <c r="O38" s="15">
</c>
      <c r="P38" s="15" cm="1" t="str">
        <f t="array" ref="P38">IF(C38="","",IF(OR(O38="",O38=0),"-",O38))</f>
        <v>-</v>
      </c>
      <c r="Q38" s="16">
        <v>0</v>
      </c>
      <c r="R38" s="16" cm="1" t="str">
        <f t="array" ref="R38">IF(C38="","",ROUND(Q38/1000000,3)&amp;" M€")</f>
        <v>0 M€</v>
      </c>
      <c r="S38" s="12" t="s">
        <v>102</v>
      </c>
      <c r="T38" s="9" cm="1" t="str">
        <f t="array" ref="T38">IF(C38="","",SUBSTITUTE(S38,"","")&amp;"%")</f>
        <v>30%</v>
      </c>
      <c r="U38" s="14" cm="1" t="str">
        <f t="array" ref="U38">IF(($N38="")*($P38=""),"",IF(($N38&lt;&gt;"")*($N38&gt;TODAY()-9)*($N38&lt;TODAY()+1)*($P38&lt;&gt;"")*($P38&gt;=TODAY())*($P38&lt;=TODAY()+13),"Semaine passée &amp; à venir",IF(($N38&lt;&gt;"")*($N38&gt;TODAY()-9)*($N38&lt;TODAY()+1),"Semaine passée",IF(($P38&lt;&gt;"")*($P38&gt;=TODAY())*($P38&lt;=TODAY()+13),"À venir","Autre"))))</f>
        <v>Autre</v>
      </c>
      <c r="V38" s="8" cm="1" t="n">
        <f t="array" ref="V38">IF(C38&lt;&gt;"",1,0)</f>
        <v>1</v>
      </c>
      <c r="W38" s="8">
</c>
      <c r="X38" s="8">
</c>
      <c r="Y38" s="8">
</c>
      <c r="Z38" s="8">
</c>
      <c r="AA38" s="8">
</c>
      <c r="AB38" s="8">
</c>
      <c r="AC38" s="8">
</c>
      <c r="AD38" s="8">
</c>
      <c r="AE38" s="8">
</c>
      <c r="AF38" s="8">
</c>
      <c r="AG38" s="8">
</c>
      <c r="AH38" s="8">
</c>
      <c r="AI38" s="8">
</c>
      <c r="AJ38" s="8">
</c>
      <c r="AK38" s="8">
</c>
    </row>
    <row r="39" ht="76.5" customHeight="1">
      <c r="A39" s="9" t="s">
        <v>23</v>
      </c>
      <c r="B39" s="9" t="s">
        <v>76</v>
      </c>
      <c r="C39" s="12" t="s">
        <v>154</v>
      </c>
      <c r="D39" s="12" t="s">
        <v>154</v>
      </c>
      <c r="E39" s="9" t="s">
        <v>78</v>
      </c>
      <c r="F39" s="8" t="s">
        <v>155</v>
      </c>
      <c r="G39" s="13" cm="1" t="str">
        <f t="array" ref="G39">IF(F39="","",SUBSTITUTE(SUBSTITUTE(SUBSTITUTE(SUBSTITUTE(F39,"&lt;li&gt;",CHAR(10)),"&lt;/li&gt;",""),"&lt;br&gt;",CHAR(10)),"&lt;strong&gt;",""))</f>
        <v>&lt;p&gt;Lead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mentionné.&lt;/p&gt;</v>
      </c>
      <c r="H39" s="13" cm="1" t="str">
        <f t="array" ref="H39">IF(G39="","",SUBSTITUTE(SUBSTITUTE(SUBSTITUTE(SUBSTITUTE(SUBSTITUTE(G39,"&lt;p&gt;",""),"&lt;/p&gt;",""),"&lt;ul&gt;",""),"&lt;/ul&gt;",""),"&lt;/strong&gt;",""))</f>
        <v>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v>
      </c>
      <c r="I39" s="14" cm="1" t="str">
        <f t="array" ref="I39">IF(C39="","",IF(OR(H39="",H39=0,H39=FALSE),"-",H39))</f>
        <v>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v>
      </c>
      <c r="J39" s="8">
</c>
      <c r="K39" s="8" t="s">
        <v>53</v>
      </c>
      <c r="L39" s="9" cm="1" t="str">
        <f t="array" ref="L39">IF(C39="","",IF(K39="Mort / Plus rien à faire","KO","OK"))</f>
        <v>OK</v>
      </c>
      <c r="M39" s="15">
        <v>46139.67587962963</v>
      </c>
      <c r="N39" s="15" cm="1" t="n">
        <f t="array" ref="N39">IF(OR(C39="",M39="",M39=0),"",M39)</f>
        <v>46139.67587962963</v>
      </c>
      <c r="O39" s="15">
</c>
      <c r="P39" s="15" cm="1" t="str">
        <f t="array" ref="P39">IF(C39="","",IF(OR(O39="",O39=0),"-",O39))</f>
        <v>-</v>
      </c>
      <c r="Q39" s="16">
        <v>0</v>
      </c>
      <c r="R39" s="16" cm="1" t="str">
        <f t="array" ref="R39">IF(C39="","",ROUND(Q39/1000000,3)&amp;" M€")</f>
        <v>0 M€</v>
      </c>
      <c r="S39" s="12" t="s">
        <v>102</v>
      </c>
      <c r="T39" s="9" cm="1" t="str">
        <f t="array" ref="T39">IF(C39="","",SUBSTITUTE(S39,"","")&amp;"%")</f>
        <v>30%</v>
      </c>
      <c r="U39" s="14" cm="1" t="str">
        <f t="array" ref="U39">IF(($N39="")*($P39=""),"",IF(($N39&lt;&gt;"")*($N39&gt;TODAY()-9)*($N39&lt;TODAY()+1)*($P39&lt;&gt;"")*($P39&gt;=TODAY())*($P39&lt;=TODAY()+13),"Semaine passée &amp; à venir",IF(($N39&lt;&gt;"")*($N39&gt;TODAY()-9)*($N39&lt;TODAY()+1),"Semaine passée",IF(($P39&lt;&gt;"")*($P39&gt;=TODAY())*($P39&lt;=TODAY()+13),"À venir","Autre"))))</f>
        <v>Autre</v>
      </c>
      <c r="V39" s="8" cm="1" t="n">
        <f t="array" ref="V39">IF(C39&lt;&gt;"",1,0)</f>
        <v>1</v>
      </c>
      <c r="W39" s="8">
</c>
      <c r="X39" s="8">
</c>
      <c r="Y39" s="8">
</c>
      <c r="Z39" s="8">
</c>
      <c r="AA39" s="8">
</c>
      <c r="AB39" s="8">
</c>
      <c r="AC39" s="8">
</c>
      <c r="AD39" s="8">
</c>
      <c r="AE39" s="8">
</c>
      <c r="AF39" s="8">
</c>
      <c r="AG39" s="8">
</c>
      <c r="AH39" s="8">
</c>
      <c r="AI39" s="8">
</c>
      <c r="AJ39" s="8">
</c>
      <c r="AK39" s="8">
</c>
    </row>
    <row r="40" ht="76.5" customHeight="1">
      <c r="A40" s="9" t="s">
        <v>23</v>
      </c>
      <c r="B40" s="9" t="s">
        <v>24</v>
      </c>
      <c r="C40" s="12" t="s">
        <v>156</v>
      </c>
      <c r="D40" s="12" t="s">
        <v>157</v>
      </c>
      <c r="E40" s="9" t="s">
        <v>27</v>
      </c>
      <c r="F40" s="8" t="s">
        <v>158</v>
      </c>
      <c r="G40" s="13" cm="1" t="str">
        <f t="array" ref="G40">IF(F40="","",SUBSTITUTE(SUBSTITUTE(SUBSTITUTE(SUBSTITUTE(F40,"&lt;li&gt;",CHAR(10)),"&lt;/li&gt;",""),"&lt;br&gt;",CHAR(10)),"&lt;strong&gt;",""))</f>
        <v>&lt;p&gt;Dernières actions : échanges multiples, pas de décision finale du prospect sur les fonds présentés. Prochaine étape : RDV à caler en septembre (deadline 01/09/2026). Aucun retour négatif, attente de positionnement prospect. Pas d'autres activités ou conclusions explicites mentionnées.&lt;/p&gt;</v>
      </c>
      <c r="H40" s="13" cm="1" t="str">
        <f t="array" ref="H40">IF(G40="","",SUBSTITUTE(SUBSTITUTE(SUBSTITUTE(SUBSTITUTE(SUBSTITUTE(G40,"&lt;p&gt;",""),"&lt;/p&gt;",""),"&lt;ul&gt;",""),"&lt;/ul&gt;",""),"&lt;/strong&gt;",""))</f>
        <v>Dernières actions : échanges multiples, pas de décision finale du prospect sur les fonds présentés. Prochaine étape : RDV à caler en septembre (deadline 01/09/2026). Aucun retour négatif, attente de positionnement prospect. Pas d'autres activités ou conclusions explicites mentionnées.</v>
      </c>
      <c r="I40" s="14" cm="1" t="str">
        <f t="array" ref="I40">IF(C40="","",IF(OR(H40="",H40=0,H40=FALSE),"-",H40))</f>
        <v>Dernières actions : échanges multiples, pas de décision finale du prospect sur les fonds présentés. Prochaine étape : RDV à caler en septembre (deadline 01/09/2026). Aucun retour négatif, attente de positionnement prospect. Pas d'autres activités ou conclusions explicites mentionnées.</v>
      </c>
      <c r="J40" s="8" t="s">
        <v>159</v>
      </c>
      <c r="K40" s="8" t="s">
        <v>53</v>
      </c>
      <c r="L40" s="9" cm="1" t="str">
        <f t="array" ref="L40">IF(C40="","",IF(K40="Mort / Plus rien à faire","KO","OK"))</f>
        <v>OK</v>
      </c>
      <c r="M40" s="15">
        <v>46164.33018518519</v>
      </c>
      <c r="N40" s="15" cm="1" t="n">
        <f t="array" ref="N40">IF(OR(C40="",M40="",M40=0),"",M40)</f>
        <v>46164.33018518519</v>
      </c>
      <c r="O40" s="15">
        <v>46266.083333333336</v>
      </c>
      <c r="P40" s="15" cm="1" t="n">
        <f t="array" ref="P40">IF(C40="","",IF(OR(O40="",O40=0),"-",O40))</f>
        <v>46266.083333333336</v>
      </c>
      <c r="Q40" s="16">
        <v>10000000</v>
      </c>
      <c r="R40" s="16" cm="1" t="str">
        <f t="array" ref="R40">IF(C40="","",ROUND(Q40/1000000,3)&amp;" M€")</f>
        <v>10 M€</v>
      </c>
      <c r="S40" s="12" t="s">
        <v>102</v>
      </c>
      <c r="T40" s="9" cm="1" t="str">
        <f t="array" ref="T40">IF(C40="","",SUBSTITUTE(S40,"","")&amp;"%")</f>
        <v>30%</v>
      </c>
      <c r="U40" s="14" cm="1" t="str">
        <f t="array" ref="U40">IF(($N40="")*($P40=""),"",IF(($N40&lt;&gt;"")*($N40&gt;TODAY()-9)*($N40&lt;TODAY()+1)*($P40&lt;&gt;"")*($P40&gt;=TODAY())*($P40&lt;=TODAY()+13),"Semaine passée &amp; à venir",IF(($N40&lt;&gt;"")*($N40&gt;TODAY()-9)*($N40&lt;TODAY()+1),"Semaine passée",IF(($P40&lt;&gt;"")*($P40&gt;=TODAY())*($P40&lt;=TODAY()+13),"À venir","Autre"))))</f>
        <v>Autre</v>
      </c>
      <c r="V40" s="8" cm="1" t="n">
        <f t="array" ref="V40">IF(C40&lt;&gt;"",1,0)</f>
        <v>1</v>
      </c>
      <c r="W40" s="8">
</c>
      <c r="X40" s="8">
</c>
      <c r="Y40" s="8">
</c>
      <c r="Z40" s="8">
</c>
      <c r="AA40" s="8">
</c>
      <c r="AB40" s="8">
</c>
      <c r="AC40" s="8">
</c>
      <c r="AD40" s="8">
</c>
      <c r="AE40" s="8">
</c>
      <c r="AF40" s="8">
</c>
      <c r="AG40" s="8">
</c>
      <c r="AH40" s="8">
</c>
      <c r="AI40" s="8">
</c>
      <c r="AJ40" s="8">
</c>
      <c r="AK40" s="8">
</c>
    </row>
    <row r="41" ht="76.5" customHeight="1">
      <c r="A41" s="9" t="s">
        <v>23</v>
      </c>
      <c r="B41" s="9" t="s">
        <v>55</v>
      </c>
      <c r="C41" s="12" t="s">
        <v>160</v>
      </c>
      <c r="D41" s="12" t="s">
        <v>161</v>
      </c>
      <c r="E41" s="9" t="s">
        <v>27</v>
      </c>
      <c r="F41" s="8" t="s">
        <v>162</v>
      </c>
      <c r="G41" s="13" cm="1" t="str">
        <f t="array" ref="G41">IF(F41="","",SUBSTITUTE(SUBSTITUTE(SUBSTITUTE(SUBSTITUTE(F41,"&lt;li&gt;",CHAR(10)),"&lt;/li&gt;",""),"&lt;br&gt;",CHAR(10)),"&lt;strong&gt;",""))</f>
        <v>&lt;p&gt;Attente intro INSTIT7 via déj OCIRP/CB (Marianne Montchamp, ex-politique, OCIRP possible investisseur). Dernière action 06/05, pas de retour à ce jour. Prochaine étape&amp;nbsp;: organiser le déjeuner pour avancer sur l'intro. Aucun retour prospect sur fonds présenté pour l'instant.&lt;/p&gt;</v>
      </c>
      <c r="H41" s="13" cm="1" t="str">
        <f t="array" ref="H41">IF(G41="","",SUBSTITUTE(SUBSTITUTE(SUBSTITUTE(SUBSTITUTE(SUBSTITUTE(G41,"&lt;p&gt;",""),"&lt;/p&gt;",""),"&lt;ul&gt;",""),"&lt;/ul&gt;",""),"&lt;/strong&gt;",""))</f>
        <v>Attente intro INSTIT7 via déj OCIRP/CB (Marianne Montchamp, ex-politique, OCIRP possible investisseur). Dernière action 06/05, pas de retour à ce jour. Prochaine étape&amp;nbsp;: organiser le déjeuner pour avancer sur l'intro. Aucun retour prospect sur fonds présenté pour l'instant.</v>
      </c>
      <c r="I41" s="14" cm="1" t="str">
        <f t="array" ref="I41">IF(C41="","",IF(OR(H41="",H41=0,H41=FALSE),"-",H41))</f>
        <v>Attente intro INSTIT7 via déj OCIRP/CB (Marianne Montchamp, ex-politique, OCIRP possible investisseur). Dernière action 06/05, pas de retour à ce jour. Prochaine étape&amp;nbsp;: organiser le déjeuner pour avancer sur l'intro. Aucun retour prospect sur fonds présenté pour l'instant.</v>
      </c>
      <c r="J41" s="8" t="s">
        <v>163</v>
      </c>
      <c r="K41" s="8" t="s">
        <v>53</v>
      </c>
      <c r="L41" s="9" cm="1" t="str">
        <f t="array" ref="L41">IF(C41="","",IF(K41="Mort / Plus rien à faire","KO","OK"))</f>
        <v>OK</v>
      </c>
      <c r="M41" s="15">
        <v>46175.52501157407</v>
      </c>
      <c r="N41" s="15" cm="1" t="n">
        <f t="array" ref="N41">IF(OR(C41="",M41="",M41=0),"",M41)</f>
        <v>46175.52501157407</v>
      </c>
      <c r="O41" s="15">
        <v>46196.083333333336</v>
      </c>
      <c r="P41" s="15" cm="1" t="n">
        <f t="array" ref="P41">IF(C41="","",IF(OR(O41="",O41=0),"-",O41))</f>
        <v>46196.083333333336</v>
      </c>
      <c r="Q41" s="16">
        <v>0</v>
      </c>
      <c r="R41" s="16" cm="1" t="str">
        <f t="array" ref="R41">IF(C41="","",ROUND(Q41/1000000,3)&amp;" M€")</f>
        <v>0 M€</v>
      </c>
      <c r="S41" s="12" t="s">
        <v>164</v>
      </c>
      <c r="T41" s="9" cm="1" t="str">
        <f t="array" ref="T41">IF(C41="","",SUBSTITUTE(S41,"","")&amp;"%")</f>
        <v>20%</v>
      </c>
      <c r="U41" s="14" cm="1" t="str">
        <f t="array" ref="U41">IF(($N41="")*($P41=""),"",IF(($N41&lt;&gt;"")*($N41&gt;TODAY()-9)*($N41&lt;TODAY()+1)*($P41&lt;&gt;"")*($P41&gt;=TODAY())*($P41&lt;=TODAY()+13),"Semaine passée &amp; à venir",IF(($N41&lt;&gt;"")*($N41&gt;TODAY()-9)*($N41&lt;TODAY()+1),"Semaine passée",IF(($P41&lt;&gt;"")*($P41&gt;=TODAY())*($P41&lt;=TODAY()+13),"À venir","Autre"))))</f>
        <v>Semaine passée</v>
      </c>
      <c r="V41" s="8" cm="1" t="n">
        <f t="array" ref="V41">IF(C41&lt;&gt;"",1,0)</f>
        <v>1</v>
      </c>
      <c r="W41" s="8">
</c>
      <c r="X41" s="8">
</c>
      <c r="Y41" s="8">
</c>
      <c r="Z41" s="8">
</c>
      <c r="AA41" s="8">
</c>
      <c r="AB41" s="8">
</c>
      <c r="AC41" s="8">
</c>
      <c r="AD41" s="8">
</c>
      <c r="AE41" s="8">
</c>
      <c r="AF41" s="8">
</c>
      <c r="AG41" s="8">
</c>
      <c r="AH41" s="8">
</c>
      <c r="AI41" s="8">
</c>
      <c r="AJ41" s="8">
</c>
      <c r="AK41" s="8">
</c>
    </row>
    <row r="42" ht="76.5" customHeight="1">
      <c r="A42" s="9" t="s">
        <v>23</v>
      </c>
      <c r="B42" s="9" t="s">
        <v>24</v>
      </c>
      <c r="C42" s="12" t="s">
        <v>165</v>
      </c>
      <c r="D42" s="12" t="s">
        <v>166</v>
      </c>
      <c r="E42" s="9" t="s">
        <v>27</v>
      </c>
      <c r="F42" s="8" t="s">
        <v>167</v>
      </c>
      <c r="G42" s="13" cm="1" t="str">
        <f t="array" ref="G42">IF(F42="","",SUBSTITUTE(SUBSTITUTE(SUBSTITUTE(SUBSTITUTE(F42,"&lt;li&gt;",CHAR(10)),"&lt;/li&gt;",""),"&lt;br&gt;",CHAR(10)),"&lt;strong&gt;",""))</f>
        <v>&lt;p&gt;Mail envoyé au nouveau DG Patrick Gallou (service-gestion@mutuelleepargneretraite.fr) pour Romain Andrieu. Dernier échange : RDV physique terminé. Pas d'autres actions ou retours mentionnés. Prochaine étape non précisée, attente retour du DG. Pas de conclusion prospect sur fonds évoquée.&lt;/p&gt;</v>
      </c>
      <c r="H42" s="13" cm="1" t="str">
        <f t="array" ref="H42">IF(G42="","",SUBSTITUTE(SUBSTITUTE(SUBSTITUTE(SUBSTITUTE(SUBSTITUTE(G42,"&lt;p&gt;",""),"&lt;/p&gt;",""),"&lt;ul&gt;",""),"&lt;/ul&gt;",""),"&lt;/strong&gt;",""))</f>
        <v>Mail envoyé au nouveau DG Patrick Gallou (service-gestion@mutuelleepargneretraite.fr) pour Romain Andrieu. Dernier échange : RDV physique terminé. Pas d'autres actions ou retours mentionnés. Prochaine étape non précisée, attente retour du DG. Pas de conclusion prospect sur fonds évoquée.</v>
      </c>
      <c r="I42" s="14" cm="1" t="str">
        <f t="array" ref="I42">IF(C42="","",IF(OR(H42="",H42=0,H42=FALSE),"-",H42))</f>
        <v>Mail envoyé au nouveau DG Patrick Gallou (service-gestion@mutuelleepargneretraite.fr) pour Romain Andrieu. Dernier échange : RDV physique terminé. Pas d'autres actions ou retours mentionnés. Prochaine étape non précisée, attente retour du DG. Pas de conclusion prospect sur fonds évoquée.</v>
      </c>
      <c r="J42" s="8" t="s">
        <v>168</v>
      </c>
      <c r="K42" s="8" t="s">
        <v>53</v>
      </c>
      <c r="L42" s="9" cm="1" t="str">
        <f t="array" ref="L42">IF(C42="","",IF(K42="Mort / Plus rien à faire","KO","OK"))</f>
        <v>OK</v>
      </c>
      <c r="M42" s="15">
        <v>46177.82017361111</v>
      </c>
      <c r="N42" s="15" cm="1" t="n">
        <f t="array" ref="N42">IF(OR(C42="",M42="",M42=0),"",M42)</f>
        <v>46177.82017361111</v>
      </c>
      <c r="O42" s="15">
        <v>46184.083333333336</v>
      </c>
      <c r="P42" s="15" cm="1" t="n">
        <f t="array" ref="P42">IF(C42="","",IF(OR(O42="",O42=0),"-",O42))</f>
        <v>46184.083333333336</v>
      </c>
      <c r="Q42" s="16">
        <v>1000000</v>
      </c>
      <c r="R42" s="16" cm="1" t="str">
        <f t="array" ref="R42">IF(C42="","",ROUND(Q42/1000000,3)&amp;" M€")</f>
        <v>1 M€</v>
      </c>
      <c r="S42" s="12" t="s">
        <v>164</v>
      </c>
      <c r="T42" s="9" cm="1" t="str">
        <f t="array" ref="T42">IF(C42="","",SUBSTITUTE(S42,"","")&amp;"%")</f>
        <v>20%</v>
      </c>
      <c r="U42" s="14" cm="1" t="str">
        <f t="array" ref="U42">IF(($N42="")*($P42=""),"",IF(($N42&lt;&gt;"")*($N42&gt;TODAY()-9)*($N42&lt;TODAY()+1)*($P42&lt;&gt;"")*($P42&gt;=TODAY())*($P42&lt;=TODAY()+13),"Semaine passée &amp; à venir",IF(($N42&lt;&gt;"")*($N42&gt;TODAY()-9)*($N42&lt;TODAY()+1),"Semaine passée",IF(($P42&lt;&gt;"")*($P42&gt;=TODAY())*($P42&lt;=TODAY()+13),"À venir","Autre"))))</f>
        <v>Semaine passée &amp; à venir</v>
      </c>
      <c r="V42" s="8" cm="1" t="n">
        <f t="array" ref="V42">IF(C42&lt;&gt;"",1,0)</f>
        <v>1</v>
      </c>
      <c r="W42" s="8">
</c>
      <c r="X42" s="8">
</c>
      <c r="Y42" s="8">
</c>
      <c r="Z42" s="8">
</c>
      <c r="AA42" s="8">
</c>
      <c r="AB42" s="8">
</c>
      <c r="AC42" s="8">
</c>
      <c r="AD42" s="8">
</c>
      <c r="AE42" s="8">
</c>
      <c r="AF42" s="8">
</c>
      <c r="AG42" s="8">
</c>
      <c r="AH42" s="8">
</c>
      <c r="AI42" s="8">
</c>
      <c r="AJ42" s="8">
</c>
      <c r="AK42" s="8">
</c>
    </row>
    <row r="43" ht="76.5" customHeight="1">
      <c r="A43" s="9" t="s">
        <v>23</v>
      </c>
      <c r="B43" s="9" t="s">
        <v>63</v>
      </c>
      <c r="C43" s="12" t="s">
        <v>169</v>
      </c>
      <c r="D43" s="12" t="s">
        <v>170</v>
      </c>
      <c r="E43" s="9" t="s">
        <v>43</v>
      </c>
      <c r="F43" s="8" t="s">
        <v>171</v>
      </c>
      <c r="G43" s="13" cm="1" t="str">
        <f t="array" ref="G43">IF(F43="","",SUBSTITUTE(SUBSTITUTE(SUBSTITUTE(SUBSTITUTE(F43,"&lt;li&gt;",CHAR(10)),"&lt;/li&gt;",""),"&lt;br&gt;",CHAR(10)),"&lt;strong&gt;",""))</f>
        <v>&lt;p&gt;05/02/2026&amp;nbsp;: Actus et ak en cours, client potentiellement intéressé, attente confirmation pour fixer rencontre avec Charles. Lead créé pour équipe Ventes, tentative d'enrichissement impossible (email non valide). Prochaine étape&amp;nbsp;: retour client pour RDV.&lt;/p&gt;</v>
      </c>
      <c r="H43" s="13" cm="1" t="str">
        <f t="array" ref="H43">IF(G43="","",SUBSTITUTE(SUBSTITUTE(SUBSTITUTE(SUBSTITUTE(SUBSTITUTE(G43,"&lt;p&gt;",""),"&lt;/p&gt;",""),"&lt;ul&gt;",""),"&lt;/ul&gt;",""),"&lt;/strong&gt;",""))</f>
        <v>05/02/2026&amp;nbsp;: Actus et ak en cours, client potentiellement intéressé, attente confirmation pour fixer rencontre avec Charles. Lead créé pour équipe Ventes, tentative d'enrichissement impossible (email non valide). Prochaine étape&amp;nbsp;: retour client pour RDV.</v>
      </c>
      <c r="I43" s="14" cm="1" t="str">
        <f t="array" ref="I43">IF(C43="","",IF(OR(H43="",H43=0,H43=FALSE),"-",H43))</f>
        <v>05/02/2026&amp;nbsp;: Actus et ak en cours, client potentiellement intéressé, attente confirmation pour fixer rencontre avec Charles. Lead créé pour équipe Ventes, tentative d'enrichissement impossible (email non valide). Prochaine étape&amp;nbsp;: retour client pour RDV.</v>
      </c>
      <c r="J43" s="8">
</c>
      <c r="K43" s="8" t="s">
        <v>53</v>
      </c>
      <c r="L43" s="9" cm="1" t="str">
        <f t="array" ref="L43">IF(C43="","",IF(K43="Mort / Plus rien à faire","KO","OK"))</f>
        <v>OK</v>
      </c>
      <c r="M43" s="15">
        <v>46063.515497685185</v>
      </c>
      <c r="N43" s="15" cm="1" t="n">
        <f t="array" ref="N43">IF(OR(C43="",M43="",M43=0),"",M43)</f>
        <v>46063.515497685185</v>
      </c>
      <c r="O43" s="15">
</c>
      <c r="P43" s="15" cm="1" t="str">
        <f t="array" ref="P43">IF(C43="","",IF(OR(O43="",O43=0),"-",O43))</f>
        <v>-</v>
      </c>
      <c r="Q43" s="16">
        <v>0</v>
      </c>
      <c r="R43" s="16" cm="1" t="str">
        <f t="array" ref="R43">IF(C43="","",ROUND(Q43/1000000,3)&amp;" M€")</f>
        <v>0 M€</v>
      </c>
      <c r="S43" s="12" t="s">
        <v>164</v>
      </c>
      <c r="T43" s="9" cm="1" t="str">
        <f t="array" ref="T43">IF(C43="","",SUBSTITUTE(S43,"","")&amp;"%")</f>
        <v>20%</v>
      </c>
      <c r="U43" s="14" cm="1" t="str">
        <f t="array" ref="U43">IF(($N43="")*($P43=""),"",IF(($N43&lt;&gt;"")*($N43&gt;TODAY()-9)*($N43&lt;TODAY()+1)*($P43&lt;&gt;"")*($P43&gt;=TODAY())*($P43&lt;=TODAY()+13),"Semaine passée &amp; à venir",IF(($N43&lt;&gt;"")*($N43&gt;TODAY()-9)*($N43&lt;TODAY()+1),"Semaine passée",IF(($P43&lt;&gt;"")*($P43&gt;=TODAY())*($P43&lt;=TODAY()+13),"À venir","Autre"))))</f>
        <v>Autre</v>
      </c>
      <c r="V43" s="8" cm="1" t="n">
        <f t="array" ref="V43">IF(C43&lt;&gt;"",1,0)</f>
        <v>1</v>
      </c>
      <c r="W43" s="8">
</c>
      <c r="X43" s="8">
</c>
      <c r="Y43" s="8">
</c>
      <c r="Z43" s="8">
</c>
      <c r="AA43" s="8">
</c>
      <c r="AB43" s="8">
</c>
      <c r="AC43" s="8">
</c>
      <c r="AD43" s="8">
</c>
      <c r="AE43" s="8">
</c>
      <c r="AF43" s="8">
</c>
      <c r="AG43" s="8">
</c>
      <c r="AH43" s="8">
</c>
      <c r="AI43" s="8">
</c>
      <c r="AJ43" s="8">
</c>
      <c r="AK43" s="8">
</c>
    </row>
    <row r="44" ht="76.5" customHeight="1">
      <c r="A44" s="9" t="s">
        <v>23</v>
      </c>
      <c r="B44" s="9" t="s">
        <v>144</v>
      </c>
      <c r="C44" s="12" t="s">
        <v>172</v>
      </c>
      <c r="D44" s="12" t="s">
        <v>173</v>
      </c>
      <c r="E44" s="9" t="s">
        <v>27</v>
      </c>
      <c r="F44" s="8" t="s">
        <v>174</v>
      </c>
      <c r="G44" s="13" cm="1" t="str">
        <f t="array" ref="G44">IF(F44="","",SUBSTITUTE(SUBSTITUTE(SUBSTITUTE(SUBSTITUTE(F44,"&lt;li&gt;",CHAR(10)),"&lt;/li&gt;",""),"&lt;br&gt;",CHAR(10)),"&lt;strong&gt;",""))</f>
        <v>&lt;p&gt;RDV physique 19/02 : discussion marché Luxembourgeois, question sur référencement fonds, sujet clos (taux d'emprise, taille fonds/ticket). Déjeuner 25/03 planifié. Prochaine étape : reprendre RDV pour planifier 2027. Pas de retour prospect sur fonds, pas de mention de comité.&lt;/p&gt;</v>
      </c>
      <c r="H44" s="13" cm="1" t="str">
        <f t="array" ref="H44">IF(G44="","",SUBSTITUTE(SUBSTITUTE(SUBSTITUTE(SUBSTITUTE(SUBSTITUTE(G44,"&lt;p&gt;",""),"&lt;/p&gt;",""),"&lt;ul&gt;",""),"&lt;/ul&gt;",""),"&lt;/strong&gt;",""))</f>
        <v>RDV physique 19/02 : discussion marché Luxembourgeois, question sur référencement fonds, sujet clos (taux d'emprise, taille fonds/ticket). Déjeuner 25/03 planifié. Prochaine étape : reprendre RDV pour planifier 2027. Pas de retour prospect sur fonds, pas de mention de comité.</v>
      </c>
      <c r="I44" s="14" cm="1" t="str">
        <f t="array" ref="I44">IF(C44="","",IF(OR(H44="",H44=0,H44=FALSE),"-",H44))</f>
        <v>RDV physique 19/02 : discussion marché Luxembourgeois, question sur référencement fonds, sujet clos (taux d'emprise, taille fonds/ticket). Déjeuner 25/03 planifié. Prochaine étape : reprendre RDV pour planifier 2027. Pas de retour prospect sur fonds, pas de mention de comité.</v>
      </c>
      <c r="J44" s="8" t="s">
        <v>175</v>
      </c>
      <c r="K44" s="8" t="s">
        <v>53</v>
      </c>
      <c r="L44" s="9" cm="1" t="str">
        <f t="array" ref="L44">IF(C44="","",IF(K44="Mort / Plus rien à faire","KO","OK"))</f>
        <v>OK</v>
      </c>
      <c r="M44" s="15">
        <v>46106.74597222222</v>
      </c>
      <c r="N44" s="15" cm="1" t="n">
        <f t="array" ref="N44">IF(OR(C44="",M44="",M44=0),"",M44)</f>
        <v>46106.74597222222</v>
      </c>
      <c r="O44" s="15">
</c>
      <c r="P44" s="15" cm="1" t="str">
        <f t="array" ref="P44">IF(C44="","",IF(OR(O44="",O44=0),"-",O44))</f>
        <v>-</v>
      </c>
      <c r="Q44" s="16">
        <v>0</v>
      </c>
      <c r="R44" s="16" cm="1" t="str">
        <f t="array" ref="R44">IF(C44="","",ROUND(Q44/1000000,3)&amp;" M€")</f>
        <v>0 M€</v>
      </c>
      <c r="S44" s="12" t="s">
        <v>164</v>
      </c>
      <c r="T44" s="9" cm="1" t="str">
        <f t="array" ref="T44">IF(C44="","",SUBSTITUTE(S44,"","")&amp;"%")</f>
        <v>20%</v>
      </c>
      <c r="U44" s="14" cm="1" t="str">
        <f t="array" ref="U44">IF(($N44="")*($P44=""),"",IF(($N44&lt;&gt;"")*($N44&gt;TODAY()-9)*($N44&lt;TODAY()+1)*($P44&lt;&gt;"")*($P44&gt;=TODAY())*($P44&lt;=TODAY()+13),"Semaine passée &amp; à venir",IF(($N44&lt;&gt;"")*($N44&gt;TODAY()-9)*($N44&lt;TODAY()+1),"Semaine passée",IF(($P44&lt;&gt;"")*($P44&gt;=TODAY())*($P44&lt;=TODAY()+13),"À venir","Autre"))))</f>
        <v>Autre</v>
      </c>
      <c r="V44" s="8" cm="1" t="n">
        <f t="array" ref="V44">IF(C44&lt;&gt;"",1,0)</f>
        <v>1</v>
      </c>
      <c r="W44" s="8">
</c>
      <c r="X44" s="8">
</c>
      <c r="Y44" s="8">
</c>
      <c r="Z44" s="8">
</c>
      <c r="AA44" s="8">
</c>
      <c r="AB44" s="8">
</c>
      <c r="AC44" s="8">
</c>
      <c r="AD44" s="8">
</c>
      <c r="AE44" s="8">
</c>
      <c r="AF44" s="8">
</c>
      <c r="AG44" s="8">
</c>
      <c r="AH44" s="8">
</c>
      <c r="AI44" s="8">
</c>
      <c r="AJ44" s="8">
</c>
      <c r="AK44" s="8">
</c>
    </row>
    <row r="45" ht="76.5" customHeight="1">
      <c r="A45" s="9" t="s">
        <v>23</v>
      </c>
      <c r="B45" s="9" t="s">
        <v>24</v>
      </c>
      <c r="C45" s="12" t="s">
        <v>176</v>
      </c>
      <c r="D45" s="12" t="s">
        <v>177</v>
      </c>
      <c r="E45" s="9" t="s">
        <v>27</v>
      </c>
      <c r="F45" s="8" t="s">
        <v>178</v>
      </c>
      <c r="G45" s="13" cm="1" t="str">
        <f t="array" ref="G45">IF(F45="","",SUBSTITUTE(SUBSTITUTE(SUBSTITUTE(SUBSTITUTE(F45,"&lt;li&gt;",CHAR(10)),"&lt;/li&gt;",""),"&lt;br&gt;",CHAR(10)),"&lt;strong&gt;",""))</f>
        <v>&lt;p&gt;Rdv JFC semaine du 18 mai. Feedback : décision société de gestion fonds de fonds début juin, FRR peut imposer son choix. Mandataires ciblent fonds &amp;lt;300M€, processus en cours, communication à venir. Bon lien Victoire, contraintes ratios, TIBI 2 souhaité mais pas de parrainage possible. Prochaine étape : attente décision début juin.&lt;/p&gt;</v>
      </c>
      <c r="H45" s="13" cm="1" t="str">
        <f t="array" ref="H45">IF(G45="","",SUBSTITUTE(SUBSTITUTE(SUBSTITUTE(SUBSTITUTE(SUBSTITUTE(G45,"&lt;p&gt;",""),"&lt;/p&gt;",""),"&lt;ul&gt;",""),"&lt;/ul&gt;",""),"&lt;/strong&gt;",""))</f>
        <v>Rdv JFC semaine du 18 mai. Feedback : décision société de gestion fonds de fonds début juin, FRR peut imposer son choix. Mandataires ciblent fonds &amp;lt;300M€, processus en cours, communication à venir. Bon lien Victoire, contraintes ratios, TIBI 2 souhaité mais pas de parrainage possible. Prochaine étape : attente décision début juin.</v>
      </c>
      <c r="I45" s="14" cm="1" t="str">
        <f t="array" ref="I45">IF(C45="","",IF(OR(H45="",H45=0,H45=FALSE),"-",H45))</f>
        <v>Rdv JFC semaine du 18 mai. Feedback : décision société de gestion fonds de fonds début juin, FRR peut imposer son choix. Mandataires ciblent fonds &amp;lt;300M€, processus en cours, communication à venir. Bon lien Victoire, contraintes ratios, TIBI 2 souhaité mais pas de parrainage possible. Prochaine étape : attente décision début juin.</v>
      </c>
      <c r="J45" s="8" t="s">
        <v>179</v>
      </c>
      <c r="K45" s="8" t="s">
        <v>53</v>
      </c>
      <c r="L45" s="9" cm="1" t="str">
        <f t="array" ref="L45">IF(C45="","",IF(K45="Mort / Plus rien à faire","KO","OK"))</f>
        <v>OK</v>
      </c>
      <c r="M45" s="15">
        <v>46163.49083333334</v>
      </c>
      <c r="N45" s="15" cm="1" t="n">
        <f t="array" ref="N45">IF(OR(C45="",M45="",M45=0),"",M45)</f>
        <v>46163.49083333334</v>
      </c>
      <c r="O45" s="15">
        <v>46178.083333333336</v>
      </c>
      <c r="P45" s="15" cm="1" t="n">
        <f t="array" ref="P45">IF(C45="","",IF(OR(O45="",O45=0),"-",O45))</f>
        <v>46178.083333333336</v>
      </c>
      <c r="Q45" s="16">
        <v>15000000</v>
      </c>
      <c r="R45" s="16" cm="1" t="str">
        <f t="array" ref="R45">IF(C45="","",ROUND(Q45/1000000,3)&amp;" M€")</f>
        <v>15 M€</v>
      </c>
      <c r="S45" s="12" t="s">
        <v>164</v>
      </c>
      <c r="T45" s="9" cm="1" t="str">
        <f t="array" ref="T45">IF(C45="","",SUBSTITUTE(S45,"","")&amp;"%")</f>
        <v>20%</v>
      </c>
      <c r="U45" s="14" cm="1" t="str">
        <f t="array" ref="U45">IF(($N45="")*($P45=""),"",IF(($N45&lt;&gt;"")*($N45&gt;TODAY()-9)*($N45&lt;TODAY()+1)*($P45&lt;&gt;"")*($P45&gt;=TODAY())*($P45&lt;=TODAY()+13),"Semaine passée &amp; à venir",IF(($N45&lt;&gt;"")*($N45&gt;TODAY()-9)*($N45&lt;TODAY()+1),"Semaine passée",IF(($P45&lt;&gt;"")*($P45&gt;=TODAY())*($P45&lt;=TODAY()+13),"À venir","Autre"))))</f>
        <v>À venir</v>
      </c>
      <c r="V45" s="8" cm="1" t="n">
        <f t="array" ref="V45">IF(C45&lt;&gt;"",1,0)</f>
        <v>1</v>
      </c>
      <c r="W45" s="8">
</c>
      <c r="X45" s="8">
</c>
      <c r="Y45" s="8">
</c>
      <c r="Z45" s="8">
</c>
      <c r="AA45" s="8">
</c>
      <c r="AB45" s="8">
</c>
      <c r="AC45" s="8">
</c>
      <c r="AD45" s="8">
</c>
      <c r="AE45" s="8">
</c>
      <c r="AF45" s="8">
</c>
      <c r="AG45" s="8">
</c>
      <c r="AH45" s="8">
</c>
      <c r="AI45" s="8">
</c>
      <c r="AJ45" s="8">
</c>
      <c r="AK45" s="8">
</c>
    </row>
    <row r="46" ht="76.5" customHeight="1">
      <c r="A46" s="9" t="s">
        <v>23</v>
      </c>
      <c r="B46" s="9" t="s">
        <v>55</v>
      </c>
      <c r="C46" s="12" t="s">
        <v>180</v>
      </c>
      <c r="D46" s="12" t="s">
        <v>181</v>
      </c>
      <c r="E46" s="9" t="s">
        <v>27</v>
      </c>
      <c r="F46" s="8" t="s">
        <v>182</v>
      </c>
      <c r="G46" s="13" cm="1" t="str">
        <f t="array" ref="G46">IF(F46="","",SUBSTITUTE(SUBSTITUTE(SUBSTITUTE(SUBSTITUTE(F46,"&lt;li&gt;",CHAR(10)),"&lt;/li&gt;",""),"&lt;br&gt;",CHAR(10)),"&lt;strong&gt;",""))</f>
        <v>&lt;p&gt;Dernière action&amp;nbsp;: planification d’un rdv en décembre pour potentiellement accrocher UMR au final closing. Pas d’autres échanges ou retours récents des prospects. Prochaine étape&amp;nbsp;: attendre le rdv de décembre pour décision finale. Aucun retour prospect sur fonds présenté à ce stade.&lt;/p&gt;</v>
      </c>
      <c r="H46" s="13" cm="1" t="str">
        <f t="array" ref="H46">IF(G46="","",SUBSTITUTE(SUBSTITUTE(SUBSTITUTE(SUBSTITUTE(SUBSTITUTE(G46,"&lt;p&gt;",""),"&lt;/p&gt;",""),"&lt;ul&gt;",""),"&lt;/ul&gt;",""),"&lt;/strong&gt;",""))</f>
        <v>Dernière action&amp;nbsp;: planification d’un rdv en décembre pour potentiellement accrocher UMR au final closing. Pas d’autres échanges ou retours récents des prospects. Prochaine étape&amp;nbsp;: attendre le rdv de décembre pour décision finale. Aucun retour prospect sur fonds présenté à ce stade.</v>
      </c>
      <c r="I46" s="14" cm="1" t="str">
        <f t="array" ref="I46">IF(C46="","",IF(OR(H46="",H46=0,H46=FALSE),"-",H46))</f>
        <v>Dernière action&amp;nbsp;: planification d’un rdv en décembre pour potentiellement accrocher UMR au final closing. Pas d’autres échanges ou retours récents des prospects. Prochaine étape&amp;nbsp;: attendre le rdv de décembre pour décision finale. Aucun retour prospect sur fonds présenté à ce stade.</v>
      </c>
      <c r="J46" s="8" t="s">
        <v>183</v>
      </c>
      <c r="K46" s="8" t="s">
        <v>106</v>
      </c>
      <c r="L46" s="9" cm="1" t="str">
        <f t="array" ref="L46">IF(C46="","",IF(K46="Mort / Plus rien à faire","KO","OK"))</f>
        <v>OK</v>
      </c>
      <c r="M46" s="15">
        <v>46161.670381944445</v>
      </c>
      <c r="N46" s="15" cm="1" t="n">
        <f t="array" ref="N46">IF(OR(C46="",M46="",M46=0),"",M46)</f>
        <v>46161.670381944445</v>
      </c>
      <c r="O46" s="15">
        <v>46377.041666666664</v>
      </c>
      <c r="P46" s="15" cm="1" t="n">
        <f t="array" ref="P46">IF(C46="","",IF(OR(O46="",O46=0),"-",O46))</f>
        <v>46377.041666666664</v>
      </c>
      <c r="Q46" s="16">
        <v>3000000</v>
      </c>
      <c r="R46" s="16" cm="1" t="str">
        <f t="array" ref="R46">IF(C46="","",ROUND(Q46/1000000,3)&amp;" M€")</f>
        <v>3 M€</v>
      </c>
      <c r="S46" s="12" t="s">
        <v>164</v>
      </c>
      <c r="T46" s="9" cm="1" t="str">
        <f t="array" ref="T46">IF(C46="","",SUBSTITUTE(S46,"","")&amp;"%")</f>
        <v>20%</v>
      </c>
      <c r="U46" s="14" cm="1" t="str">
        <f t="array" ref="U46">IF(($N46="")*($P46=""),"",IF(($N46&lt;&gt;"")*($N46&gt;TODAY()-9)*($N46&lt;TODAY()+1)*($P46&lt;&gt;"")*($P46&gt;=TODAY())*($P46&lt;=TODAY()+13),"Semaine passée &amp; à venir",IF(($N46&lt;&gt;"")*($N46&gt;TODAY()-9)*($N46&lt;TODAY()+1),"Semaine passée",IF(($P46&lt;&gt;"")*($P46&gt;=TODAY())*($P46&lt;=TODAY()+13),"À venir","Autre"))))</f>
        <v>Autre</v>
      </c>
      <c r="V46" s="8" cm="1" t="n">
        <f t="array" ref="V46">IF(C46&lt;&gt;"",1,0)</f>
        <v>1</v>
      </c>
      <c r="W46" s="8">
</c>
      <c r="X46" s="8">
</c>
      <c r="Y46" s="8">
</c>
      <c r="Z46" s="8">
</c>
      <c r="AA46" s="8">
</c>
      <c r="AB46" s="8">
</c>
      <c r="AC46" s="8">
</c>
      <c r="AD46" s="8">
</c>
      <c r="AE46" s="8">
</c>
      <c r="AF46" s="8">
</c>
      <c r="AG46" s="8">
</c>
      <c r="AH46" s="8">
</c>
      <c r="AI46" s="8">
</c>
      <c r="AJ46" s="8">
</c>
      <c r="AK46" s="8">
</c>
    </row>
    <row r="47" ht="76.5" customHeight="1">
      <c r="A47" s="9" t="s">
        <v>23</v>
      </c>
      <c r="B47" s="9" t="s">
        <v>184</v>
      </c>
      <c r="C47" s="12" t="s">
        <v>185</v>
      </c>
      <c r="D47" s="12" t="s">
        <v>186</v>
      </c>
      <c r="E47" s="9" t="s">
        <v>27</v>
      </c>
      <c r="F47" s="8" t="s">
        <v>187</v>
      </c>
      <c r="G47" s="13" cm="1" t="str">
        <f t="array" ref="G47">IF(F47="","",SUBSTITUTE(SUBSTITUTE(SUBSTITUTE(SUBSTITUTE(F47,"&lt;li&gt;",CHAR(10)),"&lt;/li&gt;",""),"&lt;br&gt;",CHAR(10)),"&lt;strong&gt;",""))</f>
        <v>&lt;p&gt;RDV1 calé le 19/05. Prospect Zahra Adem/Laurence Pinta (fonds de fonds, direct, AUM 2,3bn). Allocation fonds de fonds 10%, stratégie complémentaire, co-invest souhaité. Critères : GP lead, fonds sectoriel expert, ticket min 5Me, closing 60Me. Suivi : Track et Deck à envoyer. Pas d'objectif annuel.&lt;/p&gt;</v>
      </c>
      <c r="H47" s="13" cm="1" t="str">
        <f t="array" ref="H47">IF(G47="","",SUBSTITUTE(SUBSTITUTE(SUBSTITUTE(SUBSTITUTE(SUBSTITUTE(G47,"&lt;p&gt;",""),"&lt;/p&gt;",""),"&lt;ul&gt;",""),"&lt;/ul&gt;",""),"&lt;/strong&gt;",""))</f>
        <v>RDV1 calé le 19/05. Prospect Zahra Adem/Laurence Pinta (fonds de fonds, direct, AUM 2,3bn). Allocation fonds de fonds 10%, stratégie complémentaire, co-invest souhaité. Critères : GP lead, fonds sectoriel expert, ticket min 5Me, closing 60Me. Suivi : Track et Deck à envoyer. Pas d'objectif annuel.</v>
      </c>
      <c r="I47" s="14" cm="1" t="str">
        <f t="array" ref="I47">IF(C47="","",IF(OR(H47="",H47=0,H47=FALSE),"-",H47))</f>
        <v>RDV1 calé le 19/05. Prospect Zahra Adem/Laurence Pinta (fonds de fonds, direct, AUM 2,3bn). Allocation fonds de fonds 10%, stratégie complémentaire, co-invest souhaité. Critères : GP lead, fonds sectoriel expert, ticket min 5Me, closing 60Me. Suivi : Track et Deck à envoyer. Pas d'objectif annuel.</v>
      </c>
      <c r="J47" s="8" t="s">
        <v>188</v>
      </c>
      <c r="K47" s="8" t="s">
        <v>53</v>
      </c>
      <c r="L47" s="9" cm="1" t="str">
        <f t="array" ref="L47">IF(C47="","",IF(K47="Mort / Plus rien à faire","KO","OK"))</f>
        <v>OK</v>
      </c>
      <c r="M47" s="15">
        <v>46161.66275462963</v>
      </c>
      <c r="N47" s="15" cm="1" t="n">
        <f t="array" ref="N47">IF(OR(C47="",M47="",M47=0),"",M47)</f>
        <v>46161.66275462963</v>
      </c>
      <c r="O47" s="15">
</c>
      <c r="P47" s="15" cm="1" t="str">
        <f t="array" ref="P47">IF(C47="","",IF(OR(O47="",O47=0),"-",O47))</f>
        <v>-</v>
      </c>
      <c r="Q47" s="16">
        <v>2500000</v>
      </c>
      <c r="R47" s="16" cm="1" t="str">
        <f t="array" ref="R47">IF(C47="","",ROUND(Q47/1000000,3)&amp;" M€")</f>
        <v>2.5 M€</v>
      </c>
      <c r="S47" s="12" t="s">
        <v>164</v>
      </c>
      <c r="T47" s="9" cm="1" t="str">
        <f t="array" ref="T47">IF(C47="","",SUBSTITUTE(S47,"","")&amp;"%")</f>
        <v>20%</v>
      </c>
      <c r="U47" s="14" cm="1" t="str">
        <f t="array" ref="U47">IF(($N47="")*($P47=""),"",IF(($N47&lt;&gt;"")*($N47&gt;TODAY()-9)*($N47&lt;TODAY()+1)*($P47&lt;&gt;"")*($P47&gt;=TODAY())*($P47&lt;=TODAY()+13),"Semaine passée &amp; à venir",IF(($N47&lt;&gt;"")*($N47&gt;TODAY()-9)*($N47&lt;TODAY()+1),"Semaine passée",IF(($P47&lt;&gt;"")*($P47&gt;=TODAY())*($P47&lt;=TODAY()+13),"À venir","Autre"))))</f>
        <v>Autre</v>
      </c>
      <c r="V47" s="8" cm="1" t="n">
        <f t="array" ref="V47">IF(C47&lt;&gt;"",1,0)</f>
        <v>1</v>
      </c>
      <c r="W47" s="8">
</c>
      <c r="X47" s="8">
</c>
      <c r="Y47" s="8">
</c>
      <c r="Z47" s="8">
</c>
      <c r="AA47" s="8">
</c>
      <c r="AB47" s="8">
</c>
      <c r="AC47" s="8">
</c>
      <c r="AD47" s="8">
</c>
      <c r="AE47" s="8">
</c>
      <c r="AF47" s="8">
</c>
      <c r="AG47" s="8">
</c>
      <c r="AH47" s="8">
</c>
      <c r="AI47" s="8">
</c>
      <c r="AJ47" s="8">
</c>
      <c r="AK47" s="8">
</c>
    </row>
    <row r="48" ht="76.5" customHeight="1">
      <c r="A48" s="9" t="s">
        <v>23</v>
      </c>
      <c r="B48" s="9" t="s">
        <v>24</v>
      </c>
      <c r="C48" s="12" t="s">
        <v>189</v>
      </c>
      <c r="D48" s="12" t="s">
        <v>190</v>
      </c>
      <c r="E48" s="9" t="s">
        <v>27</v>
      </c>
      <c r="F48" s="8" t="s">
        <v>191</v>
      </c>
      <c r="G48" s="13" cm="1" t="str">
        <f t="array" ref="G48">IF(F48="","",SUBSTITUTE(SUBSTITUTE(SUBSTITUTE(SUBSTITUTE(F48,"&lt;li&gt;",CHAR(10)),"&lt;/li&gt;",""),"&lt;br&gt;",CHAR(10)),"&lt;strong&gt;",""))</f>
        <v>&lt;p&gt;Relance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v>
      </c>
      <c r="H48" s="13" cm="1" t="str">
        <f t="array" ref="H48">IF(G48="","",SUBSTITUTE(SUBSTITUTE(SUBSTITUTE(SUBSTITUTE(SUBSTITUTE(G48,"&lt;p&gt;",""),"&lt;/p&gt;",""),"&lt;ul&gt;",""),"&lt;/ul&gt;",""),"&lt;/strong&gt;",""))</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I48" s="14" cm="1" t="str">
        <f t="array" ref="I48">IF(C48="","",IF(OR(H48="",H48=0,H48=FALSE),"-",H48))</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J48" s="8">
</c>
      <c r="K48" s="8" t="s">
        <v>53</v>
      </c>
      <c r="L48" s="9" cm="1" t="str">
        <f t="array" ref="L48">IF(C48="","",IF(K48="Mort / Plus rien à faire","KO","OK"))</f>
        <v>OK</v>
      </c>
      <c r="M48" s="15">
        <v>46069.41122685185</v>
      </c>
      <c r="N48" s="15" cm="1" t="n">
        <f t="array" ref="N48">IF(OR(C48="",M48="",M48=0),"",M48)</f>
        <v>46069.41122685185</v>
      </c>
      <c r="O48" s="15">
</c>
      <c r="P48" s="15" cm="1" t="str">
        <f t="array" ref="P48">IF(C48="","",IF(OR(O48="",O48=0),"-",O48))</f>
        <v>-</v>
      </c>
      <c r="Q48" s="16">
        <v>0</v>
      </c>
      <c r="R48" s="16" cm="1" t="str">
        <f t="array" ref="R48">IF(C48="","",ROUND(Q48/1000000,3)&amp;" M€")</f>
        <v>0 M€</v>
      </c>
      <c r="S48" s="12" t="s">
        <v>164</v>
      </c>
      <c r="T48" s="9" cm="1" t="str">
        <f t="array" ref="T48">IF(C48="","",SUBSTITUTE(S48,"","")&amp;"%")</f>
        <v>20%</v>
      </c>
      <c r="U48" s="14" cm="1" t="str">
        <f t="array" ref="U48">IF(($N48="")*($P48=""),"",IF(($N48&lt;&gt;"")*($N48&gt;TODAY()-9)*($N48&lt;TODAY()+1)*($P48&lt;&gt;"")*($P48&gt;=TODAY())*($P48&lt;=TODAY()+13),"Semaine passée &amp; à venir",IF(($N48&lt;&gt;"")*($N48&gt;TODAY()-9)*($N48&lt;TODAY()+1),"Semaine passée",IF(($P48&lt;&gt;"")*($P48&gt;=TODAY())*($P48&lt;=TODAY()+13),"À venir","Autre"))))</f>
        <v>Autre</v>
      </c>
      <c r="V48" s="8" cm="1" t="n">
        <f t="array" ref="V48">IF(C48&lt;&gt;"",1,0)</f>
        <v>1</v>
      </c>
      <c r="W48" s="8">
</c>
      <c r="X48" s="8">
</c>
      <c r="Y48" s="8">
</c>
      <c r="Z48" s="8">
</c>
      <c r="AA48" s="8">
</c>
      <c r="AB48" s="8">
</c>
      <c r="AC48" s="8">
</c>
      <c r="AD48" s="8">
</c>
      <c r="AE48" s="8">
</c>
      <c r="AF48" s="8">
</c>
      <c r="AG48" s="8">
</c>
      <c r="AH48" s="8">
</c>
      <c r="AI48" s="8">
</c>
      <c r="AJ48" s="8">
</c>
      <c r="AK48" s="8">
</c>
    </row>
    <row r="49" ht="76.5" customHeight="1">
      <c r="A49" s="9" t="s">
        <v>23</v>
      </c>
      <c r="B49" s="9" t="s">
        <v>24</v>
      </c>
      <c r="C49" s="12" t="s">
        <v>192</v>
      </c>
      <c r="D49" s="12" t="s">
        <v>193</v>
      </c>
      <c r="E49" s="9" t="s">
        <v>27</v>
      </c>
      <c r="F49" s="8" t="s">
        <v>194</v>
      </c>
      <c r="G49" s="13" cm="1" t="str">
        <f t="array" ref="G49">IF(F49="","",SUBSTITUTE(SUBSTITUTE(SUBSTITUTE(SUBSTITUTE(F49,"&lt;li&gt;",CHAR(10)),"&lt;/li&gt;",""),"&lt;br&gt;",CHAR(10)),"&lt;strong&gt;",""))</f>
        <v>&lt;p&gt;Déj.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v>
      </c>
      <c r="H49" s="13" cm="1" t="str">
        <f t="array" ref="H49">IF(G49="","",SUBSTITUTE(SUBSTITUTE(SUBSTITUTE(SUBSTITUTE(SUBSTITUTE(G49,"&lt;p&gt;",""),"&lt;/p&gt;",""),"&lt;ul&gt;",""),"&lt;/ul&gt;",""),"&lt;/strong&gt;",""))</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I49" s="14" cm="1" t="str">
        <f t="array" ref="I49">IF(C49="","",IF(OR(H49="",H49=0,H49=FALSE),"-",H49))</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J49" s="8" t="s">
        <v>195</v>
      </c>
      <c r="K49" s="8" t="s">
        <v>53</v>
      </c>
      <c r="L49" s="9" cm="1" t="str">
        <f t="array" ref="L49">IF(C49="","",IF(K49="Mort / Plus rien à faire","KO","OK"))</f>
        <v>OK</v>
      </c>
      <c r="M49" s="15">
        <v>46107.36309027778</v>
      </c>
      <c r="N49" s="15" cm="1" t="n">
        <f t="array" ref="N49">IF(OR(C49="",M49="",M49=0),"",M49)</f>
        <v>46107.36309027778</v>
      </c>
      <c r="O49" s="15">
</c>
      <c r="P49" s="15" cm="1" t="str">
        <f t="array" ref="P49">IF(C49="","",IF(OR(O49="",O49=0),"-",O49))</f>
        <v>-</v>
      </c>
      <c r="Q49" s="16">
        <v>10000000</v>
      </c>
      <c r="R49" s="16" cm="1" t="str">
        <f t="array" ref="R49">IF(C49="","",ROUND(Q49/1000000,3)&amp;" M€")</f>
        <v>10 M€</v>
      </c>
      <c r="S49" s="12" t="s">
        <v>164</v>
      </c>
      <c r="T49" s="9" cm="1" t="str">
        <f t="array" ref="T49">IF(C49="","",SUBSTITUTE(S49,"","")&amp;"%")</f>
        <v>20%</v>
      </c>
      <c r="U49" s="14" cm="1" t="str">
        <f t="array" ref="U49">IF(($N49="")*($P49=""),"",IF(($N49&lt;&gt;"")*($N49&gt;TODAY()-9)*($N49&lt;TODAY()+1)*($P49&lt;&gt;"")*($P49&gt;=TODAY())*($P49&lt;=TODAY()+13),"Semaine passée &amp; à venir",IF(($N49&lt;&gt;"")*($N49&gt;TODAY()-9)*($N49&lt;TODAY()+1),"Semaine passée",IF(($P49&lt;&gt;"")*($P49&gt;=TODAY())*($P49&lt;=TODAY()+13),"À venir","Autre"))))</f>
        <v>Autre</v>
      </c>
      <c r="V49" s="8" cm="1" t="n">
        <f t="array" ref="V49">IF(C49&lt;&gt;"",1,0)</f>
        <v>1</v>
      </c>
      <c r="W49" s="8">
</c>
      <c r="X49" s="8">
</c>
      <c r="Y49" s="8">
</c>
      <c r="Z49" s="8">
</c>
      <c r="AA49" s="8">
</c>
      <c r="AB49" s="8">
</c>
      <c r="AC49" s="8">
</c>
      <c r="AD49" s="8">
</c>
      <c r="AE49" s="8">
</c>
      <c r="AF49" s="8">
</c>
      <c r="AG49" s="8">
</c>
      <c r="AH49" s="8">
</c>
      <c r="AI49" s="8">
</c>
      <c r="AJ49" s="8">
</c>
      <c r="AK49" s="8">
</c>
    </row>
    <row r="50" ht="76.5" customHeight="1">
      <c r="A50" s="9" t="s">
        <v>23</v>
      </c>
      <c r="B50" s="9" t="s">
        <v>24</v>
      </c>
      <c r="C50" s="12" t="s">
        <v>196</v>
      </c>
      <c r="D50" s="12" t="s">
        <v>197</v>
      </c>
      <c r="E50" s="9" t="s">
        <v>27</v>
      </c>
      <c r="F50" s="8" t="s">
        <v>198</v>
      </c>
      <c r="G50" s="13" cm="1" t="str">
        <f t="array" ref="G50">IF(F50="","",SUBSTITUTE(SUBSTITUTE(SUBSTITUTE(SUBSTITUTE(F50,"&lt;li&gt;",CHAR(10)),"&lt;/li&gt;",""),"&lt;br&gt;",CHAR(10)),"&lt;strong&gt;",""))</f>
        <v>&lt;p&gt;Nov 2025 : échec, relance reconquête engagée. 01/04/2026 : nouvelle piste créée équipe Ventes. Déj. prévu avec Anna Fougerat (Présidente, général de division Gendarmerie) pour avancer. Prochaine étape : RDV physique 22/07/2026. Pas de retour prospect sur fonds à ce stade.&lt;/p&gt;</v>
      </c>
      <c r="H50" s="13" cm="1" t="str">
        <f t="array" ref="H50">IF(G50="","",SUBSTITUTE(SUBSTITUTE(SUBSTITUTE(SUBSTITUTE(SUBSTITUTE(G50,"&lt;p&gt;",""),"&lt;/p&gt;",""),"&lt;ul&gt;",""),"&lt;/ul&gt;",""),"&lt;/strong&gt;",""))</f>
        <v>Nov 2025 : échec, relance reconquête engagée. 01/04/2026 : nouvelle piste créée équipe Ventes. Déj. prévu avec Anna Fougerat (Présidente, général de division Gendarmerie) pour avancer. Prochaine étape : RDV physique 22/07/2026. Pas de retour prospect sur fonds à ce stade.</v>
      </c>
      <c r="I50" s="14" cm="1" t="str">
        <f t="array" ref="I50">IF(C50="","",IF(OR(H50="",H50=0,H50=FALSE),"-",H50))</f>
        <v>Nov 2025 : échec, relance reconquête engagée. 01/04/2026 : nouvelle piste créée équipe Ventes. Déj. prévu avec Anna Fougerat (Présidente, général de division Gendarmerie) pour avancer. Prochaine étape : RDV physique 22/07/2026. Pas de retour prospect sur fonds à ce stade.</v>
      </c>
      <c r="J50" s="8" t="s">
        <v>199</v>
      </c>
      <c r="K50" s="8" t="s">
        <v>53</v>
      </c>
      <c r="L50" s="9" cm="1" t="str">
        <f t="array" ref="L50">IF(C50="","",IF(K50="Mort / Plus rien à faire","KO","OK"))</f>
        <v>OK</v>
      </c>
      <c r="M50" s="15">
        <v>46134.34783564815</v>
      </c>
      <c r="N50" s="15" cm="1" t="n">
        <f t="array" ref="N50">IF(OR(C50="",M50="",M50=0),"",M50)</f>
        <v>46134.34783564815</v>
      </c>
      <c r="O50" s="15">
        <v>46225.083333333336</v>
      </c>
      <c r="P50" s="15" cm="1" t="n">
        <f t="array" ref="P50">IF(C50="","",IF(OR(O50="",O50=0),"-",O50))</f>
        <v>46225.083333333336</v>
      </c>
      <c r="Q50" s="16">
        <v>0</v>
      </c>
      <c r="R50" s="16" cm="1" t="str">
        <f t="array" ref="R50">IF(C50="","",ROUND(Q50/1000000,3)&amp;" M€")</f>
        <v>0 M€</v>
      </c>
      <c r="S50" s="12" t="s">
        <v>164</v>
      </c>
      <c r="T50" s="9" cm="1" t="str">
        <f t="array" ref="T50">IF(C50="","",SUBSTITUTE(S50,"","")&amp;"%")</f>
        <v>20%</v>
      </c>
      <c r="U50" s="14" cm="1" t="str">
        <f t="array" ref="U50">IF(($N50="")*($P50=""),"",IF(($N50&lt;&gt;"")*($N50&gt;TODAY()-9)*($N50&lt;TODAY()+1)*($P50&lt;&gt;"")*($P50&gt;=TODAY())*($P50&lt;=TODAY()+13),"Semaine passée &amp; à venir",IF(($N50&lt;&gt;"")*($N50&gt;TODAY()-9)*($N50&lt;TODAY()+1),"Semaine passée",IF(($P50&lt;&gt;"")*($P50&gt;=TODAY())*($P50&lt;=TODAY()+13),"À venir","Autre"))))</f>
        <v>Autre</v>
      </c>
      <c r="V50" s="8" cm="1" t="n">
        <f t="array" ref="V50">IF(C50&lt;&gt;"",1,0)</f>
        <v>1</v>
      </c>
      <c r="W50" s="8">
</c>
      <c r="X50" s="8">
</c>
      <c r="Y50" s="8">
</c>
      <c r="Z50" s="8">
</c>
      <c r="AA50" s="8">
</c>
      <c r="AB50" s="8">
</c>
      <c r="AC50" s="8">
</c>
      <c r="AD50" s="8">
</c>
      <c r="AE50" s="8">
</c>
      <c r="AF50" s="8">
</c>
      <c r="AG50" s="8">
</c>
      <c r="AH50" s="8">
</c>
      <c r="AI50" s="8">
</c>
      <c r="AJ50" s="8">
</c>
      <c r="AK50" s="8">
</c>
    </row>
    <row r="51" ht="76.5" customHeight="1">
      <c r="A51" s="9" t="s">
        <v>23</v>
      </c>
      <c r="B51" s="9" t="s">
        <v>184</v>
      </c>
      <c r="C51" s="12" t="s">
        <v>200</v>
      </c>
      <c r="D51" s="12" t="s">
        <v>201</v>
      </c>
      <c r="E51" s="9" t="s">
        <v>27</v>
      </c>
      <c r="F51" s="8" t="s">
        <v>202</v>
      </c>
      <c r="G51" s="13" cm="1" t="str">
        <f t="array" ref="G51">IF(F51="","",SUBSTITUTE(SUBSTITUTE(SUBSTITUTE(SUBSTITUTE(F51,"&lt;li&gt;",CHAR(10)),"&lt;/li&gt;",""),"&lt;br&gt;",CHAR(10)),"&lt;strong&gt;",""))</f>
        <v>&lt;p&gt;Thierry Vallet rejoint Arkéa Capital avec Pierre-Emmanuel Boulic, question ESG posée. Macha de la Housse vient d'intégrer Arkéa Capital, phase de structuration, report du point à plus tard, reviendra dès visibilité. Nouvelle piste créée pour équipe Ventes. Pas d'action prévue à court terme.&lt;/p&gt;</v>
      </c>
      <c r="H51" s="13" cm="1" t="str">
        <f t="array" ref="H51">IF(G51="","",SUBSTITUTE(SUBSTITUTE(SUBSTITUTE(SUBSTITUTE(SUBSTITUTE(G51,"&lt;p&gt;",""),"&lt;/p&gt;",""),"&lt;ul&gt;",""),"&lt;/ul&gt;",""),"&lt;/strong&gt;",""))</f>
        <v>Thierry Vallet rejoint Arkéa Capital avec Pierre-Emmanuel Boulic, question ESG posée. Macha de la Housse vient d'intégrer Arkéa Capital, phase de structuration, report du point à plus tard, reviendra dès visibilité. Nouvelle piste créée pour équipe Ventes. Pas d'action prévue à court terme.</v>
      </c>
      <c r="I51" s="14" cm="1" t="str">
        <f t="array" ref="I51">IF(C51="","",IF(OR(H51="",H51=0,H51=FALSE),"-",H51))</f>
        <v>Thierry Vallet rejoint Arkéa Capital avec Pierre-Emmanuel Boulic, question ESG posée. Macha de la Housse vient d'intégrer Arkéa Capital, phase de structuration, report du point à plus tard, reviendra dès visibilité. Nouvelle piste créée pour équipe Ventes. Pas d'action prévue à court terme.</v>
      </c>
      <c r="J51" s="8">
</c>
      <c r="K51" s="8" t="s">
        <v>203</v>
      </c>
      <c r="L51" s="9" cm="1" t="str">
        <f t="array" ref="L51">IF(C51="","",IF(K51="Mort / Plus rien à faire","KO","OK"))</f>
        <v>OK</v>
      </c>
      <c r="M51" s="15">
        <v>46153.49077546296</v>
      </c>
      <c r="N51" s="15" cm="1" t="n">
        <f t="array" ref="N51">IF(OR(C51="",M51="",M51=0),"",M51)</f>
        <v>46153.49077546296</v>
      </c>
      <c r="O51" s="15">
</c>
      <c r="P51" s="15" cm="1" t="str">
        <f t="array" ref="P51">IF(C51="","",IF(OR(O51="",O51=0),"-",O51))</f>
        <v>-</v>
      </c>
      <c r="Q51" s="16">
        <v>0</v>
      </c>
      <c r="R51" s="16" cm="1" t="str">
        <f t="array" ref="R51">IF(C51="","",ROUND(Q51/1000000,3)&amp;" M€")</f>
        <v>0 M€</v>
      </c>
      <c r="S51" s="12" t="s">
        <v>164</v>
      </c>
      <c r="T51" s="9" cm="1" t="str">
        <f t="array" ref="T51">IF(C51="","",SUBSTITUTE(S51,"","")&amp;"%")</f>
        <v>20%</v>
      </c>
      <c r="U51" s="14" cm="1" t="str">
        <f t="array" ref="U51">IF(($N51="")*($P51=""),"",IF(($N51&lt;&gt;"")*($N51&gt;TODAY()-9)*($N51&lt;TODAY()+1)*($P51&lt;&gt;"")*($P51&gt;=TODAY())*($P51&lt;=TODAY()+13),"Semaine passée &amp; à venir",IF(($N51&lt;&gt;"")*($N51&gt;TODAY()-9)*($N51&lt;TODAY()+1),"Semaine passée",IF(($P51&lt;&gt;"")*($P51&gt;=TODAY())*($P51&lt;=TODAY()+13),"À venir","Autre"))))</f>
        <v>Autre</v>
      </c>
      <c r="V51" s="8" cm="1" t="n">
        <f t="array" ref="V51">IF(C51&lt;&gt;"",1,0)</f>
        <v>1</v>
      </c>
      <c r="W51" s="8">
</c>
      <c r="X51" s="8">
</c>
      <c r="Y51" s="8">
</c>
      <c r="Z51" s="8">
</c>
      <c r="AA51" s="8">
</c>
      <c r="AB51" s="8">
</c>
      <c r="AC51" s="8">
</c>
      <c r="AD51" s="8">
</c>
      <c r="AE51" s="8">
</c>
      <c r="AF51" s="8">
</c>
      <c r="AG51" s="8">
</c>
      <c r="AH51" s="8">
</c>
      <c r="AI51" s="8">
</c>
      <c r="AJ51" s="8">
</c>
      <c r="AK51" s="8">
</c>
    </row>
    <row r="52" ht="76.5" customHeight="1">
      <c r="A52" s="9" t="s">
        <v>23</v>
      </c>
      <c r="B52" s="9" t="s">
        <v>204</v>
      </c>
      <c r="C52" s="12" t="s">
        <v>205</v>
      </c>
      <c r="D52" s="12" t="s">
        <v>205</v>
      </c>
      <c r="E52" s="9" t="s">
        <v>27</v>
      </c>
      <c r="F52" s="8" t="s">
        <v>206</v>
      </c>
      <c r="G52" s="13" cm="1" t="str">
        <f t="array" ref="G52">IF(F52="","",SUBSTITUTE(SUBSTITUTE(SUBSTITUTE(SUBSTITUTE(F52,"&lt;li&gt;",CHAR(10)),"&lt;/li&gt;",""),"&lt;br&gt;",CHAR(10)),"&lt;strong&gt;",""))</f>
        <v>&lt;p&gt;Relance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2.&lt;/p&gt;</v>
      </c>
      <c r="H52" s="13" cm="1" t="str">
        <f t="array" ref="H52">IF(G52="","",SUBSTITUTE(SUBSTITUTE(SUBSTITUTE(SUBSTITUTE(SUBSTITUTE(G52,"&lt;p&gt;",""),"&lt;/p&gt;",""),"&lt;ul&gt;",""),"&lt;/ul&gt;",""),"&lt;/strong&gt;",""))</f>
        <v>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v>
      </c>
      <c r="I52" s="14" cm="1" t="str">
        <f t="array" ref="I52">IF(C52="","",IF(OR(H52="",H52=0,H52=FALSE),"-",H52))</f>
        <v>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v>
      </c>
      <c r="J52" s="8" t="s">
        <v>207</v>
      </c>
      <c r="K52" s="8" t="s">
        <v>53</v>
      </c>
      <c r="L52" s="9" cm="1" t="str">
        <f t="array" ref="L52">IF(C52="","",IF(K52="Mort / Plus rien à faire","KO","OK"))</f>
        <v>OK</v>
      </c>
      <c r="M52" s="15">
        <v>46136.53045138889</v>
      </c>
      <c r="N52" s="15" cm="1" t="n">
        <f t="array" ref="N52">IF(OR(C52="",M52="",M52=0),"",M52)</f>
        <v>46136.53045138889</v>
      </c>
      <c r="O52" s="15">
</c>
      <c r="P52" s="15" cm="1" t="str">
        <f t="array" ref="P52">IF(C52="","",IF(OR(O52="",O52=0),"-",O52))</f>
        <v>-</v>
      </c>
      <c r="Q52" s="16">
        <v>0</v>
      </c>
      <c r="R52" s="16" cm="1" t="str">
        <f t="array" ref="R52">IF(C52="","",ROUND(Q52/1000000,3)&amp;" M€")</f>
        <v>0 M€</v>
      </c>
      <c r="S52" s="12" t="s">
        <v>164</v>
      </c>
      <c r="T52" s="9" cm="1" t="str">
        <f t="array" ref="T52">IF(C52="","",SUBSTITUTE(S52,"","")&amp;"%")</f>
        <v>20%</v>
      </c>
      <c r="U52" s="14" cm="1" t="str">
        <f t="array" ref="U52">IF(($N52="")*($P52=""),"",IF(($N52&lt;&gt;"")*($N52&gt;TODAY()-9)*($N52&lt;TODAY()+1)*($P52&lt;&gt;"")*($P52&gt;=TODAY())*($P52&lt;=TODAY()+13),"Semaine passée &amp; à venir",IF(($N52&lt;&gt;"")*($N52&gt;TODAY()-9)*($N52&lt;TODAY()+1),"Semaine passée",IF(($P52&lt;&gt;"")*($P52&gt;=TODAY())*($P52&lt;=TODAY()+13),"À venir","Autre"))))</f>
        <v>Autre</v>
      </c>
      <c r="V52" s="8" cm="1" t="n">
        <f t="array" ref="V52">IF(C52&lt;&gt;"",1,0)</f>
        <v>1</v>
      </c>
      <c r="W52" s="8">
</c>
      <c r="X52" s="8">
</c>
      <c r="Y52" s="8">
</c>
      <c r="Z52" s="8">
</c>
      <c r="AA52" s="8">
</c>
      <c r="AB52" s="8">
</c>
      <c r="AC52" s="8">
</c>
      <c r="AD52" s="8">
</c>
      <c r="AE52" s="8">
</c>
      <c r="AF52" s="8">
</c>
      <c r="AG52" s="8">
</c>
      <c r="AH52" s="8">
</c>
      <c r="AI52" s="8">
</c>
      <c r="AJ52" s="8">
</c>
      <c r="AK52" s="8">
</c>
    </row>
    <row r="53" ht="76.5" customHeight="1">
      <c r="A53" s="9" t="s">
        <v>23</v>
      </c>
      <c r="B53" s="9" t="s">
        <v>24</v>
      </c>
      <c r="C53" s="12" t="s">
        <v>208</v>
      </c>
      <c r="D53" s="12" t="s">
        <v>209</v>
      </c>
      <c r="E53" s="9" t="s">
        <v>27</v>
      </c>
      <c r="F53" s="8" t="s">
        <v>210</v>
      </c>
      <c r="G53" s="13" cm="1" t="str">
        <f t="array" ref="G53">IF(F53="","",SUBSTITUTE(SUBSTITUTE(SUBSTITUTE(SUBSTITUTE(F53,"&lt;li&gt;",CHAR(10)),"&lt;/li&gt;",""),"&lt;br&gt;",CHAR(10)),"&lt;strong&gt;",""))</f>
        <v>&lt;p&gt;Offre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v>
      </c>
      <c r="H53" s="13" cm="1" t="str">
        <f t="array" ref="H53">IF(G53="","",SUBSTITUTE(SUBSTITUTE(SUBSTITUTE(SUBSTITUTE(SUBSTITUTE(G53,"&lt;p&gt;",""),"&lt;/p&gt;",""),"&lt;ul&gt;",""),"&lt;/ul&gt;",""),"&lt;/strong&gt;",""))</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I53" s="14" cm="1" t="str">
        <f t="array" ref="I53">IF(C53="","",IF(OR(H53="",H53=0,H53=FALSE),"-",H53))</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J53" s="8" t="s">
        <v>211</v>
      </c>
      <c r="K53" s="8" t="s">
        <v>53</v>
      </c>
      <c r="L53" s="9" cm="1" t="str">
        <f t="array" ref="L53">IF(C53="","",IF(K53="Mort / Plus rien à faire","KO","OK"))</f>
        <v>OK</v>
      </c>
      <c r="M53" s="15">
        <v>46114.69349537037</v>
      </c>
      <c r="N53" s="15" cm="1" t="n">
        <f t="array" ref="N53">IF(OR(C53="",M53="",M53=0),"",M53)</f>
        <v>46114.69349537037</v>
      </c>
      <c r="O53" s="15">
</c>
      <c r="P53" s="15" cm="1" t="str">
        <f t="array" ref="P53">IF(C53="","",IF(OR(O53="",O53=0),"-",O53))</f>
        <v>-</v>
      </c>
      <c r="Q53" s="16">
        <v>1000000</v>
      </c>
      <c r="R53" s="16" cm="1" t="str">
        <f t="array" ref="R53">IF(C53="","",ROUND(Q53/1000000,3)&amp;" M€")</f>
        <v>1 M€</v>
      </c>
      <c r="S53" s="12" t="s">
        <v>164</v>
      </c>
      <c r="T53" s="9" cm="1" t="str">
        <f t="array" ref="T53">IF(C53="","",SUBSTITUTE(S53,"","")&amp;"%")</f>
        <v>20%</v>
      </c>
      <c r="U53" s="14" cm="1" t="str">
        <f t="array" ref="U53">IF(($N53="")*($P53=""),"",IF(($N53&lt;&gt;"")*($N53&gt;TODAY()-9)*($N53&lt;TODAY()+1)*($P53&lt;&gt;"")*($P53&gt;=TODAY())*($P53&lt;=TODAY()+13),"Semaine passée &amp; à venir",IF(($N53&lt;&gt;"")*($N53&gt;TODAY()-9)*($N53&lt;TODAY()+1),"Semaine passée",IF(($P53&lt;&gt;"")*($P53&gt;=TODAY())*($P53&lt;=TODAY()+13),"À venir","Autre"))))</f>
        <v>Autre</v>
      </c>
      <c r="V53" s="8" cm="1" t="n">
        <f t="array" ref="V53">IF(C53&lt;&gt;"",1,0)</f>
        <v>1</v>
      </c>
      <c r="W53" s="8">
</c>
      <c r="X53" s="8">
</c>
      <c r="Y53" s="8">
</c>
      <c r="Z53" s="8">
</c>
      <c r="AA53" s="8">
</c>
      <c r="AB53" s="8">
</c>
      <c r="AC53" s="8">
</c>
      <c r="AD53" s="8">
</c>
      <c r="AE53" s="8">
</c>
      <c r="AF53" s="8">
</c>
      <c r="AG53" s="8">
</c>
      <c r="AH53" s="8">
</c>
      <c r="AI53" s="8">
</c>
      <c r="AJ53" s="8">
</c>
      <c r="AK53" s="8">
</c>
    </row>
    <row r="54" ht="76.5" customHeight="1">
      <c r="A54" s="9" t="s">
        <v>23</v>
      </c>
      <c r="B54" s="9" t="s">
        <v>55</v>
      </c>
      <c r="C54" s="12" t="s">
        <v>212</v>
      </c>
      <c r="D54" s="12" t="s">
        <v>213</v>
      </c>
      <c r="E54" s="9" t="s">
        <v>27</v>
      </c>
      <c r="F54" s="8" t="s">
        <v>214</v>
      </c>
      <c r="G54" s="13" cm="1" t="str">
        <f t="array" ref="G54">IF(F54="","",SUBSTITUTE(SUBSTITUTE(SUBSTITUTE(SUBSTITUTE(F54,"&lt;li&gt;",CHAR(10)),"&lt;/li&gt;",""),"&lt;br&gt;",CHAR(10)),"&lt;strong&gt;",""))</f>
        <v>&lt;p&gt;Relances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prévue.&lt;/p&gt;</v>
      </c>
      <c r="H54" s="13" cm="1" t="str">
        <f t="array" ref="H54">IF(G54="","",SUBSTITUTE(SUBSTITUTE(SUBSTITUTE(SUBSTITUTE(SUBSTITUTE(G54,"&lt;p&gt;",""),"&lt;/p&gt;",""),"&lt;ul&gt;",""),"&lt;/ul&gt;",""),"&lt;/strong&gt;",""))</f>
        <v>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v>
      </c>
      <c r="I54" s="14" cm="1" t="str">
        <f t="array" ref="I54">IF(C54="","",IF(OR(H54="",H54=0,H54=FALSE),"-",H54))</f>
        <v>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v>
      </c>
      <c r="J54" s="8" t="s">
        <v>215</v>
      </c>
      <c r="K54" s="8" t="s">
        <v>106</v>
      </c>
      <c r="L54" s="9" cm="1" t="str">
        <f t="array" ref="L54">IF(C54="","",IF(K54="Mort / Plus rien à faire","KO","OK"))</f>
        <v>OK</v>
      </c>
      <c r="M54" s="15">
        <v>46105.648726851854</v>
      </c>
      <c r="N54" s="15" cm="1" t="n">
        <f t="array" ref="N54">IF(OR(C54="",M54="",M54=0),"",M54)</f>
        <v>46105.648726851854</v>
      </c>
      <c r="O54" s="15">
        <v>46391.041666666664</v>
      </c>
      <c r="P54" s="15" cm="1" t="n">
        <f t="array" ref="P54">IF(C54="","",IF(OR(O54="",O54=0),"-",O54))</f>
        <v>46391.041666666664</v>
      </c>
      <c r="Q54" s="16">
        <v>0</v>
      </c>
      <c r="R54" s="16" cm="1" t="str">
        <f t="array" ref="R54">IF(C54="","",ROUND(Q54/1000000,3)&amp;" M€")</f>
        <v>0 M€</v>
      </c>
      <c r="S54" s="12" t="s">
        <v>216</v>
      </c>
      <c r="T54" s="9" cm="1" t="str">
        <f t="array" ref="T54">IF(C54="","",SUBSTITUTE(S54,"","")&amp;"%")</f>
        <v>10%</v>
      </c>
      <c r="U54" s="14" cm="1" t="str">
        <f t="array" ref="U54">IF(($N54="")*($P54=""),"",IF(($N54&lt;&gt;"")*($N54&gt;TODAY()-9)*($N54&lt;TODAY()+1)*($P54&lt;&gt;"")*($P54&gt;=TODAY())*($P54&lt;=TODAY()+13),"Semaine passée &amp; à venir",IF(($N54&lt;&gt;"")*($N54&gt;TODAY()-9)*($N54&lt;TODAY()+1),"Semaine passée",IF(($P54&lt;&gt;"")*($P54&gt;=TODAY())*($P54&lt;=TODAY()+13),"À venir","Autre"))))</f>
        <v>Autre</v>
      </c>
      <c r="V54" s="8" cm="1" t="n">
        <f t="array" ref="V54">IF(C54&lt;&gt;"",1,0)</f>
        <v>1</v>
      </c>
      <c r="W54" s="8">
</c>
      <c r="X54" s="8">
</c>
      <c r="Y54" s="8">
</c>
      <c r="Z54" s="8">
</c>
      <c r="AA54" s="8">
</c>
      <c r="AB54" s="8">
</c>
      <c r="AC54" s="8">
</c>
      <c r="AD54" s="8">
</c>
      <c r="AE54" s="8">
</c>
      <c r="AF54" s="8">
</c>
      <c r="AG54" s="8">
</c>
      <c r="AH54" s="8">
</c>
      <c r="AI54" s="8">
</c>
      <c r="AJ54" s="8">
</c>
      <c r="AK54" s="8">
</c>
    </row>
    <row r="55" ht="76.5" customHeight="1">
      <c r="A55" s="9" t="s">
        <v>23</v>
      </c>
      <c r="B55" s="9" t="s">
        <v>217</v>
      </c>
      <c r="C55" s="12" t="s">
        <v>218</v>
      </c>
      <c r="D55" s="12" t="s">
        <v>219</v>
      </c>
      <c r="E55" s="9" t="s">
        <v>27</v>
      </c>
      <c r="F55" s="8" t="s">
        <v>220</v>
      </c>
      <c r="G55" s="13" cm="1" t="str">
        <f t="array" ref="G55">IF(F55="","",SUBSTITUTE(SUBSTITUTE(SUBSTITUTE(SUBSTITUTE(F55,"&lt;li&gt;",CHAR(10)),"&lt;/li&gt;",""),"&lt;br&gt;",CHAR(10)),"&lt;strong&gt;",""))</f>
        <v>&lt;p&gt;Multiples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avril.&lt;/p&gt;</v>
      </c>
      <c r="H55" s="13" cm="1" t="str">
        <f t="array" ref="H55">IF(G55="","",SUBSTITUTE(SUBSTITUTE(SUBSTITUTE(SUBSTITUTE(SUBSTITUTE(G55,"&lt;p&gt;",""),"&lt;/p&gt;",""),"&lt;ul&gt;",""),"&lt;/ul&gt;",""),"&lt;/strong&gt;",""))</f>
        <v>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v>
      </c>
      <c r="I55" s="14" cm="1" t="str">
        <f t="array" ref="I55">IF(C55="","",IF(OR(H55="",H55=0,H55=FALSE),"-",H55))</f>
        <v>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v>
      </c>
      <c r="J55" s="8" t="s">
        <v>221</v>
      </c>
      <c r="K55" s="8" t="s">
        <v>53</v>
      </c>
      <c r="L55" s="9" cm="1" t="str">
        <f t="array" ref="L55">IF(C55="","",IF(K55="Mort / Plus rien à faire","KO","OK"))</f>
        <v>OK</v>
      </c>
      <c r="M55" s="15">
        <v>46129.75266203703</v>
      </c>
      <c r="N55" s="15" cm="1" t="n">
        <f t="array" ref="N55">IF(OR(C55="",M55="",M55=0),"",M55)</f>
        <v>46129.75266203703</v>
      </c>
      <c r="O55" s="15">
</c>
      <c r="P55" s="15" cm="1" t="str">
        <f t="array" ref="P55">IF(C55="","",IF(OR(O55="",O55=0),"-",O55))</f>
        <v>-</v>
      </c>
      <c r="Q55" s="16">
        <v>0</v>
      </c>
      <c r="R55" s="16" cm="1" t="str">
        <f t="array" ref="R55">IF(C55="","",ROUND(Q55/1000000,3)&amp;" M€")</f>
        <v>0 M€</v>
      </c>
      <c r="S55" s="12" t="s">
        <v>216</v>
      </c>
      <c r="T55" s="9" cm="1" t="str">
        <f t="array" ref="T55">IF(C55="","",SUBSTITUTE(S55,"","")&amp;"%")</f>
        <v>10%</v>
      </c>
      <c r="U55" s="14" cm="1" t="str">
        <f t="array" ref="U55">IF(($N55="")*($P55=""),"",IF(($N55&lt;&gt;"")*($N55&gt;TODAY()-9)*($N55&lt;TODAY()+1)*($P55&lt;&gt;"")*($P55&gt;=TODAY())*($P55&lt;=TODAY()+13),"Semaine passée &amp; à venir",IF(($N55&lt;&gt;"")*($N55&gt;TODAY()-9)*($N55&lt;TODAY()+1),"Semaine passée",IF(($P55&lt;&gt;"")*($P55&gt;=TODAY())*($P55&lt;=TODAY()+13),"À venir","Autre"))))</f>
        <v>Autre</v>
      </c>
      <c r="V55" s="8" cm="1" t="n">
        <f t="array" ref="V55">IF(C55&lt;&gt;"",1,0)</f>
        <v>1</v>
      </c>
      <c r="W55" s="8">
</c>
      <c r="X55" s="8">
</c>
      <c r="Y55" s="8">
</c>
      <c r="Z55" s="8">
</c>
      <c r="AA55" s="8">
</c>
      <c r="AB55" s="8">
</c>
      <c r="AC55" s="8">
</c>
      <c r="AD55" s="8">
</c>
      <c r="AE55" s="8">
</c>
      <c r="AF55" s="8">
</c>
      <c r="AG55" s="8">
</c>
      <c r="AH55" s="8">
</c>
      <c r="AI55" s="8">
</c>
      <c r="AJ55" s="8">
</c>
      <c r="AK55" s="8">
</c>
    </row>
    <row r="56" ht="76.5" customHeight="1">
      <c r="A56" s="9" t="s">
        <v>23</v>
      </c>
      <c r="B56" s="9" t="s">
        <v>144</v>
      </c>
      <c r="C56" s="12" t="s">
        <v>222</v>
      </c>
      <c r="D56" s="12" t="s">
        <v>223</v>
      </c>
      <c r="E56" s="9" t="s">
        <v>27</v>
      </c>
      <c r="F56" s="8" t="s">
        <v>224</v>
      </c>
      <c r="G56" s="13" cm="1" t="str">
        <f t="array" ref="G56">IF(F56="","",SUBSTITUTE(SUBSTITUTE(SUBSTITUTE(SUBSTITUTE(F56,"&lt;li&gt;",CHAR(10)),"&lt;/li&gt;",""),"&lt;br&gt;",CHAR(10)),"&lt;strong&gt;",""))</f>
        <v>&lt;p&gt;RDV physique réalisé, échanges en cours. Prochaine étape : relancer pour fixer un nouveau RDV deuxième quinzaine de juin (deadline 12/06). Pas d'autres retours ou décisions prospect mentionnés. Aucun passage en comité signalé. Suivi à maintenir, attente retour prospect pour planification.&lt;/p&gt;</v>
      </c>
      <c r="H56" s="13" cm="1" t="str">
        <f t="array" ref="H56">IF(G56="","",SUBSTITUTE(SUBSTITUTE(SUBSTITUTE(SUBSTITUTE(SUBSTITUTE(G56,"&lt;p&gt;",""),"&lt;/p&gt;",""),"&lt;ul&gt;",""),"&lt;/ul&gt;",""),"&lt;/strong&gt;",""))</f>
        <v>RDV physique réalisé, échanges en cours. Prochaine étape : relancer pour fixer un nouveau RDV deuxième quinzaine de juin (deadline 12/06). Pas d'autres retours ou décisions prospect mentionnés. Aucun passage en comité signalé. Suivi à maintenir, attente retour prospect pour planification.</v>
      </c>
      <c r="I56" s="14" cm="1" t="str">
        <f t="array" ref="I56">IF(C56="","",IF(OR(H56="",H56=0,H56=FALSE),"-",H56))</f>
        <v>RDV physique réalisé, échanges en cours. Prochaine étape : relancer pour fixer un nouveau RDV deuxième quinzaine de juin (deadline 12/06). Pas d'autres retours ou décisions prospect mentionnés. Aucun passage en comité signalé. Suivi à maintenir, attente retour prospect pour planification.</v>
      </c>
      <c r="J56" s="8" t="s">
        <v>225</v>
      </c>
      <c r="K56" s="8" t="s">
        <v>203</v>
      </c>
      <c r="L56" s="9" cm="1" t="str">
        <f t="array" ref="L56">IF(C56="","",IF(K56="Mort / Plus rien à faire","KO","OK"))</f>
        <v>OK</v>
      </c>
      <c r="M56" s="15">
        <v>46174.53648148148</v>
      </c>
      <c r="N56" s="15" cm="1" t="n">
        <f t="array" ref="N56">IF(OR(C56="",M56="",M56=0),"",M56)</f>
        <v>46174.53648148148</v>
      </c>
      <c r="O56" s="15">
        <v>46192.083333333336</v>
      </c>
      <c r="P56" s="15" cm="1" t="n">
        <f t="array" ref="P56">IF(C56="","",IF(OR(O56="",O56=0),"-",O56))</f>
        <v>46192.083333333336</v>
      </c>
      <c r="Q56" s="16">
        <v>0</v>
      </c>
      <c r="R56" s="16" cm="1" t="str">
        <f t="array" ref="R56">IF(C56="","",ROUND(Q56/1000000,3)&amp;" M€")</f>
        <v>0 M€</v>
      </c>
      <c r="S56" s="12" t="s">
        <v>216</v>
      </c>
      <c r="T56" s="9" cm="1" t="str">
        <f t="array" ref="T56">IF(C56="","",SUBSTITUTE(S56,"","")&amp;"%")</f>
        <v>10%</v>
      </c>
      <c r="U56" s="14" cm="1" t="str">
        <f t="array" ref="U56">IF(($N56="")*($P56=""),"",IF(($N56&lt;&gt;"")*($N56&gt;TODAY()-9)*($N56&lt;TODAY()+1)*($P56&lt;&gt;"")*($P56&gt;=TODAY())*($P56&lt;=TODAY()+13),"Semaine passée &amp; à venir",IF(($N56&lt;&gt;"")*($N56&gt;TODAY()-9)*($N56&lt;TODAY()+1),"Semaine passée",IF(($P56&lt;&gt;"")*($P56&gt;=TODAY())*($P56&lt;=TODAY()+13),"À venir","Autre"))))</f>
        <v>Semaine passée</v>
      </c>
      <c r="V56" s="8" cm="1" t="n">
        <f t="array" ref="V56">IF(C56&lt;&gt;"",1,0)</f>
        <v>1</v>
      </c>
      <c r="W56" s="8">
</c>
      <c r="X56" s="8">
</c>
      <c r="Y56" s="8">
</c>
      <c r="Z56" s="8">
</c>
      <c r="AA56" s="8">
</c>
      <c r="AB56" s="8">
</c>
      <c r="AC56" s="8">
</c>
      <c r="AD56" s="8">
</c>
      <c r="AE56" s="8">
</c>
      <c r="AF56" s="8">
</c>
      <c r="AG56" s="8">
</c>
      <c r="AH56" s="8">
</c>
      <c r="AI56" s="8">
</c>
      <c r="AJ56" s="8">
</c>
      <c r="AK56" s="8">
</c>
    </row>
    <row r="57" ht="76.5" customHeight="1">
      <c r="A57" s="9" t="s">
        <v>23</v>
      </c>
      <c r="B57" s="9" t="s">
        <v>217</v>
      </c>
      <c r="C57" s="12" t="s">
        <v>218</v>
      </c>
      <c r="D57" s="12" t="s">
        <v>226</v>
      </c>
      <c r="E57" s="9" t="s">
        <v>27</v>
      </c>
      <c r="F57" s="8" t="s">
        <v>227</v>
      </c>
      <c r="G57" s="13" cm="1" t="str">
        <f t="array" ref="G57">IF(F57="","",SUBSTITUTE(SUBSTITUTE(SUBSTITUTE(SUBSTITUTE(F57,"&lt;li&gt;",CHAR(10)),"&lt;/li&gt;",""),"&lt;br&gt;",CHAR(10)),"&lt;strong&gt;",""))</f>
        <v>&lt;p&gt;RDV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stade.&lt;/p&gt;</v>
      </c>
      <c r="H57" s="13" cm="1" t="str">
        <f t="array" ref="H57">IF(G57="","",SUBSTITUTE(SUBSTITUTE(SUBSTITUTE(SUBSTITUTE(SUBSTITUTE(G57,"&lt;p&gt;",""),"&lt;/p&gt;",""),"&lt;ul&gt;",""),"&lt;/ul&gt;",""),"&lt;/strong&gt;",""))</f>
        <v>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v>
      </c>
      <c r="I57" s="14" cm="1" t="str">
        <f t="array" ref="I57">IF(C57="","",IF(OR(H57="",H57=0,H57=FALSE),"-",H57))</f>
        <v>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v>
      </c>
      <c r="J57" s="8">
</c>
      <c r="K57" s="8" t="s">
        <v>203</v>
      </c>
      <c r="L57" s="9" cm="1" t="str">
        <f t="array" ref="L57">IF(C57="","",IF(K57="Mort / Plus rien à faire","KO","OK"))</f>
        <v>OK</v>
      </c>
      <c r="M57" s="15">
        <v>46127.35114583333</v>
      </c>
      <c r="N57" s="15" cm="1" t="n">
        <f t="array" ref="N57">IF(OR(C57="",M57="",M57=0),"",M57)</f>
        <v>46127.35114583333</v>
      </c>
      <c r="O57" s="15">
</c>
      <c r="P57" s="15" cm="1" t="str">
        <f t="array" ref="P57">IF(C57="","",IF(OR(O57="",O57=0),"-",O57))</f>
        <v>-</v>
      </c>
      <c r="Q57" s="16">
        <v>0</v>
      </c>
      <c r="R57" s="16" cm="1" t="str">
        <f t="array" ref="R57">IF(C57="","",ROUND(Q57/1000000,3)&amp;" M€")</f>
        <v>0 M€</v>
      </c>
      <c r="S57" s="12" t="s">
        <v>216</v>
      </c>
      <c r="T57" s="9" cm="1" t="str">
        <f t="array" ref="T57">IF(C57="","",SUBSTITUTE(S57,"","")&amp;"%")</f>
        <v>10%</v>
      </c>
      <c r="U57" s="14" cm="1" t="str">
        <f t="array" ref="U57">IF(($N57="")*($P57=""),"",IF(($N57&lt;&gt;"")*($N57&gt;TODAY()-9)*($N57&lt;TODAY()+1)*($P57&lt;&gt;"")*($P57&gt;=TODAY())*($P57&lt;=TODAY()+13),"Semaine passée &amp; à venir",IF(($N57&lt;&gt;"")*($N57&gt;TODAY()-9)*($N57&lt;TODAY()+1),"Semaine passée",IF(($P57&lt;&gt;"")*($P57&gt;=TODAY())*($P57&lt;=TODAY()+13),"À venir","Autre"))))</f>
        <v>Autre</v>
      </c>
      <c r="V57" s="8" cm="1" t="n">
        <f t="array" ref="V57">IF(C57&lt;&gt;"",1,0)</f>
        <v>1</v>
      </c>
      <c r="W57" s="8">
</c>
      <c r="X57" s="8">
</c>
      <c r="Y57" s="8">
</c>
      <c r="Z57" s="8">
</c>
      <c r="AA57" s="8">
</c>
      <c r="AB57" s="8">
</c>
      <c r="AC57" s="8">
</c>
      <c r="AD57" s="8">
</c>
      <c r="AE57" s="8">
</c>
      <c r="AF57" s="8">
</c>
      <c r="AG57" s="8">
</c>
      <c r="AH57" s="8">
</c>
      <c r="AI57" s="8">
</c>
      <c r="AJ57" s="8">
</c>
      <c r="AK57" s="8">
</c>
    </row>
    <row r="58" ht="76.5" customHeight="1">
      <c r="A58" s="9" t="s">
        <v>23</v>
      </c>
      <c r="B58" s="9" t="s">
        <v>55</v>
      </c>
      <c r="C58" s="12" t="s">
        <v>228</v>
      </c>
      <c r="D58" s="12" t="s">
        <v>229</v>
      </c>
      <c r="E58" s="9" t="s">
        <v>27</v>
      </c>
      <c r="F58" s="8" t="s">
        <v>230</v>
      </c>
      <c r="G58" s="13" cm="1" t="str">
        <f t="array" ref="G58">IF(F58="","",SUBSTITUTE(SUBSTITUTE(SUBSTITUTE(SUBSTITUTE(F58,"&lt;li&gt;",CHAR(10)),"&lt;/li&gt;",""),"&lt;br&gt;",CHAR(10)),"&lt;strong&gt;",""))</f>
        <v>&lt;p&gt;Aucune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v>
      </c>
      <c r="H58" s="13" cm="1" t="str">
        <f t="array" ref="H58">IF(G58="","",SUBSTITUTE(SUBSTITUTE(SUBSTITUTE(SUBSTITUTE(SUBSTITUTE(G58,"&lt;p&gt;",""),"&lt;/p&gt;",""),"&lt;ul&gt;",""),"&lt;/ul&gt;",""),"&lt;/strong&gt;",""))</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I58" s="14" cm="1" t="str">
        <f t="array" ref="I58">IF(C58="","",IF(OR(H58="",H58=0,H58=FALSE),"-",H58))</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J58" s="8">
</c>
      <c r="K58" s="8" t="s">
        <v>203</v>
      </c>
      <c r="L58" s="9" cm="1" t="str">
        <f t="array" ref="L58">IF(C58="","",IF(K58="Mort / Plus rien à faire","KO","OK"))</f>
        <v>OK</v>
      </c>
      <c r="M58" s="15">
        <v>46028.566458333335</v>
      </c>
      <c r="N58" s="15" cm="1" t="n">
        <f t="array" ref="N58">IF(OR(C58="",M58="",M58=0),"",M58)</f>
        <v>46028.566458333335</v>
      </c>
      <c r="O58" s="15">
</c>
      <c r="P58" s="15" cm="1" t="str">
        <f t="array" ref="P58">IF(C58="","",IF(OR(O58="",O58=0),"-",O58))</f>
        <v>-</v>
      </c>
      <c r="Q58" s="16">
        <v>0</v>
      </c>
      <c r="R58" s="16" cm="1" t="str">
        <f t="array" ref="R58">IF(C58="","",ROUND(Q58/1000000,3)&amp;" M€")</f>
        <v>0 M€</v>
      </c>
      <c r="S58" s="12" t="s">
        <v>216</v>
      </c>
      <c r="T58" s="9" cm="1" t="str">
        <f t="array" ref="T58">IF(C58="","",SUBSTITUTE(S58,"","")&amp;"%")</f>
        <v>10%</v>
      </c>
      <c r="U58" s="14" cm="1" t="str">
        <f t="array" ref="U58">IF(($N58="")*($P58=""),"",IF(($N58&lt;&gt;"")*($N58&gt;TODAY()-9)*($N58&lt;TODAY()+1)*($P58&lt;&gt;"")*($P58&gt;=TODAY())*($P58&lt;=TODAY()+13),"Semaine passée &amp; à venir",IF(($N58&lt;&gt;"")*($N58&gt;TODAY()-9)*($N58&lt;TODAY()+1),"Semaine passée",IF(($P58&lt;&gt;"")*($P58&gt;=TODAY())*($P58&lt;=TODAY()+13),"À venir","Autre"))))</f>
        <v>Autre</v>
      </c>
      <c r="V58" s="8" cm="1" t="n">
        <f t="array" ref="V58">IF(C58&lt;&gt;"",1,0)</f>
        <v>1</v>
      </c>
      <c r="W58" s="8">
</c>
      <c r="X58" s="8">
</c>
      <c r="Y58" s="8">
</c>
      <c r="Z58" s="8">
</c>
      <c r="AA58" s="8">
</c>
      <c r="AB58" s="8">
</c>
      <c r="AC58" s="8">
</c>
      <c r="AD58" s="8">
</c>
      <c r="AE58" s="8">
</c>
      <c r="AF58" s="8">
</c>
      <c r="AG58" s="8">
</c>
      <c r="AH58" s="8">
</c>
      <c r="AI58" s="8">
</c>
      <c r="AJ58" s="8">
</c>
      <c r="AK58" s="8">
</c>
    </row>
    <row r="59" ht="76.5" customHeight="1">
      <c r="A59" s="9" t="s">
        <v>23</v>
      </c>
      <c r="B59" s="9" t="s">
        <v>35</v>
      </c>
      <c r="C59" s="12" t="s">
        <v>231</v>
      </c>
      <c r="D59" s="12" t="s">
        <v>232</v>
      </c>
      <c r="E59" s="9" t="s">
        <v>27</v>
      </c>
      <c r="F59" s="8" t="s">
        <v>233</v>
      </c>
      <c r="G59" s="13" cm="1" t="str">
        <f t="array" ref="G59">IF(F59="","",SUBSTITUTE(SUBSTITUTE(SUBSTITUTE(SUBSTITUTE(F59,"&lt;li&gt;",CHAR(10)),"&lt;/li&gt;",""),"&lt;br&gt;",CHAR(10)),"&lt;strong&gt;",""))</f>
        <v>&lt;p&gt;Déjeuner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v>
      </c>
      <c r="H59" s="13" cm="1" t="str">
        <f t="array" ref="H59">IF(G59="","",SUBSTITUTE(SUBSTITUTE(SUBSTITUTE(SUBSTITUTE(SUBSTITUTE(G59,"&lt;p&gt;",""),"&lt;/p&gt;",""),"&lt;ul&gt;",""),"&lt;/ul&gt;",""),"&lt;/strong&gt;",""))</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I59" s="14" cm="1" t="str">
        <f t="array" ref="I59">IF(C59="","",IF(OR(H59="",H59=0,H59=FALSE),"-",H59))</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J59" s="8" t="s">
        <v>234</v>
      </c>
      <c r="K59" s="8" t="s">
        <v>235</v>
      </c>
      <c r="L59" s="9" cm="1" t="str">
        <f t="array" ref="L59">IF(C59="","",IF(K59="Mort / Plus rien à faire","KO","OK"))</f>
        <v>OK</v>
      </c>
      <c r="M59" s="15">
        <v>46087.673622685186</v>
      </c>
      <c r="N59" s="15" cm="1" t="n">
        <f t="array" ref="N59">IF(OR(C59="",M59="",M59=0),"",M59)</f>
        <v>46087.673622685186</v>
      </c>
      <c r="O59" s="15">
        <v>46328.041666666664</v>
      </c>
      <c r="P59" s="15" cm="1" t="n">
        <f t="array" ref="P59">IF(C59="","",IF(OR(O59="",O59=0),"-",O59))</f>
        <v>46328.041666666664</v>
      </c>
      <c r="Q59" s="16">
        <v>2000000</v>
      </c>
      <c r="R59" s="16" cm="1" t="str">
        <f t="array" ref="R59">IF(C59="","",ROUND(Q59/1000000,3)&amp;" M€")</f>
        <v>2 M€</v>
      </c>
      <c r="S59" s="12" t="s">
        <v>216</v>
      </c>
      <c r="T59" s="9" cm="1" t="str">
        <f t="array" ref="T59">IF(C59="","",SUBSTITUTE(S59,"","")&amp;"%")</f>
        <v>10%</v>
      </c>
      <c r="U59" s="14" cm="1" t="str">
        <f t="array" ref="U59">IF(($N59="")*($P59=""),"",IF(($N59&lt;&gt;"")*($N59&gt;TODAY()-9)*($N59&lt;TODAY()+1)*($P59&lt;&gt;"")*($P59&gt;=TODAY())*($P59&lt;=TODAY()+13),"Semaine passée &amp; à venir",IF(($N59&lt;&gt;"")*($N59&gt;TODAY()-9)*($N59&lt;TODAY()+1),"Semaine passée",IF(($P59&lt;&gt;"")*($P59&gt;=TODAY())*($P59&lt;=TODAY()+13),"À venir","Autre"))))</f>
        <v>Autre</v>
      </c>
      <c r="V59" s="8" cm="1" t="n">
        <f t="array" ref="V59">IF(C59&lt;&gt;"",1,0)</f>
        <v>1</v>
      </c>
      <c r="W59" s="8">
</c>
      <c r="X59" s="8">
</c>
      <c r="Y59" s="8">
</c>
      <c r="Z59" s="8">
</c>
      <c r="AA59" s="8">
</c>
      <c r="AB59" s="8">
</c>
      <c r="AC59" s="8">
</c>
      <c r="AD59" s="8">
</c>
      <c r="AE59" s="8">
</c>
      <c r="AF59" s="8">
</c>
      <c r="AG59" s="8">
</c>
      <c r="AH59" s="8">
</c>
      <c r="AI59" s="8">
</c>
      <c r="AJ59" s="8">
</c>
      <c r="AK59" s="8">
</c>
    </row>
    <row r="60" ht="76.5" customHeight="1">
      <c r="A60" s="9" t="s">
        <v>23</v>
      </c>
      <c r="B60" s="9" t="s">
        <v>24</v>
      </c>
      <c r="C60" s="12" t="s">
        <v>236</v>
      </c>
      <c r="D60" s="12" t="s">
        <v>237</v>
      </c>
      <c r="E60" s="9" t="s">
        <v>27</v>
      </c>
      <c r="F60" s="8" t="s">
        <v>238</v>
      </c>
      <c r="G60" s="13" cm="1" t="str">
        <f t="array" ref="G60">IF(F60="","",SUBSTITUTE(SUBSTITUTE(SUBSTITUTE(SUBSTITUTE(F60,"&lt;li&gt;",CHAR(10)),"&lt;/li&gt;",""),"&lt;br&gt;",CHAR(10)),"&lt;strong&gt;",""))</f>
        <v>&lt;p&gt;RDV en cours avec MALAKOFF/Eric Vaudenne via O. de Panafieu prévu sept 2026. Dernier échange physique 02/02/2026, Boris rapporte à Aurélie Baudhuin qui informe Thomas Saunier (DG). Suivi direct avec direction financière. Pas d'autres actions ou retours prospect notés. Prochaine étape&amp;nbsp;: RDV sept 2026.&lt;/p&gt;</v>
      </c>
      <c r="H60" s="13" cm="1" t="str">
        <f t="array" ref="H60">IF(G60="","",SUBSTITUTE(SUBSTITUTE(SUBSTITUTE(SUBSTITUTE(SUBSTITUTE(G60,"&lt;p&gt;",""),"&lt;/p&gt;",""),"&lt;ul&gt;",""),"&lt;/ul&gt;",""),"&lt;/strong&gt;",""))</f>
        <v>RDV en cours avec MALAKOFF/Eric Vaudenne via O. de Panafieu prévu sept 2026. Dernier échange physique 02/02/2026, Boris rapporte à Aurélie Baudhuin qui informe Thomas Saunier (DG). Suivi direct avec direction financière. Pas d'autres actions ou retours prospect notés. Prochaine étape&amp;nbsp;: RDV sept 2026.</v>
      </c>
      <c r="I60" s="14" cm="1" t="str">
        <f t="array" ref="I60">IF(C60="","",IF(OR(H60="",H60=0,H60=FALSE),"-",H60))</f>
        <v>RDV en cours avec MALAKOFF/Eric Vaudenne via O. de Panafieu prévu sept 2026. Dernier échange physique 02/02/2026, Boris rapporte à Aurélie Baudhuin qui informe Thomas Saunier (DG). Suivi direct avec direction financière. Pas d'autres actions ou retours prospect notés. Prochaine étape&amp;nbsp;: RDV sept 2026.</v>
      </c>
      <c r="J60" s="8" t="s">
        <v>239</v>
      </c>
      <c r="K60" s="8" t="s">
        <v>203</v>
      </c>
      <c r="L60" s="9" cm="1" t="str">
        <f t="array" ref="L60">IF(C60="","",IF(K60="Mort / Plus rien à faire","KO","OK"))</f>
        <v>OK</v>
      </c>
      <c r="M60" s="15">
        <v>46175.61954861111</v>
      </c>
      <c r="N60" s="15" cm="1" t="n">
        <f t="array" ref="N60">IF(OR(C60="",M60="",M60=0),"",M60)</f>
        <v>46175.61954861111</v>
      </c>
      <c r="O60" s="15">
        <v>46269.083333333336</v>
      </c>
      <c r="P60" s="15" cm="1" t="n">
        <f t="array" ref="P60">IF(C60="","",IF(OR(O60="",O60=0),"-",O60))</f>
        <v>46269.083333333336</v>
      </c>
      <c r="Q60" s="16">
        <v>0</v>
      </c>
      <c r="R60" s="16" cm="1" t="str">
        <f t="array" ref="R60">IF(C60="","",ROUND(Q60/1000000,3)&amp;" M€")</f>
        <v>0 M€</v>
      </c>
      <c r="S60" s="12" t="s">
        <v>216</v>
      </c>
      <c r="T60" s="9" cm="1" t="str">
        <f t="array" ref="T60">IF(C60="","",SUBSTITUTE(S60,"","")&amp;"%")</f>
        <v>10%</v>
      </c>
      <c r="U60" s="14" cm="1" t="str">
        <f t="array" ref="U60">IF(($N60="")*($P60=""),"",IF(($N60&lt;&gt;"")*($N60&gt;TODAY()-9)*($N60&lt;TODAY()+1)*($P60&lt;&gt;"")*($P60&gt;=TODAY())*($P60&lt;=TODAY()+13),"Semaine passée &amp; à venir",IF(($N60&lt;&gt;"")*($N60&gt;TODAY()-9)*($N60&lt;TODAY()+1),"Semaine passée",IF(($P60&lt;&gt;"")*($P60&gt;=TODAY())*($P60&lt;=TODAY()+13),"À venir","Autre"))))</f>
        <v>Semaine passée</v>
      </c>
      <c r="V60" s="8" cm="1" t="n">
        <f t="array" ref="V60">IF(C60&lt;&gt;"",1,0)</f>
        <v>1</v>
      </c>
      <c r="W60" s="8">
</c>
      <c r="X60" s="8">
</c>
      <c r="Y60" s="8">
</c>
      <c r="Z60" s="8">
</c>
      <c r="AA60" s="8">
</c>
      <c r="AB60" s="8">
</c>
      <c r="AC60" s="8">
</c>
      <c r="AD60" s="8">
</c>
      <c r="AE60" s="8">
</c>
      <c r="AF60" s="8">
</c>
      <c r="AG60" s="8">
</c>
      <c r="AH60" s="8">
</c>
      <c r="AI60" s="8">
</c>
      <c r="AJ60" s="8">
</c>
      <c r="AK60" s="8">
</c>
    </row>
    <row r="61" ht="76.5" customHeight="1">
      <c r="A61" s="9" t="s">
        <v>23</v>
      </c>
      <c r="B61" s="9" t="s">
        <v>144</v>
      </c>
      <c r="C61" s="12" t="s">
        <v>240</v>
      </c>
      <c r="D61" s="12" t="s">
        <v>241</v>
      </c>
      <c r="E61" s="9" t="s">
        <v>27</v>
      </c>
      <c r="F61" s="8" t="s">
        <v>242</v>
      </c>
      <c r="G61" s="13" cm="1" t="str">
        <f t="array" ref="G61">IF(F61="","",SUBSTITUTE(SUBSTITUTE(SUBSTITUTE(SUBSTITUTE(F61,"&lt;li&gt;",CHAR(10)),"&lt;/li&gt;",""),"&lt;br&gt;",CHAR(10)),"&lt;strong&gt;",""))</f>
        <v>&lt;p&gt;05/01/25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v>
      </c>
      <c r="H61" s="13" cm="1" t="str">
        <f t="array" ref="H61">IF(G61="","",SUBSTITUTE(SUBSTITUTE(SUBSTITUTE(SUBSTITUTE(SUBSTITUTE(G61,"&lt;p&gt;",""),"&lt;/p&gt;",""),"&lt;ul&gt;",""),"&lt;/ul&gt;",""),"&lt;/strong&gt;",""))</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I61" s="14" cm="1" t="str">
        <f t="array" ref="I61">IF(C61="","",IF(OR(H61="",H61=0,H61=FALSE),"-",H61))</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J61" s="8">
</c>
      <c r="K61" s="8" t="s">
        <v>203</v>
      </c>
      <c r="L61" s="9" cm="1" t="str">
        <f t="array" ref="L61">IF(C61="","",IF(K61="Mort / Plus rien à faire","KO","OK"))</f>
        <v>OK</v>
      </c>
      <c r="M61" s="15">
        <v>46028.55883101852</v>
      </c>
      <c r="N61" s="15" cm="1" t="n">
        <f t="array" ref="N61">IF(OR(C61="",M61="",M61=0),"",M61)</f>
        <v>46028.55883101852</v>
      </c>
      <c r="O61" s="15">
</c>
      <c r="P61" s="15" cm="1" t="str">
        <f t="array" ref="P61">IF(C61="","",IF(OR(O61="",O61=0),"-",O61))</f>
        <v>-</v>
      </c>
      <c r="Q61" s="16">
        <v>0</v>
      </c>
      <c r="R61" s="16" cm="1" t="str">
        <f t="array" ref="R61">IF(C61="","",ROUND(Q61/1000000,3)&amp;" M€")</f>
        <v>0 M€</v>
      </c>
      <c r="S61" s="12" t="s">
        <v>216</v>
      </c>
      <c r="T61" s="9" cm="1" t="str">
        <f t="array" ref="T61">IF(C61="","",SUBSTITUTE(S61,"","")&amp;"%")</f>
        <v>10%</v>
      </c>
      <c r="U61" s="14" cm="1" t="str">
        <f t="array" ref="U61">IF(($N61="")*($P61=""),"",IF(($N61&lt;&gt;"")*($N61&gt;TODAY()-9)*($N61&lt;TODAY()+1)*($P61&lt;&gt;"")*($P61&gt;=TODAY())*($P61&lt;=TODAY()+13),"Semaine passée &amp; à venir",IF(($N61&lt;&gt;"")*($N61&gt;TODAY()-9)*($N61&lt;TODAY()+1),"Semaine passée",IF(($P61&lt;&gt;"")*($P61&gt;=TODAY())*($P61&lt;=TODAY()+13),"À venir","Autre"))))</f>
        <v>Autre</v>
      </c>
      <c r="V61" s="8" cm="1" t="n">
        <f t="array" ref="V61">IF(C61&lt;&gt;"",1,0)</f>
        <v>1</v>
      </c>
      <c r="W61" s="8">
</c>
      <c r="X61" s="8">
</c>
      <c r="Y61" s="8">
</c>
      <c r="Z61" s="8">
</c>
      <c r="AA61" s="8">
</c>
      <c r="AB61" s="8">
</c>
      <c r="AC61" s="8">
</c>
      <c r="AD61" s="8">
</c>
      <c r="AE61" s="8">
</c>
      <c r="AF61" s="8">
</c>
      <c r="AG61" s="8">
</c>
      <c r="AH61" s="8">
</c>
      <c r="AI61" s="8">
</c>
      <c r="AJ61" s="8">
</c>
      <c r="AK61" s="8">
</c>
    </row>
    <row r="62" ht="76.5" customHeight="1">
      <c r="A62" s="9" t="s">
        <v>23</v>
      </c>
      <c r="B62" s="9" t="s">
        <v>144</v>
      </c>
      <c r="C62" s="12" t="s">
        <v>243</v>
      </c>
      <c r="D62" s="12" t="s">
        <v>244</v>
      </c>
      <c r="E62" s="9" t="s">
        <v>27</v>
      </c>
      <c r="F62" s="8" t="s">
        <v>245</v>
      </c>
      <c r="G62" s="13" cm="1" t="str">
        <f t="array" ref="G62">IF(F62="","",SUBSTITUTE(SUBSTITUTE(SUBSTITUTE(SUBSTITUTE(F62,"&lt;li&gt;",CHAR(10)),"&lt;/li&gt;",""),"&lt;br&gt;",CHAR(10)),"&lt;strong&gt;",""))</f>
        <v>&lt;p&gt;RDV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v>
      </c>
      <c r="H62" s="13" cm="1" t="str">
        <f t="array" ref="H62">IF(G62="","",SUBSTITUTE(SUBSTITUTE(SUBSTITUTE(SUBSTITUTE(SUBSTITUTE(G62,"&lt;p&gt;",""),"&lt;/p&gt;",""),"&lt;ul&gt;",""),"&lt;/ul&gt;",""),"&lt;/strong&gt;",""))</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I62" s="14" cm="1" t="str">
        <f t="array" ref="I62">IF(C62="","",IF(OR(H62="",H62=0,H62=FALSE),"-",H62))</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J62" s="8">
</c>
      <c r="K62" s="8" t="s">
        <v>235</v>
      </c>
      <c r="L62" s="9" cm="1" t="str">
        <f t="array" ref="L62">IF(C62="","",IF(K62="Mort / Plus rien à faire","KO","OK"))</f>
        <v>OK</v>
      </c>
      <c r="M62" s="15">
        <v>46063.69364583334</v>
      </c>
      <c r="N62" s="15" cm="1" t="n">
        <f t="array" ref="N62">IF(OR(C62="",M62="",M62=0),"",M62)</f>
        <v>46063.69364583334</v>
      </c>
      <c r="O62" s="15">
</c>
      <c r="P62" s="15" cm="1" t="str">
        <f t="array" ref="P62">IF(C62="","",IF(OR(O62="",O62=0),"-",O62))</f>
        <v>-</v>
      </c>
      <c r="Q62" s="16">
        <v>0</v>
      </c>
      <c r="R62" s="16" cm="1" t="str">
        <f t="array" ref="R62">IF(C62="","",ROUND(Q62/1000000,3)&amp;" M€")</f>
        <v>0 M€</v>
      </c>
      <c r="S62" s="12" t="s">
        <v>216</v>
      </c>
      <c r="T62" s="9" cm="1" t="str">
        <f t="array" ref="T62">IF(C62="","",SUBSTITUTE(S62,"","")&amp;"%")</f>
        <v>10%</v>
      </c>
      <c r="U62" s="14" cm="1" t="str">
        <f t="array" ref="U62">IF(($N62="")*($P62=""),"",IF(($N62&lt;&gt;"")*($N62&gt;TODAY()-9)*($N62&lt;TODAY()+1)*($P62&lt;&gt;"")*($P62&gt;=TODAY())*($P62&lt;=TODAY()+13),"Semaine passée &amp; à venir",IF(($N62&lt;&gt;"")*($N62&gt;TODAY()-9)*($N62&lt;TODAY()+1),"Semaine passée",IF(($P62&lt;&gt;"")*($P62&gt;=TODAY())*($P62&lt;=TODAY()+13),"À venir","Autre"))))</f>
        <v>Autre</v>
      </c>
      <c r="V62" s="8" cm="1" t="n">
        <f t="array" ref="V62">IF(C62&lt;&gt;"",1,0)</f>
        <v>1</v>
      </c>
      <c r="W62" s="8">
</c>
      <c r="X62" s="8">
</c>
      <c r="Y62" s="8">
</c>
      <c r="Z62" s="8">
</c>
      <c r="AA62" s="8">
</c>
      <c r="AB62" s="8">
</c>
      <c r="AC62" s="8">
</c>
      <c r="AD62" s="8">
</c>
      <c r="AE62" s="8">
</c>
      <c r="AF62" s="8">
</c>
      <c r="AG62" s="8">
</c>
      <c r="AH62" s="8">
</c>
      <c r="AI62" s="8">
</c>
      <c r="AJ62" s="8">
</c>
      <c r="AK62" s="8">
</c>
    </row>
    <row r="63" ht="76.5" customHeight="1">
      <c r="A63" s="9" t="s">
        <v>23</v>
      </c>
      <c r="B63" s="9" t="s">
        <v>31</v>
      </c>
      <c r="C63" s="12" t="s">
        <v>246</v>
      </c>
      <c r="D63" s="12" t="s">
        <v>247</v>
      </c>
      <c r="E63" s="9" t="s">
        <v>43</v>
      </c>
      <c r="F63" s="8" t="s">
        <v>248</v>
      </c>
      <c r="G63" s="13" cm="1" t="str">
        <f t="array" ref="G63">IF(F63="","",SUBSTITUTE(SUBSTITUTE(SUBSTITUTE(SUBSTITUTE(F63,"&lt;li&gt;",CHAR(10)),"&lt;/li&gt;",""),"&lt;br&gt;",CHAR(10)),"&lt;strong&gt;",""))</f>
        <v>&lt;p&gt;Intérêt exprimé pour le fonds Straton, pas de deeptech mais cap dev défense et dossiers de remploi. Prochaine étape : trouver des dates avec Thomas. Lead enrichissement impossible (email invalide). Nouvelle piste créée pour équipe Ventes. Pas d'autres actions ou retours prospect notés.&lt;/p&gt;</v>
      </c>
      <c r="H63" s="13" cm="1" t="str">
        <f t="array" ref="H63">IF(G63="","",SUBSTITUTE(SUBSTITUTE(SUBSTITUTE(SUBSTITUTE(SUBSTITUTE(G63,"&lt;p&gt;",""),"&lt;/p&gt;",""),"&lt;ul&gt;",""),"&lt;/ul&gt;",""),"&lt;/strong&gt;",""))</f>
        <v>Intérêt exprimé pour le fonds Straton, pas de deeptech mais cap dev défense et dossiers de remploi. Prochaine étape : trouver des dates avec Thomas. Lead enrichissement impossible (email invalide). Nouvelle piste créée pour équipe Ventes. Pas d'autres actions ou retours prospect notés.</v>
      </c>
      <c r="I63" s="14" cm="1" t="str">
        <f t="array" ref="I63">IF(C63="","",IF(OR(H63="",H63=0,H63=FALSE),"-",H63))</f>
        <v>Intérêt exprimé pour le fonds Straton, pas de deeptech mais cap dev défense et dossiers de remploi. Prochaine étape : trouver des dates avec Thomas. Lead enrichissement impossible (email invalide). Nouvelle piste créée pour équipe Ventes. Pas d'autres actions ou retours prospect notés.</v>
      </c>
      <c r="J63" s="8">
</c>
      <c r="K63" s="8" t="s">
        <v>106</v>
      </c>
      <c r="L63" s="9" cm="1" t="str">
        <f t="array" ref="L63">IF(C63="","",IF(K63="Mort / Plus rien à faire","KO","OK"))</f>
        <v>OK</v>
      </c>
      <c r="M63" s="15">
        <v>46161.74553240741</v>
      </c>
      <c r="N63" s="15" cm="1" t="n">
        <f t="array" ref="N63">IF(OR(C63="",M63="",M63=0),"",M63)</f>
        <v>46161.74553240741</v>
      </c>
      <c r="O63" s="15">
</c>
      <c r="P63" s="15" cm="1" t="str">
        <f t="array" ref="P63">IF(C63="","",IF(OR(O63="",O63=0),"-",O63))</f>
        <v>-</v>
      </c>
      <c r="Q63" s="16">
        <v>0</v>
      </c>
      <c r="R63" s="16" cm="1" t="str">
        <f t="array" ref="R63">IF(C63="","",ROUND(Q63/1000000,3)&amp;" M€")</f>
        <v>0 M€</v>
      </c>
      <c r="S63" s="12" t="s">
        <v>216</v>
      </c>
      <c r="T63" s="9" cm="1" t="str">
        <f t="array" ref="T63">IF(C63="","",SUBSTITUTE(S63,"","")&amp;"%")</f>
        <v>10%</v>
      </c>
      <c r="U63" s="14" cm="1" t="str">
        <f t="array" ref="U63">IF(($N63="")*($P63=""),"",IF(($N63&lt;&gt;"")*($N63&gt;TODAY()-9)*($N63&lt;TODAY()+1)*($P63&lt;&gt;"")*($P63&gt;=TODAY())*($P63&lt;=TODAY()+13),"Semaine passée &amp; à venir",IF(($N63&lt;&gt;"")*($N63&gt;TODAY()-9)*($N63&lt;TODAY()+1),"Semaine passée",IF(($P63&lt;&gt;"")*($P63&gt;=TODAY())*($P63&lt;=TODAY()+13),"À venir","Autre"))))</f>
        <v>Autre</v>
      </c>
      <c r="V63" s="8" cm="1" t="n">
        <f t="array" ref="V63">IF(C63&lt;&gt;"",1,0)</f>
        <v>1</v>
      </c>
      <c r="W63" s="8">
</c>
      <c r="X63" s="8">
</c>
      <c r="Y63" s="8">
</c>
      <c r="Z63" s="8">
</c>
      <c r="AA63" s="8">
</c>
      <c r="AB63" s="8">
</c>
      <c r="AC63" s="8">
</c>
      <c r="AD63" s="8">
</c>
      <c r="AE63" s="8">
</c>
      <c r="AF63" s="8">
</c>
      <c r="AG63" s="8">
</c>
      <c r="AH63" s="8">
</c>
      <c r="AI63" s="8">
</c>
      <c r="AJ63" s="8">
</c>
      <c r="AK63" s="8">
</c>
    </row>
    <row r="64" ht="76.5" customHeight="1">
      <c r="A64" s="9" t="s">
        <v>23</v>
      </c>
      <c r="B64" s="9" t="s">
        <v>24</v>
      </c>
      <c r="C64" s="12" t="s">
        <v>249</v>
      </c>
      <c r="D64" s="12" t="s">
        <v>250</v>
      </c>
      <c r="E64" s="9" t="s">
        <v>27</v>
      </c>
      <c r="F64" s="8" t="s">
        <v>251</v>
      </c>
      <c r="G64" s="13" cm="1" t="str">
        <f t="array" ref="G64">IF(F64="","",SUBSTITUTE(SUBSTITUTE(SUBSTITUTE(SUBSTITUTE(F64,"&lt;li&gt;",CHAR(10)),"&lt;/li&gt;",""),"&lt;br&gt;",CHAR(10)),"&lt;strong&gt;",""))</f>
        <v>&lt;p&gt;Aucune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v>
      </c>
      <c r="H64" s="13" cm="1" t="str">
        <f t="array" ref="H64">IF(G64="","",SUBSTITUTE(SUBSTITUTE(SUBSTITUTE(SUBSTITUTE(SUBSTITUTE(G64,"&lt;p&gt;",""),"&lt;/p&gt;",""),"&lt;ul&gt;",""),"&lt;/ul&gt;",""),"&lt;/strong&gt;",""))</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I64" s="14" cm="1" t="str">
        <f t="array" ref="I64">IF(C64="","",IF(OR(H64="",H64=0,H64=FALSE),"-",H64))</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J64" s="8">
</c>
      <c r="K64" s="8" t="s">
        <v>203</v>
      </c>
      <c r="L64" s="9" cm="1" t="str">
        <f t="array" ref="L64">IF(C64="","",IF(K64="Mort / Plus rien à faire","KO","OK"))</f>
        <v>OK</v>
      </c>
      <c r="M64" s="15">
        <v>46087.71902777778</v>
      </c>
      <c r="N64" s="15" cm="1" t="n">
        <f t="array" ref="N64">IF(OR(C64="",M64="",M64=0),"",M64)</f>
        <v>46087.71902777778</v>
      </c>
      <c r="O64" s="15">
</c>
      <c r="P64" s="15" cm="1" t="str">
        <f t="array" ref="P64">IF(C64="","",IF(OR(O64="",O64=0),"-",O64))</f>
        <v>-</v>
      </c>
      <c r="Q64" s="16">
        <v>0</v>
      </c>
      <c r="R64" s="16" cm="1" t="str">
        <f t="array" ref="R64">IF(C64="","",ROUND(Q64/1000000,3)&amp;" M€")</f>
        <v>0 M€</v>
      </c>
      <c r="S64" s="12" t="s">
        <v>216</v>
      </c>
      <c r="T64" s="9" cm="1" t="str">
        <f t="array" ref="T64">IF(C64="","",SUBSTITUTE(S64,"","")&amp;"%")</f>
        <v>10%</v>
      </c>
      <c r="U64" s="14" cm="1" t="str">
        <f t="array" ref="U64">IF(($N64="")*($P64=""),"",IF(($N64&lt;&gt;"")*($N64&gt;TODAY()-9)*($N64&lt;TODAY()+1)*($P64&lt;&gt;"")*($P64&gt;=TODAY())*($P64&lt;=TODAY()+13),"Semaine passée &amp; à venir",IF(($N64&lt;&gt;"")*($N64&gt;TODAY()-9)*($N64&lt;TODAY()+1),"Semaine passée",IF(($P64&lt;&gt;"")*($P64&gt;=TODAY())*($P64&lt;=TODAY()+13),"À venir","Autre"))))</f>
        <v>Autre</v>
      </c>
      <c r="V64" s="8" cm="1" t="n">
        <f t="array" ref="V64">IF(C64&lt;&gt;"",1,0)</f>
        <v>1</v>
      </c>
      <c r="W64" s="8">
</c>
      <c r="X64" s="8">
</c>
      <c r="Y64" s="8">
</c>
      <c r="Z64" s="8">
</c>
      <c r="AA64" s="8">
</c>
      <c r="AB64" s="8">
</c>
      <c r="AC64" s="8">
</c>
      <c r="AD64" s="8">
</c>
      <c r="AE64" s="8">
</c>
      <c r="AF64" s="8">
</c>
      <c r="AG64" s="8">
</c>
      <c r="AH64" s="8">
</c>
      <c r="AI64" s="8">
</c>
      <c r="AJ64" s="8">
</c>
      <c r="AK64" s="8">
</c>
    </row>
    <row r="65" ht="76.5" customHeight="1">
      <c r="A65" s="9" t="s">
        <v>23</v>
      </c>
      <c r="B65" s="9" t="s">
        <v>144</v>
      </c>
      <c r="C65" s="12" t="s">
        <v>252</v>
      </c>
      <c r="D65" s="12" t="s">
        <v>253</v>
      </c>
      <c r="E65" s="9" t="s">
        <v>27</v>
      </c>
      <c r="F65" s="8" t="s">
        <v>254</v>
      </c>
      <c r="G65" s="13" cm="1" t="str">
        <f t="array" ref="G65">IF(F65="","",SUBSTITUTE(SUBSTITUTE(SUBSTITUTE(SUBSTITUTE(F65,"&lt;li&gt;",CHAR(10)),"&lt;/li&gt;",""),"&lt;br&gt;",CHAR(10)),"&lt;strong&gt;",""))</f>
        <v>&lt;p&gt;Visio réalisée le 20/04 sur offre Audacia 150 0 B Ter. Nouvelle piste créée le 13/04 pour équipe Ventes. Prochaine étape : relance avant le 27/04 (activité "Echange - Mail - Document envoyé" à faire, note : XXXX). Pas de retour prospect sur fonds à ce stade.&lt;/p&gt;</v>
      </c>
      <c r="H65" s="13" cm="1" t="str">
        <f t="array" ref="H65">IF(G65="","",SUBSTITUTE(SUBSTITUTE(SUBSTITUTE(SUBSTITUTE(SUBSTITUTE(G65,"&lt;p&gt;",""),"&lt;/p&gt;",""),"&lt;ul&gt;",""),"&lt;/ul&gt;",""),"&lt;/strong&gt;",""))</f>
        <v>Visio réalisée le 20/04 sur offre Audacia 150 0 B Ter. Nouvelle piste créée le 13/04 pour équipe Ventes. Prochaine étape : relance avant le 27/04 (activité "Echange - Mail - Document envoyé" à faire, note : XXXX). Pas de retour prospect sur fonds à ce stade.</v>
      </c>
      <c r="I65" s="14" cm="1" t="str">
        <f t="array" ref="I65">IF(C65="","",IF(OR(H65="",H65=0,H65=FALSE),"-",H65))</f>
        <v>Visio réalisée le 20/04 sur offre Audacia 150 0 B Ter. Nouvelle piste créée le 13/04 pour équipe Ventes. Prochaine étape : relance avant le 27/04 (activité "Echange - Mail - Document envoyé" à faire, note : XXXX). Pas de retour prospect sur fonds à ce stade.</v>
      </c>
      <c r="J65" s="8" t="s">
        <v>129</v>
      </c>
      <c r="K65" s="8" t="s">
        <v>53</v>
      </c>
      <c r="L65" s="9" cm="1" t="str">
        <f t="array" ref="L65">IF(C65="","",IF(K65="Mort / Plus rien à faire","KO","OK"))</f>
        <v>OK</v>
      </c>
      <c r="M65" s="15">
        <v>46132.63444444445</v>
      </c>
      <c r="N65" s="15" cm="1" t="n">
        <f t="array" ref="N65">IF(OR(C65="",M65="",M65=0),"",M65)</f>
        <v>46132.63444444445</v>
      </c>
      <c r="O65" s="15">
</c>
      <c r="P65" s="15" cm="1" t="str">
        <f t="array" ref="P65">IF(C65="","",IF(OR(O65="",O65=0),"-",O65))</f>
        <v>-</v>
      </c>
      <c r="Q65" s="16">
        <v>0</v>
      </c>
      <c r="R65" s="16" cm="1" t="str">
        <f t="array" ref="R65">IF(C65="","",ROUND(Q65/1000000,3)&amp;" M€")</f>
        <v>0 M€</v>
      </c>
      <c r="S65" s="12" t="s">
        <v>216</v>
      </c>
      <c r="T65" s="9" cm="1" t="str">
        <f t="array" ref="T65">IF(C65="","",SUBSTITUTE(S65,"","")&amp;"%")</f>
        <v>10%</v>
      </c>
      <c r="U65" s="14" cm="1" t="str">
        <f t="array" ref="U65">IF(($N65="")*($P65=""),"",IF(($N65&lt;&gt;"")*($N65&gt;TODAY()-9)*($N65&lt;TODAY()+1)*($P65&lt;&gt;"")*($P65&gt;=TODAY())*($P65&lt;=TODAY()+13),"Semaine passée &amp; à venir",IF(($N65&lt;&gt;"")*($N65&gt;TODAY()-9)*($N65&lt;TODAY()+1),"Semaine passée",IF(($P65&lt;&gt;"")*($P65&gt;=TODAY())*($P65&lt;=TODAY()+13),"À venir","Autre"))))</f>
        <v>Autre</v>
      </c>
      <c r="V65" s="8" cm="1" t="n">
        <f t="array" ref="V65">IF(C65&lt;&gt;"",1,0)</f>
        <v>1</v>
      </c>
      <c r="W65" s="8">
</c>
      <c r="X65" s="8">
</c>
      <c r="Y65" s="8">
</c>
      <c r="Z65" s="8">
</c>
      <c r="AA65" s="8">
</c>
      <c r="AB65" s="8">
</c>
      <c r="AC65" s="8">
</c>
      <c r="AD65" s="8">
</c>
      <c r="AE65" s="8">
</c>
      <c r="AF65" s="8">
</c>
      <c r="AG65" s="8">
</c>
      <c r="AH65" s="8">
</c>
      <c r="AI65" s="8">
</c>
      <c r="AJ65" s="8">
</c>
      <c r="AK65" s="8">
</c>
    </row>
    <row r="66" ht="76.5" customHeight="1">
      <c r="A66" s="9" t="s">
        <v>23</v>
      </c>
      <c r="B66" s="9" t="s">
        <v>63</v>
      </c>
      <c r="C66" s="12" t="s">
        <v>255</v>
      </c>
      <c r="D66" s="12" t="s">
        <v>256</v>
      </c>
      <c r="E66" s="9" t="s">
        <v>43</v>
      </c>
      <c r="F66" s="8" t="s">
        <v>257</v>
      </c>
      <c r="G66" s="13" cm="1" t="str">
        <f t="array" ref="G66">IF(F66="","",SUBSTITUTE(SUBSTITUTE(SUBSTITUTE(SUBSTITUTE(F66,"&lt;li&gt;",CHAR(10)),"&lt;/li&gt;",""),"&lt;br&gt;",CHAR(10)),"&lt;strong&gt;",""))</f>
        <v>&lt;p&gt;Echange téléphonique 06/03&amp;nbsp;: prospect a des demandes en 150-0 B ter, rdv tel sur offre actuelle, doit revenir si intérêt clients. Enrichissement lead impossible (email non valide). Création piste pour équipe Ventes. Pas d'autres actions ou retours récents. Prochaine étape&amp;nbsp;: attente retour prospect.&lt;/p&gt;</v>
      </c>
      <c r="H66" s="13" cm="1" t="str">
        <f t="array" ref="H66">IF(G66="","",SUBSTITUTE(SUBSTITUTE(SUBSTITUTE(SUBSTITUTE(SUBSTITUTE(G66,"&lt;p&gt;",""),"&lt;/p&gt;",""),"&lt;ul&gt;",""),"&lt;/ul&gt;",""),"&lt;/strong&gt;",""))</f>
        <v>Echange téléphonique 06/03&amp;nbsp;: prospect a des demandes en 150-0 B ter, rdv tel sur offre actuelle, doit revenir si intérêt clients. Enrichissement lead impossible (email non valide). Création piste pour équipe Ventes. Pas d'autres actions ou retours récents. Prochaine étape&amp;nbsp;: attente retour prospect.</v>
      </c>
      <c r="I66" s="14" cm="1" t="str">
        <f t="array" ref="I66">IF(C66="","",IF(OR(H66="",H66=0,H66=FALSE),"-",H66))</f>
        <v>Echange téléphonique 06/03&amp;nbsp;: prospect a des demandes en 150-0 B ter, rdv tel sur offre actuelle, doit revenir si intérêt clients. Enrichissement lead impossible (email non valide). Création piste pour équipe Ventes. Pas d'autres actions ou retours récents. Prochaine étape&amp;nbsp;: attente retour prospect.</v>
      </c>
      <c r="J66" s="8">
</c>
      <c r="K66" s="8" t="s">
        <v>106</v>
      </c>
      <c r="L66" s="9" cm="1" t="str">
        <f t="array" ref="L66">IF(C66="","",IF(K66="Mort / Plus rien à faire","KO","OK"))</f>
        <v>OK</v>
      </c>
      <c r="M66" s="15">
        <v>46161.743055555555</v>
      </c>
      <c r="N66" s="15" cm="1" t="n">
        <f t="array" ref="N66">IF(OR(C66="",M66="",M66=0),"",M66)</f>
        <v>46161.743055555555</v>
      </c>
      <c r="O66" s="15">
</c>
      <c r="P66" s="15" cm="1" t="str">
        <f t="array" ref="P66">IF(C66="","",IF(OR(O66="",O66=0),"-",O66))</f>
        <v>-</v>
      </c>
      <c r="Q66" s="16">
        <v>0</v>
      </c>
      <c r="R66" s="16" cm="1" t="str">
        <f t="array" ref="R66">IF(C66="","",ROUND(Q66/1000000,3)&amp;" M€")</f>
        <v>0 M€</v>
      </c>
      <c r="S66" s="12" t="s">
        <v>216</v>
      </c>
      <c r="T66" s="9" cm="1" t="str">
        <f t="array" ref="T66">IF(C66="","",SUBSTITUTE(S66,"","")&amp;"%")</f>
        <v>10%</v>
      </c>
      <c r="U66" s="14" cm="1" t="str">
        <f t="array" ref="U66">IF(($N66="")*($P66=""),"",IF(($N66&lt;&gt;"")*($N66&gt;TODAY()-9)*($N66&lt;TODAY()+1)*($P66&lt;&gt;"")*($P66&gt;=TODAY())*($P66&lt;=TODAY()+13),"Semaine passée &amp; à venir",IF(($N66&lt;&gt;"")*($N66&gt;TODAY()-9)*($N66&lt;TODAY()+1),"Semaine passée",IF(($P66&lt;&gt;"")*($P66&gt;=TODAY())*($P66&lt;=TODAY()+13),"À venir","Autre"))))</f>
        <v>Autre</v>
      </c>
      <c r="V66" s="8" cm="1" t="n">
        <f t="array" ref="V66">IF(C66&lt;&gt;"",1,0)</f>
        <v>1</v>
      </c>
      <c r="W66" s="8">
</c>
      <c r="X66" s="8">
</c>
      <c r="Y66" s="8">
</c>
      <c r="Z66" s="8">
</c>
      <c r="AA66" s="8">
</c>
      <c r="AB66" s="8">
</c>
      <c r="AC66" s="8">
</c>
      <c r="AD66" s="8">
</c>
      <c r="AE66" s="8">
</c>
      <c r="AF66" s="8">
</c>
      <c r="AG66" s="8">
</c>
      <c r="AH66" s="8">
</c>
      <c r="AI66" s="8">
</c>
      <c r="AJ66" s="8">
</c>
      <c r="AK66" s="8">
</c>
    </row>
    <row r="67" ht="76.5" customHeight="1">
      <c r="A67" s="9" t="s">
        <v>23</v>
      </c>
      <c r="B67" s="9" t="s">
        <v>76</v>
      </c>
      <c r="C67" s="12" t="s">
        <v>258</v>
      </c>
      <c r="D67" s="12" t="s">
        <v>258</v>
      </c>
      <c r="E67" s="9" t="s">
        <v>78</v>
      </c>
      <c r="F67" s="8" t="s">
        <v>259</v>
      </c>
      <c r="G67" s="13" cm="1" t="str">
        <f t="array" ref="G67">IF(F67="","",SUBSTITUTE(SUBSTITUTE(SUBSTITUTE(SUBSTITUTE(F67,"&lt;li&gt;",CHAR(10)),"&lt;/li&gt;",""),"&lt;br&gt;",CHAR(10)),"&lt;strong&gt;",""))</f>
        <v>&lt;p&gt;Lead créé pour équipe Ventes, enrichissement impossible (email invalide). Suivi assuré par OdP. Plusieurs relances notées : à relancer (27/04), relancé par OdP (06/05). Aucune réponse ou retour prospect mentionné. Prochaine étape : nouvelle relance à prévoir, pas d'autres actions planifiées.&lt;/p&gt;</v>
      </c>
      <c r="H67" s="13" cm="1" t="str">
        <f t="array" ref="H67">IF(G67="","",SUBSTITUTE(SUBSTITUTE(SUBSTITUTE(SUBSTITUTE(SUBSTITUTE(G67,"&lt;p&gt;",""),"&lt;/p&gt;",""),"&lt;ul&gt;",""),"&lt;/ul&gt;",""),"&lt;/strong&gt;",""))</f>
        <v>Lead créé pour équipe Ventes, enrichissement impossible (email invalide). Suivi assuré par OdP. Plusieurs relances notées : à relancer (27/04), relancé par OdP (06/05). Aucune réponse ou retour prospect mentionné. Prochaine étape : nouvelle relance à prévoir, pas d'autres actions planifiées.</v>
      </c>
      <c r="I67" s="14" cm="1" t="str">
        <f t="array" ref="I67">IF(C67="","",IF(OR(H67="",H67=0,H67=FALSE),"-",H67))</f>
        <v>Lead créé pour équipe Ventes, enrichissement impossible (email invalide). Suivi assuré par OdP. Plusieurs relances notées : à relancer (27/04), relancé par OdP (06/05). Aucune réponse ou retour prospect mentionné. Prochaine étape : nouvelle relance à prévoir, pas d'autres actions planifiées.</v>
      </c>
      <c r="J67" s="8">
</c>
      <c r="K67" s="8" t="s">
        <v>203</v>
      </c>
      <c r="L67" s="9" cm="1" t="str">
        <f t="array" ref="L67">IF(C67="","",IF(K67="Mort / Plus rien à faire","KO","OK"))</f>
        <v>OK</v>
      </c>
      <c r="M67" s="15">
        <v>46148.712800925925</v>
      </c>
      <c r="N67" s="15" cm="1" t="n">
        <f t="array" ref="N67">IF(OR(C67="",M67="",M67=0),"",M67)</f>
        <v>46148.712800925925</v>
      </c>
      <c r="O67" s="15">
</c>
      <c r="P67" s="15" cm="1" t="str">
        <f t="array" ref="P67">IF(C67="","",IF(OR(O67="",O67=0),"-",O67))</f>
        <v>-</v>
      </c>
      <c r="Q67" s="16">
        <v>1000000</v>
      </c>
      <c r="R67" s="16" cm="1" t="str">
        <f t="array" ref="R67">IF(C67="","",ROUND(Q67/1000000,3)&amp;" M€")</f>
        <v>1 M€</v>
      </c>
      <c r="S67" s="12" t="s">
        <v>216</v>
      </c>
      <c r="T67" s="9" cm="1" t="str">
        <f t="array" ref="T67">IF(C67="","",SUBSTITUTE(S67,"","")&amp;"%")</f>
        <v>10%</v>
      </c>
      <c r="U67" s="14" cm="1" t="str">
        <f t="array" ref="U67">IF(($N67="")*($P67=""),"",IF(($N67&lt;&gt;"")*($N67&gt;TODAY()-9)*($N67&lt;TODAY()+1)*($P67&lt;&gt;"")*($P67&gt;=TODAY())*($P67&lt;=TODAY()+13),"Semaine passée &amp; à venir",IF(($N67&lt;&gt;"")*($N67&gt;TODAY()-9)*($N67&lt;TODAY()+1),"Semaine passée",IF(($P67&lt;&gt;"")*($P67&gt;=TODAY())*($P67&lt;=TODAY()+13),"À venir","Autre"))))</f>
        <v>Autre</v>
      </c>
      <c r="V67" s="8" cm="1" t="n">
        <f t="array" ref="V67">IF(C67&lt;&gt;"",1,0)</f>
        <v>1</v>
      </c>
      <c r="W67" s="8">
</c>
      <c r="X67" s="8">
</c>
      <c r="Y67" s="8">
</c>
      <c r="Z67" s="8">
</c>
      <c r="AA67" s="8">
</c>
      <c r="AB67" s="8">
</c>
      <c r="AC67" s="8">
</c>
      <c r="AD67" s="8">
</c>
      <c r="AE67" s="8">
</c>
      <c r="AF67" s="8">
</c>
      <c r="AG67" s="8">
</c>
      <c r="AH67" s="8">
</c>
      <c r="AI67" s="8">
</c>
      <c r="AJ67" s="8">
</c>
      <c r="AK67" s="8">
</c>
    </row>
    <row r="68" ht="76.5" customHeight="1">
      <c r="A68" s="9" t="s">
        <v>23</v>
      </c>
      <c r="B68" s="9" t="s">
        <v>260</v>
      </c>
      <c r="C68" s="12" t="s">
        <v>261</v>
      </c>
      <c r="D68" s="12" t="s">
        <v>262</v>
      </c>
      <c r="E68" s="9" t="s">
        <v>43</v>
      </c>
      <c r="F68" s="8" t="s">
        <v>263</v>
      </c>
      <c r="G68" s="13" cm="1" t="str">
        <f t="array" ref="G68">IF(F68="","",SUBSTITUTE(SUBSTITUTE(SUBSTITUTE(SUBSTITUTE(F68,"&lt;li&gt;",CHAR(10)),"&lt;/li&gt;",""),"&lt;br&gt;",CHAR(10)),"&lt;strong&gt;",""))</f>
        <v>&lt;p&gt;03/02/2026: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v>
      </c>
      <c r="H68" s="13" cm="1" t="str">
        <f t="array" ref="H68">IF(G68="","",SUBSTITUTE(SUBSTITUTE(SUBSTITUTE(SUBSTITUTE(SUBSTITUTE(G68,"&lt;p&gt;",""),"&lt;/p&gt;",""),"&lt;ul&gt;",""),"&lt;/ul&gt;",""),"&lt;/strong&gt;",""))</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I68" s="14" cm="1" t="str">
        <f t="array" ref="I68">IF(C68="","",IF(OR(H68="",H68=0,H68=FALSE),"-",H68))</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J68" s="8">
</c>
      <c r="K68" s="8" t="s">
        <v>53</v>
      </c>
      <c r="L68" s="9" cm="1" t="str">
        <f t="array" ref="L68">IF(C68="","",IF(K68="Mort / Plus rien à faire","KO","OK"))</f>
        <v>OK</v>
      </c>
      <c r="M68" s="15">
        <v>46063.47023148148</v>
      </c>
      <c r="N68" s="15" cm="1" t="n">
        <f t="array" ref="N68">IF(OR(C68="",M68="",M68=0),"",M68)</f>
        <v>46063.47023148148</v>
      </c>
      <c r="O68" s="15">
</c>
      <c r="P68" s="15" cm="1" t="str">
        <f t="array" ref="P68">IF(C68="","",IF(OR(O68="",O68=0),"-",O68))</f>
        <v>-</v>
      </c>
      <c r="Q68" s="16">
        <v>0</v>
      </c>
      <c r="R68" s="16" cm="1" t="str">
        <f t="array" ref="R68">IF(C68="","",ROUND(Q68/1000000,3)&amp;" M€")</f>
        <v>0 M€</v>
      </c>
      <c r="S68" s="12" t="s">
        <v>216</v>
      </c>
      <c r="T68" s="9" cm="1" t="str">
        <f t="array" ref="T68">IF(C68="","",SUBSTITUTE(S68,"","")&amp;"%")</f>
        <v>10%</v>
      </c>
      <c r="U68" s="14" cm="1" t="str">
        <f t="array" ref="U68">IF(($N68="")*($P68=""),"",IF(($N68&lt;&gt;"")*($N68&gt;TODAY()-9)*($N68&lt;TODAY()+1)*($P68&lt;&gt;"")*($P68&gt;=TODAY())*($P68&lt;=TODAY()+13),"Semaine passée &amp; à venir",IF(($N68&lt;&gt;"")*($N68&gt;TODAY()-9)*($N68&lt;TODAY()+1),"Semaine passée",IF(($P68&lt;&gt;"")*($P68&gt;=TODAY())*($P68&lt;=TODAY()+13),"À venir","Autre"))))</f>
        <v>Autre</v>
      </c>
      <c r="V68" s="8" cm="1" t="n">
        <f t="array" ref="V68">IF(C68&lt;&gt;"",1,0)</f>
        <v>1</v>
      </c>
      <c r="W68" s="8">
</c>
      <c r="X68" s="8">
</c>
      <c r="Y68" s="8">
</c>
      <c r="Z68" s="8">
</c>
      <c r="AA68" s="8">
</c>
      <c r="AB68" s="8">
</c>
      <c r="AC68" s="8">
</c>
      <c r="AD68" s="8">
</c>
      <c r="AE68" s="8">
</c>
      <c r="AF68" s="8">
</c>
      <c r="AG68" s="8">
</c>
      <c r="AH68" s="8">
</c>
      <c r="AI68" s="8">
</c>
      <c r="AJ68" s="8">
</c>
      <c r="AK68" s="8">
</c>
    </row>
    <row r="69" ht="76.5" customHeight="1">
      <c r="A69" s="9" t="s">
        <v>23</v>
      </c>
      <c r="B69" s="9" t="s">
        <v>264</v>
      </c>
      <c r="C69" s="12" t="s">
        <v>265</v>
      </c>
      <c r="D69" s="12" t="s">
        <v>266</v>
      </c>
      <c r="E69" s="9" t="s">
        <v>27</v>
      </c>
      <c r="F69" s="8" t="s">
        <v>267</v>
      </c>
      <c r="G69" s="13" cm="1" t="str">
        <f t="array" ref="G69">IF(F69="","",SUBSTITUTE(SUBSTITUTE(SUBSTITUTE(SUBSTITUTE(F69,"&lt;li&gt;",CHAR(10)),"&lt;/li&gt;",""),"&lt;br&gt;",CHAR(10)),"&lt;strong&gt;",""))</f>
        <v>&lt;p&gt;Nouvelle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v>
      </c>
      <c r="H69" s="13" cm="1" t="str">
        <f t="array" ref="H69">IF(G69="","",SUBSTITUTE(SUBSTITUTE(SUBSTITUTE(SUBSTITUTE(SUBSTITUTE(G69,"&lt;p&gt;",""),"&lt;/p&gt;",""),"&lt;ul&gt;",""),"&lt;/ul&gt;",""),"&lt;/strong&gt;",""))</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I69" s="14" cm="1" t="str">
        <f t="array" ref="I69">IF(C69="","",IF(OR(H69="",H69=0,H69=FALSE),"-",H69))</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J69" s="8">
</c>
      <c r="K69" s="8" t="s">
        <v>203</v>
      </c>
      <c r="L69" s="9" cm="1" t="str">
        <f t="array" ref="L69">IF(C69="","",IF(K69="Mort / Plus rien à faire","KO","OK"))</f>
        <v>OK</v>
      </c>
      <c r="M69" s="15">
        <v>46114.68803240741</v>
      </c>
      <c r="N69" s="15" cm="1" t="n">
        <f t="array" ref="N69">IF(OR(C69="",M69="",M69=0),"",M69)</f>
        <v>46114.68803240741</v>
      </c>
      <c r="O69" s="15">
</c>
      <c r="P69" s="15" cm="1" t="str">
        <f t="array" ref="P69">IF(C69="","",IF(OR(O69="",O69=0),"-",O69))</f>
        <v>-</v>
      </c>
      <c r="Q69" s="16">
        <v>0</v>
      </c>
      <c r="R69" s="16" cm="1" t="str">
        <f t="array" ref="R69">IF(C69="","",ROUND(Q69/1000000,3)&amp;" M€")</f>
        <v>0 M€</v>
      </c>
      <c r="S69" s="12" t="s">
        <v>216</v>
      </c>
      <c r="T69" s="9" cm="1" t="str">
        <f t="array" ref="T69">IF(C69="","",SUBSTITUTE(S69,"","")&amp;"%")</f>
        <v>10%</v>
      </c>
      <c r="U69" s="14" cm="1" t="str">
        <f t="array" ref="U69">IF(($N69="")*($P69=""),"",IF(($N69&lt;&gt;"")*($N69&gt;TODAY()-9)*($N69&lt;TODAY()+1)*($P69&lt;&gt;"")*($P69&gt;=TODAY())*($P69&lt;=TODAY()+13),"Semaine passée &amp; à venir",IF(($N69&lt;&gt;"")*($N69&gt;TODAY()-9)*($N69&lt;TODAY()+1),"Semaine passée",IF(($P69&lt;&gt;"")*($P69&gt;=TODAY())*($P69&lt;=TODAY()+13),"À venir","Autre"))))</f>
        <v>Autre</v>
      </c>
      <c r="V69" s="8" cm="1" t="n">
        <f t="array" ref="V69">IF(C69&lt;&gt;"",1,0)</f>
        <v>1</v>
      </c>
      <c r="W69" s="8">
</c>
      <c r="X69" s="8">
</c>
      <c r="Y69" s="8">
</c>
      <c r="Z69" s="8">
</c>
      <c r="AA69" s="8">
</c>
      <c r="AB69" s="8">
</c>
      <c r="AC69" s="8">
</c>
      <c r="AD69" s="8">
</c>
      <c r="AE69" s="8">
</c>
      <c r="AF69" s="8">
</c>
      <c r="AG69" s="8">
</c>
      <c r="AH69" s="8">
</c>
      <c r="AI69" s="8">
</c>
      <c r="AJ69" s="8">
</c>
      <c r="AK69" s="8">
</c>
    </row>
    <row r="70" ht="76.5" customHeight="1">
      <c r="A70" s="9" t="s">
        <v>23</v>
      </c>
      <c r="B70" s="9" t="s">
        <v>184</v>
      </c>
      <c r="C70" s="12" t="s">
        <v>268</v>
      </c>
      <c r="D70" s="12" t="s">
        <v>269</v>
      </c>
      <c r="E70" s="9" t="s">
        <v>27</v>
      </c>
      <c r="F70" s="8" t="s">
        <v>270</v>
      </c>
      <c r="G70" s="13" cm="1" t="str">
        <f t="array" ref="G70">IF(F70="","",SUBSTITUTE(SUBSTITUTE(SUBSTITUTE(SUBSTITUTE(F70,"&lt;li&gt;",CHAR(10)),"&lt;/li&gt;",""),"&lt;br&gt;",CHAR(10)),"&lt;strong&gt;",""))</f>
        <v>&lt;p&gt;RDV physique 13 mai, présentation Straton, deck envoyé à Xavier Chapon. Dossier transmis, relance faite, attente retour. Prochain RDV fixé au 24 juin avec SLP EXPANSION et EXERGON. Pas de retour prospect sur fonds à ce stade. Suivi assuré par Romain Andrieu.&lt;/p&gt;</v>
      </c>
      <c r="H70" s="13" cm="1" t="str">
        <f t="array" ref="H70">IF(G70="","",SUBSTITUTE(SUBSTITUTE(SUBSTITUTE(SUBSTITUTE(SUBSTITUTE(G70,"&lt;p&gt;",""),"&lt;/p&gt;",""),"&lt;ul&gt;",""),"&lt;/ul&gt;",""),"&lt;/strong&gt;",""))</f>
        <v>RDV physique 13 mai, présentation Straton, deck envoyé à Xavier Chapon. Dossier transmis, relance faite, attente retour. Prochain RDV fixé au 24 juin avec SLP EXPANSION et EXERGON. Pas de retour prospect sur fonds à ce stade. Suivi assuré par Romain Andrieu.</v>
      </c>
      <c r="I70" s="14" cm="1" t="str">
        <f t="array" ref="I70">IF(C70="","",IF(OR(H70="",H70=0,H70=FALSE),"-",H70))</f>
        <v>RDV physique 13 mai, présentation Straton, deck envoyé à Xavier Chapon. Dossier transmis, relance faite, attente retour. Prochain RDV fixé au 24 juin avec SLP EXPANSION et EXERGON. Pas de retour prospect sur fonds à ce stade. Suivi assuré par Romain Andrieu.</v>
      </c>
      <c r="J70" s="8" t="s">
        <v>271</v>
      </c>
      <c r="K70" s="8" t="s">
        <v>203</v>
      </c>
      <c r="L70" s="9" cm="1" t="str">
        <f t="array" ref="L70">IF(C70="","",IF(K70="Mort / Plus rien à faire","KO","OK"))</f>
        <v>OK</v>
      </c>
      <c r="M70" s="15">
        <v>46171.40966435185</v>
      </c>
      <c r="N70" s="15" cm="1" t="n">
        <f t="array" ref="N70">IF(OR(C70="",M70="",M70=0),"",M70)</f>
        <v>46171.40966435185</v>
      </c>
      <c r="O70" s="15">
        <v>46197.083333333336</v>
      </c>
      <c r="P70" s="15" cm="1" t="n">
        <f t="array" ref="P70">IF(C70="","",IF(OR(O70="",O70=0),"-",O70))</f>
        <v>46197.083333333336</v>
      </c>
      <c r="Q70" s="16">
        <v>0</v>
      </c>
      <c r="R70" s="16" cm="1" t="str">
        <f t="array" ref="R70">IF(C70="","",ROUND(Q70/1000000,3)&amp;" M€")</f>
        <v>0 M€</v>
      </c>
      <c r="S70" s="12" t="s">
        <v>216</v>
      </c>
      <c r="T70" s="9" cm="1" t="str">
        <f t="array" ref="T70">IF(C70="","",SUBSTITUTE(S70,"","")&amp;"%")</f>
        <v>10%</v>
      </c>
      <c r="U70" s="14" cm="1" t="str">
        <f t="array" ref="U70">IF(($N70="")*($P70=""),"",IF(($N70&lt;&gt;"")*($N70&gt;TODAY()-9)*($N70&lt;TODAY()+1)*($P70&lt;&gt;"")*($P70&gt;=TODAY())*($P70&lt;=TODAY()+13),"Semaine passée &amp; à venir",IF(($N70&lt;&gt;"")*($N70&gt;TODAY()-9)*($N70&lt;TODAY()+1),"Semaine passée",IF(($P70&lt;&gt;"")*($P70&gt;=TODAY())*($P70&lt;=TODAY()+13),"À venir","Autre"))))</f>
        <v>Semaine passée</v>
      </c>
      <c r="V70" s="8" cm="1" t="n">
        <f t="array" ref="V70">IF(C70&lt;&gt;"",1,0)</f>
        <v>1</v>
      </c>
      <c r="W70" s="8">
</c>
      <c r="X70" s="8">
</c>
      <c r="Y70" s="8">
</c>
      <c r="Z70" s="8">
</c>
      <c r="AA70" s="8">
</c>
      <c r="AB70" s="8">
</c>
      <c r="AC70" s="8">
</c>
      <c r="AD70" s="8">
</c>
      <c r="AE70" s="8">
</c>
      <c r="AF70" s="8">
</c>
      <c r="AG70" s="8">
</c>
      <c r="AH70" s="8">
</c>
      <c r="AI70" s="8">
</c>
      <c r="AJ70" s="8">
</c>
      <c r="AK70" s="8">
</c>
    </row>
    <row r="71" ht="76.5" customHeight="1">
      <c r="A71" s="9" t="s">
        <v>23</v>
      </c>
      <c r="B71" s="9" t="s">
        <v>144</v>
      </c>
      <c r="C71" s="12" t="s">
        <v>272</v>
      </c>
      <c r="D71" s="12" t="s">
        <v>273</v>
      </c>
      <c r="E71" s="9" t="s">
        <v>27</v>
      </c>
      <c r="F71" s="8" t="s">
        <v>274</v>
      </c>
      <c r="G71" s="13" cm="1" t="str">
        <f t="array" ref="G71">IF(F71="","",SUBSTITUTE(SUBSTITUTE(SUBSTITUTE(SUBSTITUTE(F71,"&lt;li&gt;",CHAR(10)),"&lt;/li&gt;",""),"&lt;br&gt;",CHAR(10)),"&lt;strong&gt;",""))</f>
        <v>&lt;p&gt;RDV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v>
      </c>
      <c r="H71" s="13" cm="1" t="str">
        <f t="array" ref="H71">IF(G71="","",SUBSTITUTE(SUBSTITUTE(SUBSTITUTE(SUBSTITUTE(SUBSTITUTE(G71,"&lt;p&gt;",""),"&lt;/p&gt;",""),"&lt;ul&gt;",""),"&lt;/ul&gt;",""),"&lt;/strong&gt;",""))</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I71" s="14" cm="1" t="str">
        <f t="array" ref="I71">IF(C71="","",IF(OR(H71="",H71=0,H71=FALSE),"-",H71))</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J71" s="8" t="s">
        <v>275</v>
      </c>
      <c r="K71" s="8" t="s">
        <v>203</v>
      </c>
      <c r="L71" s="9" cm="1" t="str">
        <f t="array" ref="L71">IF(C71="","",IF(K71="Mort / Plus rien à faire","KO","OK"))</f>
        <v>OK</v>
      </c>
      <c r="M71" s="15">
        <v>46115.39020833333</v>
      </c>
      <c r="N71" s="15" cm="1" t="n">
        <f t="array" ref="N71">IF(OR(C71="",M71="",M71=0),"",M71)</f>
        <v>46115.39020833333</v>
      </c>
      <c r="O71" s="15">
</c>
      <c r="P71" s="15" cm="1" t="str">
        <f t="array" ref="P71">IF(C71="","",IF(OR(O71="",O71=0),"-",O71))</f>
        <v>-</v>
      </c>
      <c r="Q71" s="16">
        <v>1000000</v>
      </c>
      <c r="R71" s="16" cm="1" t="str">
        <f t="array" ref="R71">IF(C71="","",ROUND(Q71/1000000,3)&amp;" M€")</f>
        <v>1 M€</v>
      </c>
      <c r="S71" s="12" t="s">
        <v>216</v>
      </c>
      <c r="T71" s="9" cm="1" t="str">
        <f t="array" ref="T71">IF(C71="","",SUBSTITUTE(S71,"","")&amp;"%")</f>
        <v>10%</v>
      </c>
      <c r="U71" s="14" cm="1" t="str">
        <f t="array" ref="U71">IF(($N71="")*($P71=""),"",IF(($N71&lt;&gt;"")*($N71&gt;TODAY()-9)*($N71&lt;TODAY()+1)*($P71&lt;&gt;"")*($P71&gt;=TODAY())*($P71&lt;=TODAY()+13),"Semaine passée &amp; à venir",IF(($N71&lt;&gt;"")*($N71&gt;TODAY()-9)*($N71&lt;TODAY()+1),"Semaine passée",IF(($P71&lt;&gt;"")*($P71&gt;=TODAY())*($P71&lt;=TODAY()+13),"À venir","Autre"))))</f>
        <v>Autre</v>
      </c>
      <c r="V71" s="8" cm="1" t="n">
        <f t="array" ref="V71">IF(C71&lt;&gt;"",1,0)</f>
        <v>1</v>
      </c>
      <c r="W71" s="8">
</c>
      <c r="X71" s="8">
</c>
      <c r="Y71" s="8">
</c>
      <c r="Z71" s="8">
</c>
      <c r="AA71" s="8">
</c>
      <c r="AB71" s="8">
</c>
      <c r="AC71" s="8">
</c>
      <c r="AD71" s="8">
</c>
      <c r="AE71" s="8">
</c>
      <c r="AF71" s="8">
</c>
      <c r="AG71" s="8">
</c>
      <c r="AH71" s="8">
</c>
      <c r="AI71" s="8">
</c>
      <c r="AJ71" s="8">
</c>
      <c r="AK71" s="8">
</c>
    </row>
    <row r="72" ht="76.5" customHeight="1">
      <c r="A72" s="9" t="s">
        <v>23</v>
      </c>
      <c r="B72" s="9" t="s">
        <v>24</v>
      </c>
      <c r="C72" s="12" t="s">
        <v>276</v>
      </c>
      <c r="D72" s="12" t="s">
        <v>277</v>
      </c>
      <c r="E72" s="9" t="s">
        <v>27</v>
      </c>
      <c r="F72" s="8" t="s">
        <v>278</v>
      </c>
      <c r="G72" s="13" cm="1" t="str">
        <f t="array" ref="G72">IF(F72="","",SUBSTITUTE(SUBSTITUTE(SUBSTITUTE(SUBSTITUTE(F72,"&lt;li&gt;",CHAR(10)),"&lt;/li&gt;",""),"&lt;br&gt;",CHAR(10)),"&lt;strong&gt;",""))</f>
        <v>&lt;p&gt;Amaury Daignes a passé la main à un nouveau contact qui souhaite discuter du partenariat France-Maroc et présenter un fonds dédié au financement des PME de La Défense. Pas d'autres actions ou retours du prospect. Prochaines étapes : organiser un échange pour présenter le fonds.&lt;/p&gt;</v>
      </c>
      <c r="H72" s="13" cm="1" t="str">
        <f t="array" ref="H72">IF(G72="","",SUBSTITUTE(SUBSTITUTE(SUBSTITUTE(SUBSTITUTE(SUBSTITUTE(G72,"&lt;p&gt;",""),"&lt;/p&gt;",""),"&lt;ul&gt;",""),"&lt;/ul&gt;",""),"&lt;/strong&gt;",""))</f>
        <v>Amaury Daignes a passé la main à un nouveau contact qui souhaite discuter du partenariat France-Maroc et présenter un fonds dédié au financement des PME de La Défense. Pas d'autres actions ou retours du prospect. Prochaines étapes : organiser un échange pour présenter le fonds.</v>
      </c>
      <c r="I72" s="14" cm="1" t="str">
        <f t="array" ref="I72">IF(C72="","",IF(OR(H72="",H72=0,H72=FALSE),"-",H72))</f>
        <v>Amaury Daignes a passé la main à un nouveau contact qui souhaite discuter du partenariat France-Maroc et présenter un fonds dédié au financement des PME de La Défense. Pas d'autres actions ou retours du prospect. Prochaines étapes : organiser un échange pour présenter le fonds.</v>
      </c>
      <c r="J72" s="8">
</c>
      <c r="K72" s="8" t="s">
        <v>203</v>
      </c>
      <c r="L72" s="9" cm="1" t="str">
        <f t="array" ref="L72">IF(C72="","",IF(K72="Mort / Plus rien à faire","KO","OK"))</f>
        <v>OK</v>
      </c>
      <c r="M72" s="15">
        <v>46175.40898148148</v>
      </c>
      <c r="N72" s="15" cm="1" t="n">
        <f t="array" ref="N72">IF(OR(C72="",M72="",M72=0),"",M72)</f>
        <v>46175.40898148148</v>
      </c>
      <c r="O72" s="15">
</c>
      <c r="P72" s="15" cm="1" t="str">
        <f t="array" ref="P72">IF(C72="","",IF(OR(O72="",O72=0),"-",O72))</f>
        <v>-</v>
      </c>
      <c r="Q72" s="16">
        <v>0</v>
      </c>
      <c r="R72" s="16" cm="1" t="str">
        <f t="array" ref="R72">IF(C72="","",ROUND(Q72/1000000,3)&amp;" M€")</f>
        <v>0 M€</v>
      </c>
      <c r="S72" s="12" t="s">
        <v>216</v>
      </c>
      <c r="T72" s="9" cm="1" t="str">
        <f t="array" ref="T72">IF(C72="","",SUBSTITUTE(S72,"","")&amp;"%")</f>
        <v>10%</v>
      </c>
      <c r="U72" s="14" cm="1" t="str">
        <f t="array" ref="U72">IF(($N72="")*($P72=""),"",IF(($N72&lt;&gt;"")*($N72&gt;TODAY()-9)*($N72&lt;TODAY()+1)*($P72&lt;&gt;"")*($P72&gt;=TODAY())*($P72&lt;=TODAY()+13),"Semaine passée &amp; à venir",IF(($N72&lt;&gt;"")*($N72&gt;TODAY()-9)*($N72&lt;TODAY()+1),"Semaine passée",IF(($P72&lt;&gt;"")*($P72&gt;=TODAY())*($P72&lt;=TODAY()+13),"À venir","Autre"))))</f>
        <v>Semaine passée</v>
      </c>
      <c r="V72" s="8" cm="1" t="n">
        <f t="array" ref="V72">IF(C72&lt;&gt;"",1,0)</f>
        <v>1</v>
      </c>
      <c r="W72" s="8">
</c>
      <c r="X72" s="8">
</c>
      <c r="Y72" s="8">
</c>
      <c r="Z72" s="8">
</c>
      <c r="AA72" s="8">
</c>
      <c r="AB72" s="8">
</c>
      <c r="AC72" s="8">
</c>
      <c r="AD72" s="8">
</c>
      <c r="AE72" s="8">
</c>
      <c r="AF72" s="8">
</c>
      <c r="AG72" s="8">
</c>
      <c r="AH72" s="8">
</c>
      <c r="AI72" s="8">
</c>
      <c r="AJ72" s="8">
</c>
      <c r="AK72" s="8">
</c>
    </row>
    <row r="73" ht="76.5" customHeight="1">
      <c r="A73" s="9" t="s">
        <v>23</v>
      </c>
      <c r="B73" s="9">
</c>
      <c r="C73" s="12" t="s">
        <v>279</v>
      </c>
      <c r="D73" s="12" t="s">
        <v>280</v>
      </c>
      <c r="E73" s="9" t="s">
        <v>78</v>
      </c>
      <c r="F73" s="8" t="s">
        <v>281</v>
      </c>
      <c r="G73" s="13" cm="1" t="str">
        <f t="array" ref="G73">IF(F73="","",SUBSTITUTE(SUBSTITUTE(SUBSTITUTE(SUBSTITUTE(F73,"&lt;li&gt;",CHAR(10)),"&lt;/li&gt;",""),"&lt;br&gt;",CHAR(10)),"&lt;strong&gt;",""))</f>
        <v>&lt;p&gt;Aucune activité menée sur le prospect. Derniers messages : "Lead de OdP" et "Un nouvelle piste a été créée pour l'équipe Ventes." Aucun échange, action ou retour prospect enregistré à ce jour. Pas de prochaines étapes identifiées ni de conclusion sur l'intérêt ou avis du prospect.&lt;/p&gt;</v>
      </c>
      <c r="H73" s="13" cm="1" t="str">
        <f t="array" ref="H73">IF(G73="","",SUBSTITUTE(SUBSTITUTE(SUBSTITUTE(SUBSTITUTE(SUBSTITUTE(G73,"&lt;p&gt;",""),"&lt;/p&gt;",""),"&lt;ul&gt;",""),"&lt;/ul&gt;",""),"&lt;/strong&gt;",""))</f>
        <v>Aucune activité menée sur le prospect. Derniers messages : "Lead de OdP" et "Un nouvelle piste a été créée pour l'équipe Ventes." Aucun échange, action ou retour prospect enregistré à ce jour. Pas de prochaines étapes identifiées ni de conclusion sur l'intérêt ou avis du prospect.</v>
      </c>
      <c r="I73" s="14" cm="1" t="str">
        <f t="array" ref="I73">IF(C73="","",IF(OR(H73="",H73=0,H73=FALSE),"-",H73))</f>
        <v>Aucune activité menée sur le prospect. Derniers messages : "Lead de OdP" et "Un nouvelle piste a été créée pour l'équipe Ventes." Aucun échange, action ou retour prospect enregistré à ce jour. Pas de prochaines étapes identifiées ni de conclusion sur l'intérêt ou avis du prospect.</v>
      </c>
      <c r="J73" s="8">
</c>
      <c r="K73" s="8" t="s">
        <v>203</v>
      </c>
      <c r="L73" s="9" cm="1" t="str">
        <f t="array" ref="L73">IF(C73="","",IF(K73="Mort / Plus rien à faire","KO","OK"))</f>
        <v>OK</v>
      </c>
      <c r="M73" s="15">
        <v>46146.41715277778</v>
      </c>
      <c r="N73" s="15" cm="1" t="n">
        <f t="array" ref="N73">IF(OR(C73="",M73="",M73=0),"",M73)</f>
        <v>46146.41715277778</v>
      </c>
      <c r="O73" s="15">
</c>
      <c r="P73" s="15" cm="1" t="str">
        <f t="array" ref="P73">IF(C73="","",IF(OR(O73="",O73=0),"-",O73))</f>
        <v>-</v>
      </c>
      <c r="Q73" s="16">
        <v>0</v>
      </c>
      <c r="R73" s="16" cm="1" t="str">
        <f t="array" ref="R73">IF(C73="","",ROUND(Q73/1000000,3)&amp;" M€")</f>
        <v>0 M€</v>
      </c>
      <c r="S73" s="12" t="s">
        <v>216</v>
      </c>
      <c r="T73" s="9" cm="1" t="str">
        <f t="array" ref="T73">IF(C73="","",SUBSTITUTE(S73,"","")&amp;"%")</f>
        <v>10%</v>
      </c>
      <c r="U73" s="14" cm="1" t="str">
        <f t="array" ref="U73">IF(($N73="")*($P73=""),"",IF(($N73&lt;&gt;"")*($N73&gt;TODAY()-9)*($N73&lt;TODAY()+1)*($P73&lt;&gt;"")*($P73&gt;=TODAY())*($P73&lt;=TODAY()+13),"Semaine passée &amp; à venir",IF(($N73&lt;&gt;"")*($N73&gt;TODAY()-9)*($N73&lt;TODAY()+1),"Semaine passée",IF(($P73&lt;&gt;"")*($P73&gt;=TODAY())*($P73&lt;=TODAY()+13),"À venir","Autre"))))</f>
        <v>Autre</v>
      </c>
      <c r="V73" s="8" cm="1" t="n">
        <f t="array" ref="V73">IF(C73&lt;&gt;"",1,0)</f>
        <v>1</v>
      </c>
      <c r="W73" s="8">
</c>
      <c r="X73" s="8">
</c>
      <c r="Y73" s="8">
</c>
      <c r="Z73" s="8">
</c>
      <c r="AA73" s="8">
</c>
      <c r="AB73" s="8">
</c>
      <c r="AC73" s="8">
</c>
      <c r="AD73" s="8">
</c>
      <c r="AE73" s="8">
</c>
      <c r="AF73" s="8">
</c>
      <c r="AG73" s="8">
</c>
      <c r="AH73" s="8">
</c>
      <c r="AI73" s="8">
</c>
      <c r="AJ73" s="8">
</c>
      <c r="AK73" s="8">
</c>
    </row>
    <row r="74" ht="76.5" customHeight="1">
      <c r="A74" s="9" t="s">
        <v>23</v>
      </c>
      <c r="B74" s="9" t="s">
        <v>48</v>
      </c>
      <c r="C74" s="12" t="s">
        <v>282</v>
      </c>
      <c r="D74" s="12" t="s">
        <v>283</v>
      </c>
      <c r="E74" s="9" t="s">
        <v>27</v>
      </c>
      <c r="F74" s="8" t="s">
        <v>284</v>
      </c>
      <c r="G74" s="13" cm="1" t="str">
        <f t="array" ref="G74">IF(F74="","",SUBSTITUTE(SUBSTITUTE(SUBSTITUTE(SUBSTITUTE(F74,"&lt;li&gt;",CHAR(10)),"&lt;/li&gt;",""),"&lt;br&gt;",CHAR(10)),"&lt;strong&gt;",""))</f>
        <v>&lt;p&gt;RDV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v>
      </c>
      <c r="H74" s="13" cm="1" t="str">
        <f t="array" ref="H74">IF(G74="","",SUBSTITUTE(SUBSTITUTE(SUBSTITUTE(SUBSTITUTE(SUBSTITUTE(G74,"&lt;p&gt;",""),"&lt;/p&gt;",""),"&lt;ul&gt;",""),"&lt;/ul&gt;",""),"&lt;/strong&gt;",""))</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I74" s="14" cm="1" t="str">
        <f t="array" ref="I74">IF(C74="","",IF(OR(H74="",H74=0,H74=FALSE),"-",H74))</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J74" s="8" t="s">
        <v>285</v>
      </c>
      <c r="K74" s="8" t="s">
        <v>53</v>
      </c>
      <c r="L74" s="9" cm="1" t="str">
        <f t="array" ref="L74">IF(C74="","",IF(K74="Mort / Plus rien à faire","KO","OK"))</f>
        <v>OK</v>
      </c>
      <c r="M74" s="15">
        <v>46114.70445601852</v>
      </c>
      <c r="N74" s="15" cm="1" t="n">
        <f t="array" ref="N74">IF(OR(C74="",M74="",M74=0),"",M74)</f>
        <v>46114.70445601852</v>
      </c>
      <c r="O74" s="15">
        <v>46391.708333333336</v>
      </c>
      <c r="P74" s="15" cm="1" t="n">
        <f t="array" ref="P74">IF(C74="","",IF(OR(O74="",O74=0),"-",O74))</f>
        <v>46391.708333333336</v>
      </c>
      <c r="Q74" s="16">
        <v>0</v>
      </c>
      <c r="R74" s="16" cm="1" t="str">
        <f t="array" ref="R74">IF(C74="","",ROUND(Q74/1000000,3)&amp;" M€")</f>
        <v>0 M€</v>
      </c>
      <c r="S74" s="12" t="s">
        <v>216</v>
      </c>
      <c r="T74" s="9" cm="1" t="str">
        <f t="array" ref="T74">IF(C74="","",SUBSTITUTE(S74,"","")&amp;"%")</f>
        <v>10%</v>
      </c>
      <c r="U74" s="14" cm="1" t="str">
        <f t="array" ref="U74">IF(($N74="")*($P74=""),"",IF(($N74&lt;&gt;"")*($N74&gt;TODAY()-9)*($N74&lt;TODAY()+1)*($P74&lt;&gt;"")*($P74&gt;=TODAY())*($P74&lt;=TODAY()+13),"Semaine passée &amp; à venir",IF(($N74&lt;&gt;"")*($N74&gt;TODAY()-9)*($N74&lt;TODAY()+1),"Semaine passée",IF(($P74&lt;&gt;"")*($P74&gt;=TODAY())*($P74&lt;=TODAY()+13),"À venir","Autre"))))</f>
        <v>Autre</v>
      </c>
      <c r="V74" s="8" cm="1" t="n">
        <f t="array" ref="V74">IF(C74&lt;&gt;"",1,0)</f>
        <v>1</v>
      </c>
      <c r="W74" s="8">
</c>
      <c r="X74" s="8">
</c>
      <c r="Y74" s="8">
</c>
      <c r="Z74" s="8">
</c>
      <c r="AA74" s="8">
</c>
      <c r="AB74" s="8">
</c>
      <c r="AC74" s="8">
</c>
      <c r="AD74" s="8">
</c>
      <c r="AE74" s="8">
</c>
      <c r="AF74" s="8">
</c>
      <c r="AG74" s="8">
</c>
      <c r="AH74" s="8">
</c>
      <c r="AI74" s="8">
</c>
      <c r="AJ74" s="8">
</c>
      <c r="AK74" s="8">
</c>
    </row>
    <row r="75" ht="76.5" customHeight="1">
      <c r="A75" s="9" t="s">
        <v>23</v>
      </c>
      <c r="B75" s="9" t="s">
        <v>144</v>
      </c>
      <c r="C75" s="12" t="s">
        <v>286</v>
      </c>
      <c r="D75" s="12" t="s">
        <v>287</v>
      </c>
      <c r="E75" s="9" t="s">
        <v>27</v>
      </c>
      <c r="F75" s="8" t="s">
        <v>288</v>
      </c>
      <c r="G75" s="13" cm="1" t="str">
        <f t="array" ref="G75">IF(F75="","",SUBSTITUTE(SUBSTITUTE(SUBSTITUTE(SUBSTITUTE(F75,"&lt;li&gt;",CHAR(10)),"&lt;/li&gt;",""),"&lt;br&gt;",CHAR(10)),"&lt;strong&gt;",""))</f>
        <v>&lt;p&gt;Référencement Straton : rdv prévu fin juin avec patron offre. Deck et trame contrat envoyés CEHDF. Nouvelle piste créée pour équipe Ventes. Prochaine étape : attendre retour CEHDF, préparer rdv fin juin. Pas d'autres activités ou retours prospects mentionnés à ce jour.&lt;/p&gt;</v>
      </c>
      <c r="H75" s="13" cm="1" t="str">
        <f t="array" ref="H75">IF(G75="","",SUBSTITUTE(SUBSTITUTE(SUBSTITUTE(SUBSTITUTE(SUBSTITUTE(G75,"&lt;p&gt;",""),"&lt;/p&gt;",""),"&lt;ul&gt;",""),"&lt;/ul&gt;",""),"&lt;/strong&gt;",""))</f>
        <v>Référencement Straton : rdv prévu fin juin avec patron offre. Deck et trame contrat envoyés CEHDF. Nouvelle piste créée pour équipe Ventes. Prochaine étape : attendre retour CEHDF, préparer rdv fin juin. Pas d'autres activités ou retours prospects mentionnés à ce jour.</v>
      </c>
      <c r="I75" s="14" cm="1" t="str">
        <f t="array" ref="I75">IF(C75="","",IF(OR(H75="",H75=0,H75=FALSE),"-",H75))</f>
        <v>Référencement Straton : rdv prévu fin juin avec patron offre. Deck et trame contrat envoyés CEHDF. Nouvelle piste créée pour équipe Ventes. Prochaine étape : attendre retour CEHDF, préparer rdv fin juin. Pas d'autres activités ou retours prospects mentionnés à ce jour.</v>
      </c>
      <c r="J75" s="8">
</c>
      <c r="K75" s="8" t="s">
        <v>203</v>
      </c>
      <c r="L75" s="9" cm="1" t="str">
        <f t="array" ref="L75">IF(C75="","",IF(K75="Mort / Plus rien à faire","KO","OK"))</f>
        <v>OK</v>
      </c>
      <c r="M75" s="15">
        <v>46160.464224537034</v>
      </c>
      <c r="N75" s="15" cm="1" t="n">
        <f t="array" ref="N75">IF(OR(C75="",M75="",M75=0),"",M75)</f>
        <v>46160.464224537034</v>
      </c>
      <c r="O75" s="15">
</c>
      <c r="P75" s="15" cm="1" t="str">
        <f t="array" ref="P75">IF(C75="","",IF(OR(O75="",O75=0),"-",O75))</f>
        <v>-</v>
      </c>
      <c r="Q75" s="16">
        <v>0</v>
      </c>
      <c r="R75" s="16" cm="1" t="str">
        <f t="array" ref="R75">IF(C75="","",ROUND(Q75/1000000,3)&amp;" M€")</f>
        <v>0 M€</v>
      </c>
      <c r="S75" s="12" t="s">
        <v>216</v>
      </c>
      <c r="T75" s="9" cm="1" t="str">
        <f t="array" ref="T75">IF(C75="","",SUBSTITUTE(S75,"","")&amp;"%")</f>
        <v>10%</v>
      </c>
      <c r="U75" s="14" cm="1" t="str">
        <f t="array" ref="U75">IF(($N75="")*($P75=""),"",IF(($N75&lt;&gt;"")*($N75&gt;TODAY()-9)*($N75&lt;TODAY()+1)*($P75&lt;&gt;"")*($P75&gt;=TODAY())*($P75&lt;=TODAY()+13),"Semaine passée &amp; à venir",IF(($N75&lt;&gt;"")*($N75&gt;TODAY()-9)*($N75&lt;TODAY()+1),"Semaine passée",IF(($P75&lt;&gt;"")*($P75&gt;=TODAY())*($P75&lt;=TODAY()+13),"À venir","Autre"))))</f>
        <v>Autre</v>
      </c>
      <c r="V75" s="8" cm="1" t="n">
        <f t="array" ref="V75">IF(C75&lt;&gt;"",1,0)</f>
        <v>1</v>
      </c>
      <c r="W75" s="8">
</c>
      <c r="X75" s="8">
</c>
      <c r="Y75" s="8">
</c>
      <c r="Z75" s="8">
</c>
      <c r="AA75" s="8">
</c>
      <c r="AB75" s="8">
</c>
      <c r="AC75" s="8">
</c>
      <c r="AD75" s="8">
</c>
      <c r="AE75" s="8">
</c>
      <c r="AF75" s="8">
</c>
      <c r="AG75" s="8">
</c>
      <c r="AH75" s="8">
</c>
      <c r="AI75" s="8">
</c>
      <c r="AJ75" s="8">
</c>
      <c r="AK75" s="8">
</c>
    </row>
    <row r="76" ht="76.5" customHeight="1">
      <c r="A76" s="9" t="s">
        <v>23</v>
      </c>
      <c r="B76" s="9">
</c>
      <c r="C76" s="12" t="s">
        <v>289</v>
      </c>
      <c r="D76" s="12" t="s">
        <v>290</v>
      </c>
      <c r="E76" s="9" t="s">
        <v>27</v>
      </c>
      <c r="F76" s="8" t="s">
        <v>291</v>
      </c>
      <c r="G76" s="13" cm="1" t="str">
        <f t="array" ref="G76">IF(F76="","",SUBSTITUTE(SUBSTITUTE(SUBSTITUTE(SUBSTITUTE(F76,"&lt;li&gt;",CHAR(10)),"&lt;/li&gt;",""),"&lt;br&gt;",CHAR(10)),"&lt;strong&gt;",""))</f>
        <v>&lt;p&gt;27/05/2026 : nouvelle piste créée équipe Ventes. Message envoyé à Olivier pour sonder intérêt sur fonds PME défense française (minoritaire), 100M€ visés, 10M€ signés, closing prévu oct 2026. Présentation du track record AUDACIA (1Md€ déployé, 360 PME, 18 Défense). Aucune réponse ou action à ce jour.&lt;/p&gt;</v>
      </c>
      <c r="H76" s="13" cm="1" t="str">
        <f t="array" ref="H76">IF(G76="","",SUBSTITUTE(SUBSTITUTE(SUBSTITUTE(SUBSTITUTE(SUBSTITUTE(G76,"&lt;p&gt;",""),"&lt;/p&gt;",""),"&lt;ul&gt;",""),"&lt;/ul&gt;",""),"&lt;/strong&gt;",""))</f>
        <v>27/05/2026 : nouvelle piste créée équipe Ventes. Message envoyé à Olivier pour sonder intérêt sur fonds PME défense française (minoritaire), 100M€ visés, 10M€ signés, closing prévu oct 2026. Présentation du track record AUDACIA (1Md€ déployé, 360 PME, 18 Défense). Aucune réponse ou action à ce jour.</v>
      </c>
      <c r="I76" s="14" cm="1" t="str">
        <f t="array" ref="I76">IF(C76="","",IF(OR(H76="",H76=0,H76=FALSE),"-",H76))</f>
        <v>27/05/2026 : nouvelle piste créée équipe Ventes. Message envoyé à Olivier pour sonder intérêt sur fonds PME défense française (minoritaire), 100M€ visés, 10M€ signés, closing prévu oct 2026. Présentation du track record AUDACIA (1Md€ déployé, 360 PME, 18 Défense). Aucune réponse ou action à ce jour.</v>
      </c>
      <c r="J76" s="8">
</c>
      <c r="K76" s="8" t="s">
        <v>203</v>
      </c>
      <c r="L76" s="9" cm="1" t="str">
        <f t="array" ref="L76">IF(C76="","",IF(K76="Mort / Plus rien à faire","KO","OK"))</f>
        <v>OK</v>
      </c>
      <c r="M76" s="15">
        <v>46169.41533564815</v>
      </c>
      <c r="N76" s="15" cm="1" t="n">
        <f t="array" ref="N76">IF(OR(C76="",M76="",M76=0),"",M76)</f>
        <v>46169.41533564815</v>
      </c>
      <c r="O76" s="15">
</c>
      <c r="P76" s="15" cm="1" t="str">
        <f t="array" ref="P76">IF(C76="","",IF(OR(O76="",O76=0),"-",O76))</f>
        <v>-</v>
      </c>
      <c r="Q76" s="16">
        <v>0</v>
      </c>
      <c r="R76" s="16" cm="1" t="str">
        <f t="array" ref="R76">IF(C76="","",ROUND(Q76/1000000,3)&amp;" M€")</f>
        <v>0 M€</v>
      </c>
      <c r="S76" s="12" t="s">
        <v>216</v>
      </c>
      <c r="T76" s="9" cm="1" t="str">
        <f t="array" ref="T76">IF(C76="","",SUBSTITUTE(S76,"","")&amp;"%")</f>
        <v>10%</v>
      </c>
      <c r="U76" s="14" cm="1" t="str">
        <f t="array" ref="U76">IF(($N76="")*($P76=""),"",IF(($N76&lt;&gt;"")*($N76&gt;TODAY()-9)*($N76&lt;TODAY()+1)*($P76&lt;&gt;"")*($P76&gt;=TODAY())*($P76&lt;=TODAY()+13),"Semaine passée &amp; à venir",IF(($N76&lt;&gt;"")*($N76&gt;TODAY()-9)*($N76&lt;TODAY()+1),"Semaine passée",IF(($P76&lt;&gt;"")*($P76&gt;=TODAY())*($P76&lt;=TODAY()+13),"À venir","Autre"))))</f>
        <v>Semaine passée</v>
      </c>
      <c r="V76" s="8" cm="1" t="n">
        <f t="array" ref="V76">IF(C76&lt;&gt;"",1,0)</f>
        <v>1</v>
      </c>
      <c r="W76" s="8">
</c>
      <c r="X76" s="8">
</c>
      <c r="Y76" s="8">
</c>
      <c r="Z76" s="8">
</c>
      <c r="AA76" s="8">
</c>
      <c r="AB76" s="8">
</c>
      <c r="AC76" s="8">
</c>
      <c r="AD76" s="8">
</c>
      <c r="AE76" s="8">
</c>
      <c r="AF76" s="8">
</c>
      <c r="AG76" s="8">
</c>
      <c r="AH76" s="8">
</c>
      <c r="AI76" s="8">
</c>
      <c r="AJ76" s="8">
</c>
      <c r="AK76" s="8">
</c>
    </row>
    <row r="77" ht="76.5" customHeight="1">
      <c r="A77" s="9" t="s">
        <v>23</v>
      </c>
      <c r="B77" s="9" t="s">
        <v>264</v>
      </c>
      <c r="C77" s="12" t="s">
        <v>292</v>
      </c>
      <c r="D77" s="12" t="s">
        <v>293</v>
      </c>
      <c r="E77" s="9" t="s">
        <v>27</v>
      </c>
      <c r="F77" s="8" t="s">
        <v>294</v>
      </c>
      <c r="G77" s="13" cm="1" t="str">
        <f t="array" ref="G77">IF(F77="","",SUBSTITUTE(SUBSTITUTE(SUBSTITUTE(SUBSTITUTE(F77,"&lt;li&gt;",CHAR(10)),"&lt;/li&gt;",""),"&lt;br&gt;",CHAR(10)),"&lt;strong&gt;",""))</f>
        <v>&lt;p&gt;Contact initié via Amsterdam 0100, intérêt prospect pour BuyOut, échanges sur fonds Audacia (FPCI, cible 100M€, 8 secteurs défense, 15 PME, IRR 12,5%, closing technique imminent, final closing 30/09/2026). Pas d'activité future planifiée à ce stade, attente retour d'intérêt prospect.&lt;/p&gt;</v>
      </c>
      <c r="H77" s="13" cm="1" t="str">
        <f t="array" ref="H77">IF(G77="","",SUBSTITUTE(SUBSTITUTE(SUBSTITUTE(SUBSTITUTE(SUBSTITUTE(G77,"&lt;p&gt;",""),"&lt;/p&gt;",""),"&lt;ul&gt;",""),"&lt;/ul&gt;",""),"&lt;/strong&gt;",""))</f>
        <v>Contact initié via Amsterdam 0100, intérêt prospect pour BuyOut, échanges sur fonds Audacia (FPCI, cible 100M€, 8 secteurs défense, 15 PME, IRR 12,5%, closing technique imminent, final closing 30/09/2026). Pas d'activité future planifiée à ce stade, attente retour d'intérêt prospect.</v>
      </c>
      <c r="I77" s="14" cm="1" t="str">
        <f t="array" ref="I77">IF(C77="","",IF(OR(H77="",H77=0,H77=FALSE),"-",H77))</f>
        <v>Contact initié via Amsterdam 0100, intérêt prospect pour BuyOut, échanges sur fonds Audacia (FPCI, cible 100M€, 8 secteurs défense, 15 PME, IRR 12,5%, closing technique imminent, final closing 30/09/2026). Pas d'activité future planifiée à ce stade, attente retour d'intérêt prospect.</v>
      </c>
      <c r="J77" s="8">
</c>
      <c r="K77" s="8" t="s">
        <v>203</v>
      </c>
      <c r="L77" s="9" cm="1" t="str">
        <f t="array" ref="L77">IF(C77="","",IF(K77="Mort / Plus rien à faire","KO","OK"))</f>
        <v>OK</v>
      </c>
      <c r="M77" s="15">
        <v>46153.555625</v>
      </c>
      <c r="N77" s="15" cm="1" t="n">
        <f t="array" ref="N77">IF(OR(C77="",M77="",M77=0),"",M77)</f>
        <v>46153.555625</v>
      </c>
      <c r="O77" s="15">
</c>
      <c r="P77" s="15" cm="1" t="str">
        <f t="array" ref="P77">IF(C77="","",IF(OR(O77="",O77=0),"-",O77))</f>
        <v>-</v>
      </c>
      <c r="Q77" s="16">
        <v>0</v>
      </c>
      <c r="R77" s="16" cm="1" t="str">
        <f t="array" ref="R77">IF(C77="","",ROUND(Q77/1000000,3)&amp;" M€")</f>
        <v>0 M€</v>
      </c>
      <c r="S77" s="12" t="s">
        <v>216</v>
      </c>
      <c r="T77" s="9" cm="1" t="str">
        <f t="array" ref="T77">IF(C77="","",SUBSTITUTE(S77,"","")&amp;"%")</f>
        <v>10%</v>
      </c>
      <c r="U77" s="14" cm="1" t="str">
        <f t="array" ref="U77">IF(($N77="")*($P77=""),"",IF(($N77&lt;&gt;"")*($N77&gt;TODAY()-9)*($N77&lt;TODAY()+1)*($P77&lt;&gt;"")*($P77&gt;=TODAY())*($P77&lt;=TODAY()+13),"Semaine passée &amp; à venir",IF(($N77&lt;&gt;"")*($N77&gt;TODAY()-9)*($N77&lt;TODAY()+1),"Semaine passée",IF(($P77&lt;&gt;"")*($P77&gt;=TODAY())*($P77&lt;=TODAY()+13),"À venir","Autre"))))</f>
        <v>Autre</v>
      </c>
      <c r="V77" s="8" cm="1" t="n">
        <f t="array" ref="V77">IF(C77&lt;&gt;"",1,0)</f>
        <v>1</v>
      </c>
      <c r="W77" s="8">
</c>
      <c r="X77" s="8">
</c>
      <c r="Y77" s="8">
</c>
      <c r="Z77" s="8">
</c>
      <c r="AA77" s="8">
</c>
      <c r="AB77" s="8">
</c>
      <c r="AC77" s="8">
</c>
      <c r="AD77" s="8">
</c>
      <c r="AE77" s="8">
</c>
      <c r="AF77" s="8">
</c>
      <c r="AG77" s="8">
</c>
      <c r="AH77" s="8">
</c>
      <c r="AI77" s="8">
</c>
      <c r="AJ77" s="8">
</c>
      <c r="AK77" s="8">
</c>
    </row>
    <row r="78" ht="76.5" customHeight="1">
      <c r="A78" s="9" t="s">
        <v>23</v>
      </c>
      <c r="B78" s="9" t="s">
        <v>40</v>
      </c>
      <c r="C78" s="12" t="s">
        <v>100</v>
      </c>
      <c r="D78" s="9">
</c>
      <c r="E78" s="9" t="s">
        <v>43</v>
      </c>
      <c r="F78" s="8" t="s">
        <v>295</v>
      </c>
      <c r="G78" s="13" cm="1" t="str">
        <f t="array" ref="G78">IF(F78="","",SUBSTITUTE(SUBSTITUTE(SUBSTITUTE(SUBSTITUTE(F78,"&lt;li&gt;",CHAR(10)),"&lt;/li&gt;",""),"&lt;br&gt;",CHAR(10)),"&lt;strong&gt;",""))</f>
        <v>&lt;p&gt;Nouvelle piste créée pour équipe Ventes. 27/04 : demande entrante, un client souhaite investir dans STRATON. Pas d'autres échanges ou actions récentes identifiés. Prochaines étapes à définir, aucun retour prospect ni suivi complémentaire enregistré à ce stade.&lt;/p&gt;</v>
      </c>
      <c r="H78" s="13" cm="1" t="str">
        <f t="array" ref="H78">IF(G78="","",SUBSTITUTE(SUBSTITUTE(SUBSTITUTE(SUBSTITUTE(SUBSTITUTE(G78,"&lt;p&gt;",""),"&lt;/p&gt;",""),"&lt;ul&gt;",""),"&lt;/ul&gt;",""),"&lt;/strong&gt;",""))</f>
        <v>Nouvelle piste créée pour équipe Ventes. 27/04 : demande entrante, un client souhaite investir dans STRATON. Pas d'autres échanges ou actions récentes identifiés. Prochaines étapes à définir, aucun retour prospect ni suivi complémentaire enregistré à ce stade.</v>
      </c>
      <c r="I78" s="14" cm="1" t="str">
        <f t="array" ref="I78">IF(C78="","",IF(OR(H78="",H78=0,H78=FALSE),"-",H78))</f>
        <v>Nouvelle piste créée pour équipe Ventes. 27/04 : demande entrante, un client souhaite investir dans STRATON. Pas d'autres échanges ou actions récentes identifiés. Prochaines étapes à définir, aucun retour prospect ni suivi complémentaire enregistré à ce stade.</v>
      </c>
      <c r="J78" s="8">
</c>
      <c r="K78" s="8" t="s">
        <v>203</v>
      </c>
      <c r="L78" s="9" cm="1" t="str">
        <f t="array" ref="L78">IF(C78="","",IF(K78="Mort / Plus rien à faire","KO","OK"))</f>
        <v>OK</v>
      </c>
      <c r="M78" s="15">
        <v>46139.44792824074</v>
      </c>
      <c r="N78" s="15" cm="1" t="n">
        <f t="array" ref="N78">IF(OR(C78="",M78="",M78=0),"",M78)</f>
        <v>46139.44792824074</v>
      </c>
      <c r="O78" s="15">
</c>
      <c r="P78" s="15" cm="1" t="str">
        <f t="array" ref="P78">IF(C78="","",IF(OR(O78="",O78=0),"-",O78))</f>
        <v>-</v>
      </c>
      <c r="Q78" s="16">
        <v>100000</v>
      </c>
      <c r="R78" s="16" cm="1" t="str">
        <f t="array" ref="R78">IF(C78="","",ROUND(Q78/1000000,3)&amp;" M€")</f>
        <v>0.1 M€</v>
      </c>
      <c r="S78" s="12" t="s">
        <v>216</v>
      </c>
      <c r="T78" s="9" cm="1" t="str">
        <f t="array" ref="T78">IF(C78="","",SUBSTITUTE(S78,"","")&amp;"%")</f>
        <v>10%</v>
      </c>
      <c r="U78" s="14" cm="1" t="str">
        <f t="array" ref="U78">IF(($N78="")*($P78=""),"",IF(($N78&lt;&gt;"")*($N78&gt;TODAY()-9)*($N78&lt;TODAY()+1)*($P78&lt;&gt;"")*($P78&gt;=TODAY())*($P78&lt;=TODAY()+13),"Semaine passée &amp; à venir",IF(($N78&lt;&gt;"")*($N78&gt;TODAY()-9)*($N78&lt;TODAY()+1),"Semaine passée",IF(($P78&lt;&gt;"")*($P78&gt;=TODAY())*($P78&lt;=TODAY()+13),"À venir","Autre"))))</f>
        <v>Autre</v>
      </c>
      <c r="V78" s="8" cm="1" t="n">
        <f t="array" ref="V78">IF(C78&lt;&gt;"",1,0)</f>
        <v>1</v>
      </c>
      <c r="W78" s="8">
</c>
      <c r="X78" s="8">
</c>
      <c r="Y78" s="8">
</c>
      <c r="Z78" s="8">
</c>
      <c r="AA78" s="8">
</c>
      <c r="AB78" s="8">
</c>
      <c r="AC78" s="8">
</c>
      <c r="AD78" s="8">
</c>
      <c r="AE78" s="8">
</c>
      <c r="AF78" s="8">
</c>
      <c r="AG78" s="8">
</c>
      <c r="AH78" s="8">
</c>
      <c r="AI78" s="8">
</c>
      <c r="AJ78" s="8">
</c>
      <c r="AK78" s="8">
</c>
    </row>
    <row r="79" ht="76.5" customHeight="1">
      <c r="A79" s="9" t="s">
        <v>23</v>
      </c>
      <c r="B79" s="9" t="s">
        <v>76</v>
      </c>
      <c r="C79" s="12" t="s">
        <v>296</v>
      </c>
      <c r="D79" s="12" t="s">
        <v>297</v>
      </c>
      <c r="E79" s="9" t="s">
        <v>27</v>
      </c>
      <c r="F79" s="8" t="s">
        <v>298</v>
      </c>
      <c r="G79" s="13" cm="1" t="str">
        <f t="array" ref="G79">IF(F79="","",SUBSTITUTE(SUBSTITUTE(SUBSTITUTE(SUBSTITUTE(F79,"&lt;li&gt;",CHAR(10)),"&lt;/li&gt;",""),"&lt;br&gt;",CHAR(10)),"&lt;strong&gt;",""))</f>
        <v>&lt;p&gt;Cash out 20M€ réalisé, lead TS, prospect intéressé par la tech. Dernières actions : échanges TS, pas de retour prospect sur fonds présentés. Prochaine étape : relance à effectuer par TS avant le 10/06. Pas d'autres activités ou retours significatifs à ce stade.&lt;/p&gt;</v>
      </c>
      <c r="H79" s="13" cm="1" t="str">
        <f t="array" ref="H79">IF(G79="","",SUBSTITUTE(SUBSTITUTE(SUBSTITUTE(SUBSTITUTE(SUBSTITUTE(G79,"&lt;p&gt;",""),"&lt;/p&gt;",""),"&lt;ul&gt;",""),"&lt;/ul&gt;",""),"&lt;/strong&gt;",""))</f>
        <v>Cash out 20M€ réalisé, lead TS, prospect intéressé par la tech. Dernières actions : échanges TS, pas de retour prospect sur fonds présentés. Prochaine étape : relance à effectuer par TS avant le 10/06. Pas d'autres activités ou retours significatifs à ce stade.</v>
      </c>
      <c r="I79" s="14" cm="1" t="str">
        <f t="array" ref="I79">IF(C79="","",IF(OR(H79="",H79=0,H79=FALSE),"-",H79))</f>
        <v>Cash out 20M€ réalisé, lead TS, prospect intéressé par la tech. Dernières actions : échanges TS, pas de retour prospect sur fonds présentés. Prochaine étape : relance à effectuer par TS avant le 10/06. Pas d'autres activités ou retours significatifs à ce stade.</v>
      </c>
      <c r="J79" s="8" t="s">
        <v>299</v>
      </c>
      <c r="K79" s="8" t="s">
        <v>203</v>
      </c>
      <c r="L79" s="9" cm="1" t="str">
        <f t="array" ref="L79">IF(C79="","",IF(K79="Mort / Plus rien à faire","KO","OK"))</f>
        <v>OK</v>
      </c>
      <c r="M79" s="15">
        <v>46176.74753472222</v>
      </c>
      <c r="N79" s="15" cm="1" t="n">
        <f t="array" ref="N79">IF(OR(C79="",M79="",M79=0),"",M79)</f>
        <v>46176.74753472222</v>
      </c>
      <c r="O79" s="15">
        <v>46183.083333333336</v>
      </c>
      <c r="P79" s="15" cm="1" t="n">
        <f t="array" ref="P79">IF(C79="","",IF(OR(O79="",O79=0),"-",O79))</f>
        <v>46183.083333333336</v>
      </c>
      <c r="Q79" s="16">
        <v>0</v>
      </c>
      <c r="R79" s="16" cm="1" t="str">
        <f t="array" ref="R79">IF(C79="","",ROUND(Q79/1000000,3)&amp;" M€")</f>
        <v>0 M€</v>
      </c>
      <c r="S79" s="12" t="s">
        <v>216</v>
      </c>
      <c r="T79" s="9" cm="1" t="str">
        <f t="array" ref="T79">IF(C79="","",SUBSTITUTE(S79,"","")&amp;"%")</f>
        <v>10%</v>
      </c>
      <c r="U79" s="14" cm="1" t="str">
        <f t="array" ref="U79">IF(($N79="")*($P79=""),"",IF(($N79&lt;&gt;"")*($N79&gt;TODAY()-9)*($N79&lt;TODAY()+1)*($P79&lt;&gt;"")*($P79&gt;=TODAY())*($P79&lt;=TODAY()+13),"Semaine passée &amp; à venir",IF(($N79&lt;&gt;"")*($N79&gt;TODAY()-9)*($N79&lt;TODAY()+1),"Semaine passée",IF(($P79&lt;&gt;"")*($P79&gt;=TODAY())*($P79&lt;=TODAY()+13),"À venir","Autre"))))</f>
        <v>Semaine passée &amp; à venir</v>
      </c>
      <c r="V79" s="8" cm="1" t="n">
        <f t="array" ref="V79">IF(C79&lt;&gt;"",1,0)</f>
        <v>1</v>
      </c>
      <c r="W79" s="8">
</c>
      <c r="X79" s="8">
</c>
      <c r="Y79" s="8">
</c>
      <c r="Z79" s="8">
</c>
      <c r="AA79" s="8">
</c>
      <c r="AB79" s="8">
</c>
      <c r="AC79" s="8">
</c>
      <c r="AD79" s="8">
</c>
      <c r="AE79" s="8">
</c>
      <c r="AF79" s="8">
</c>
      <c r="AG79" s="8">
</c>
      <c r="AH79" s="8">
</c>
      <c r="AI79" s="8">
</c>
      <c r="AJ79" s="8">
</c>
      <c r="AK79" s="8">
</c>
    </row>
    <row r="80" ht="76.5" customHeight="1">
      <c r="A80" s="9" t="s">
        <v>23</v>
      </c>
      <c r="B80" s="9" t="s">
        <v>63</v>
      </c>
      <c r="C80" s="12" t="s">
        <v>300</v>
      </c>
      <c r="D80" s="12" t="s">
        <v>301</v>
      </c>
      <c r="E80" s="9" t="s">
        <v>27</v>
      </c>
      <c r="F80" s="8" t="s">
        <v>302</v>
      </c>
      <c r="G80" s="13" cm="1" t="str">
        <f t="array" ref="G80">IF(F80="","",SUBSTITUTE(SUBSTITUTE(SUBSTITUTE(SUBSTITUTE(F80,"&lt;li&gt;",CHAR(10)),"&lt;/li&gt;",""),"&lt;br&gt;",CHAR(10)),"&lt;strong&gt;",""))</f>
        <v>&lt;p&gt;Lead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prospect.&lt;/p&gt;</v>
      </c>
      <c r="H80" s="13" cm="1" t="str">
        <f t="array" ref="H80">IF(G80="","",SUBSTITUTE(SUBSTITUTE(SUBSTITUTE(SUBSTITUTE(SUBSTITUTE(G80,"&lt;p&gt;",""),"&lt;/p&gt;",""),"&lt;ul&gt;",""),"&lt;/ul&gt;",""),"&lt;/strong&gt;",""))</f>
        <v>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v>
      </c>
      <c r="I80" s="14" cm="1" t="str">
        <f t="array" ref="I80">IF(C80="","",IF(OR(H80="",H80=0,H80=FALSE),"-",H80))</f>
        <v>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v>
      </c>
      <c r="J80" s="8">
</c>
      <c r="K80" s="8" t="s">
        <v>203</v>
      </c>
      <c r="L80" s="9" cm="1" t="str">
        <f t="array" ref="L80">IF(C80="","",IF(K80="Mort / Plus rien à faire","KO","OK"))</f>
        <v>OK</v>
      </c>
      <c r="M80" s="15">
        <v>46141.592453703706</v>
      </c>
      <c r="N80" s="15" cm="1" t="n">
        <f t="array" ref="N80">IF(OR(C80="",M80="",M80=0),"",M80)</f>
        <v>46141.592453703706</v>
      </c>
      <c r="O80" s="15">
</c>
      <c r="P80" s="15" cm="1" t="str">
        <f t="array" ref="P80">IF(C80="","",IF(OR(O80="",O80=0),"-",O80))</f>
        <v>-</v>
      </c>
      <c r="Q80" s="16">
        <v>0</v>
      </c>
      <c r="R80" s="16" cm="1" t="str">
        <f t="array" ref="R80">IF(C80="","",ROUND(Q80/1000000,3)&amp;" M€")</f>
        <v>0 M€</v>
      </c>
      <c r="S80" s="12" t="s">
        <v>216</v>
      </c>
      <c r="T80" s="9" cm="1" t="str">
        <f t="array" ref="T80">IF(C80="","",SUBSTITUTE(S80,"","")&amp;"%")</f>
        <v>10%</v>
      </c>
      <c r="U80" s="14" cm="1" t="str">
        <f t="array" ref="U80">IF(($N80="")*($P80=""),"",IF(($N80&lt;&gt;"")*($N80&gt;TODAY()-9)*($N80&lt;TODAY()+1)*($P80&lt;&gt;"")*($P80&gt;=TODAY())*($P80&lt;=TODAY()+13),"Semaine passée &amp; à venir",IF(($N80&lt;&gt;"")*($N80&gt;TODAY()-9)*($N80&lt;TODAY()+1),"Semaine passée",IF(($P80&lt;&gt;"")*($P80&gt;=TODAY())*($P80&lt;=TODAY()+13),"À venir","Autre"))))</f>
        <v>Autre</v>
      </c>
      <c r="V80" s="8" cm="1" t="n">
        <f t="array" ref="V80">IF(C80&lt;&gt;"",1,0)</f>
        <v>1</v>
      </c>
      <c r="W80" s="8">
</c>
      <c r="X80" s="8">
</c>
      <c r="Y80" s="8">
</c>
      <c r="Z80" s="8">
</c>
      <c r="AA80" s="8">
</c>
      <c r="AB80" s="8">
</c>
      <c r="AC80" s="8">
</c>
      <c r="AD80" s="8">
</c>
      <c r="AE80" s="8">
</c>
      <c r="AF80" s="8">
</c>
      <c r="AG80" s="8">
</c>
      <c r="AH80" s="8">
</c>
      <c r="AI80" s="8">
</c>
      <c r="AJ80" s="8">
</c>
      <c r="AK80" s="8">
</c>
    </row>
    <row r="81" ht="76.5" customHeight="1">
      <c r="A81" s="9" t="s">
        <v>23</v>
      </c>
      <c r="B81" s="9" t="s">
        <v>24</v>
      </c>
      <c r="C81" s="12" t="s">
        <v>303</v>
      </c>
      <c r="D81" s="12" t="s">
        <v>304</v>
      </c>
      <c r="E81" s="9" t="s">
        <v>27</v>
      </c>
      <c r="F81" s="8" t="s">
        <v>305</v>
      </c>
      <c r="G81" s="13" cm="1" t="str">
        <f t="array" ref="G81">IF(F81="","",SUBSTITUTE(SUBSTITUTE(SUBSTITUTE(SUBSTITUTE(F81,"&lt;li&gt;",CHAR(10)),"&lt;/li&gt;",""),"&lt;br&gt;",CHAR(10)),"&lt;strong&gt;",""))</f>
        <v>&lt;p&gt;RDV physique 22 mai avec C Nouet validé. Discussion fonds de fonds non coté, 3bn encours 2026, premiers investissements réalisés, 4 fonds (2 PE, 2 infra). Préférence fonds majoritaires, capital développement, bonne connaissance KLESIA, pas d'intérêt venture deeptech/quantique. Prochaine étape : relance RDV via assistante.&lt;/p&gt;</v>
      </c>
      <c r="H81" s="13" cm="1" t="str">
        <f t="array" ref="H81">IF(G81="","",SUBSTITUTE(SUBSTITUTE(SUBSTITUTE(SUBSTITUTE(SUBSTITUTE(G81,"&lt;p&gt;",""),"&lt;/p&gt;",""),"&lt;ul&gt;",""),"&lt;/ul&gt;",""),"&lt;/strong&gt;",""))</f>
        <v>RDV physique 22 mai avec C Nouet validé. Discussion fonds de fonds non coté, 3bn encours 2026, premiers investissements réalisés, 4 fonds (2 PE, 2 infra). Préférence fonds majoritaires, capital développement, bonne connaissance KLESIA, pas d'intérêt venture deeptech/quantique. Prochaine étape : relance RDV via assistante.</v>
      </c>
      <c r="I81" s="14" cm="1" t="str">
        <f t="array" ref="I81">IF(C81="","",IF(OR(H81="",H81=0,H81=FALSE),"-",H81))</f>
        <v>RDV physique 22 mai avec C Nouet validé. Discussion fonds de fonds non coté, 3bn encours 2026, premiers investissements réalisés, 4 fonds (2 PE, 2 infra). Préférence fonds majoritaires, capital développement, bonne connaissance KLESIA, pas d'intérêt venture deeptech/quantique. Prochaine étape : relance RDV via assistante.</v>
      </c>
      <c r="J81" s="8" t="s">
        <v>306</v>
      </c>
      <c r="K81" s="8" t="s">
        <v>106</v>
      </c>
      <c r="L81" s="9" cm="1" t="str">
        <f t="array" ref="L81">IF(C81="","",IF(K81="Mort / Plus rien à faire","KO","OK"))</f>
        <v>OK</v>
      </c>
      <c r="M81" s="15">
        <v>46176.74508101852</v>
      </c>
      <c r="N81" s="15" cm="1" t="n">
        <f t="array" ref="N81">IF(OR(C81="",M81="",M81=0),"",M81)</f>
        <v>46176.74508101852</v>
      </c>
      <c r="O81" s="15">
        <v>46295.083333333336</v>
      </c>
      <c r="P81" s="15" cm="1" t="n">
        <f t="array" ref="P81">IF(C81="","",IF(OR(O81="",O81=0),"-",O81))</f>
        <v>46295.083333333336</v>
      </c>
      <c r="Q81" s="16">
        <v>0</v>
      </c>
      <c r="R81" s="16" cm="1" t="str">
        <f t="array" ref="R81">IF(C81="","",ROUND(Q81/1000000,3)&amp;" M€")</f>
        <v>0 M€</v>
      </c>
      <c r="S81" s="12" t="s">
        <v>216</v>
      </c>
      <c r="T81" s="9" cm="1" t="str">
        <f t="array" ref="T81">IF(C81="","",SUBSTITUTE(S81,"","")&amp;"%")</f>
        <v>10%</v>
      </c>
      <c r="U81" s="14" cm="1" t="str">
        <f t="array" ref="U81">IF(($N81="")*($P81=""),"",IF(($N81&lt;&gt;"")*($N81&gt;TODAY()-9)*($N81&lt;TODAY()+1)*($P81&lt;&gt;"")*($P81&gt;=TODAY())*($P81&lt;=TODAY()+13),"Semaine passée &amp; à venir",IF(($N81&lt;&gt;"")*($N81&gt;TODAY()-9)*($N81&lt;TODAY()+1),"Semaine passée",IF(($P81&lt;&gt;"")*($P81&gt;=TODAY())*($P81&lt;=TODAY()+13),"À venir","Autre"))))</f>
        <v>Semaine passée</v>
      </c>
      <c r="V81" s="8" cm="1" t="n">
        <f t="array" ref="V81">IF(C81&lt;&gt;"",1,0)</f>
        <v>1</v>
      </c>
      <c r="W81" s="8">
</c>
      <c r="X81" s="8">
</c>
      <c r="Y81" s="8">
</c>
      <c r="Z81" s="8">
</c>
      <c r="AA81" s="8">
</c>
      <c r="AB81" s="8">
</c>
      <c r="AC81" s="8">
</c>
      <c r="AD81" s="8">
</c>
      <c r="AE81" s="8">
</c>
      <c r="AF81" s="8">
</c>
      <c r="AG81" s="8">
</c>
      <c r="AH81" s="8">
</c>
      <c r="AI81" s="8">
</c>
      <c r="AJ81" s="8">
</c>
      <c r="AK81" s="8">
</c>
    </row>
    <row r="82" ht="76.5" customHeight="1">
      <c r="A82" s="9" t="s">
        <v>23</v>
      </c>
      <c r="B82" s="9" t="s">
        <v>144</v>
      </c>
      <c r="C82" s="12" t="s">
        <v>172</v>
      </c>
      <c r="D82" s="12" t="s">
        <v>307</v>
      </c>
      <c r="E82" s="9" t="s">
        <v>27</v>
      </c>
      <c r="F82" s="8" t="s">
        <v>308</v>
      </c>
      <c r="G82" s="13" cm="1" t="str">
        <f t="array" ref="G82">IF(F82="","",SUBSTITUTE(SUBSTITUTE(SUBSTITUTE(SUBSTITUTE(F82,"&lt;li&gt;",CHAR(10)),"&lt;/li&gt;",""),"&lt;br&gt;",CHAR(10)),"&lt;strong&gt;",""))</f>
        <v>&lt;p&gt;RDV physique 26/05 avec Nicolas Conta. Invitation envoyée pour matinée défense Eurosatory 17/06, logistique gérée, présence de 10 LP prévue. Olivia Laplane : animation CE/BP BITD, montée en gamme, cible témoignage Straton. Offre retail HNWIO évoquée. Pas d'activité future planifiée.&lt;/p&gt;</v>
      </c>
      <c r="H82" s="13" cm="1" t="str">
        <f t="array" ref="H82">IF(G82="","",SUBSTITUTE(SUBSTITUTE(SUBSTITUTE(SUBSTITUTE(SUBSTITUTE(G82,"&lt;p&gt;",""),"&lt;/p&gt;",""),"&lt;ul&gt;",""),"&lt;/ul&gt;",""),"&lt;/strong&gt;",""))</f>
        <v>RDV physique 26/05 avec Nicolas Conta. Invitation envoyée pour matinée défense Eurosatory 17/06, logistique gérée, présence de 10 LP prévue. Olivia Laplane : animation CE/BP BITD, montée en gamme, cible témoignage Straton. Offre retail HNWIO évoquée. Pas d'activité future planifiée.</v>
      </c>
      <c r="I82" s="14" cm="1" t="str">
        <f t="array" ref="I82">IF(C82="","",IF(OR(H82="",H82=0,H82=FALSE),"-",H82))</f>
        <v>RDV physique 26/05 avec Nicolas Conta. Invitation envoyée pour matinée défense Eurosatory 17/06, logistique gérée, présence de 10 LP prévue. Olivia Laplane : animation CE/BP BITD, montée en gamme, cible témoignage Straton. Offre retail HNWIO évoquée. Pas d'activité future planifiée.</v>
      </c>
      <c r="J82" s="8" t="s">
        <v>309</v>
      </c>
      <c r="K82" s="8" t="s">
        <v>53</v>
      </c>
      <c r="L82" s="9" cm="1" t="str">
        <f t="array" ref="L82">IF(C82="","",IF(K82="Mort / Plus rien à faire","KO","OK"))</f>
        <v>OK</v>
      </c>
      <c r="M82" s="15">
        <v>46168.72416666667</v>
      </c>
      <c r="N82" s="15" cm="1" t="n">
        <f t="array" ref="N82">IF(OR(C82="",M82="",M82=0),"",M82)</f>
        <v>46168.72416666667</v>
      </c>
      <c r="O82" s="15">
        <v>46218.083333333336</v>
      </c>
      <c r="P82" s="15" cm="1" t="n">
        <f t="array" ref="P82">IF(C82="","",IF(OR(O82="",O82=0),"-",O82))</f>
        <v>46218.083333333336</v>
      </c>
      <c r="Q82" s="16">
        <v>0</v>
      </c>
      <c r="R82" s="16" cm="1" t="str">
        <f t="array" ref="R82">IF(C82="","",ROUND(Q82/1000000,3)&amp;" M€")</f>
        <v>0 M€</v>
      </c>
      <c r="S82" s="12" t="s">
        <v>216</v>
      </c>
      <c r="T82" s="9" cm="1" t="str">
        <f t="array" ref="T82">IF(C82="","",SUBSTITUTE(S82,"","")&amp;"%")</f>
        <v>10%</v>
      </c>
      <c r="U82" s="14" cm="1" t="str">
        <f t="array" ref="U82">IF(($N82="")*($P82=""),"",IF(($N82&lt;&gt;"")*($N82&gt;TODAY()-9)*($N82&lt;TODAY()+1)*($P82&lt;&gt;"")*($P82&gt;=TODAY())*($P82&lt;=TODAY()+13),"Semaine passée &amp; à venir",IF(($N82&lt;&gt;"")*($N82&gt;TODAY()-9)*($N82&lt;TODAY()+1),"Semaine passée",IF(($P82&lt;&gt;"")*($P82&gt;=TODAY())*($P82&lt;=TODAY()+13),"À venir","Autre"))))</f>
        <v>Autre</v>
      </c>
      <c r="V82" s="8" cm="1" t="n">
        <f t="array" ref="V82">IF(C82&lt;&gt;"",1,0)</f>
        <v>1</v>
      </c>
      <c r="W82" s="8">
</c>
      <c r="X82" s="8">
</c>
      <c r="Y82" s="8">
</c>
      <c r="Z82" s="8">
</c>
      <c r="AA82" s="8">
</c>
      <c r="AB82" s="8">
</c>
      <c r="AC82" s="8">
</c>
      <c r="AD82" s="8">
</c>
      <c r="AE82" s="8">
</c>
      <c r="AF82" s="8">
</c>
      <c r="AG82" s="8">
</c>
      <c r="AH82" s="8">
</c>
      <c r="AI82" s="8">
</c>
      <c r="AJ82" s="8">
</c>
      <c r="AK82" s="8">
</c>
    </row>
    <row r="83" ht="76.5" customHeight="1">
      <c r="A83" s="9" t="s">
        <v>23</v>
      </c>
      <c r="B83" s="9" t="s">
        <v>40</v>
      </c>
      <c r="C83" s="12" t="s">
        <v>310</v>
      </c>
      <c r="D83" s="12" t="s">
        <v>311</v>
      </c>
      <c r="E83" s="9" t="s">
        <v>43</v>
      </c>
      <c r="F83" s="8" t="s">
        <v>312</v>
      </c>
      <c r="G83" s="13" cm="1" t="str">
        <f t="array" ref="G83">IF(F83="","",SUBSTITUTE(SUBSTITUTE(SUBSTITUTE(SUBSTITUTE(F83,"&lt;li&gt;",CHAR(10)),"&lt;/li&gt;",""),"&lt;br&gt;",CHAR(10)),"&lt;strong&gt;",""))</f>
        <v>&lt;p&gt;Piste créée pour équipe Ventes. 26/02/2026 : call pour signature convention distribution fonds. En attente KYC distributeur. Enrichissement lead impossible (email non valide). Aucune activité planifiée ou réalisée depuis, prochaine étape : finaliser KYC pour avancer.&lt;/p&gt;</v>
      </c>
      <c r="H83" s="13" cm="1" t="str">
        <f t="array" ref="H83">IF(G83="","",SUBSTITUTE(SUBSTITUTE(SUBSTITUTE(SUBSTITUTE(SUBSTITUTE(G83,"&lt;p&gt;",""),"&lt;/p&gt;",""),"&lt;ul&gt;",""),"&lt;/ul&gt;",""),"&lt;/strong&gt;",""))</f>
        <v>Piste créée pour équipe Ventes. 26/02/2026 : call pour signature convention distribution fonds. En attente KYC distributeur. Enrichissement lead impossible (email non valide). Aucune activité planifiée ou réalisée depuis, prochaine étape : finaliser KYC pour avancer.</v>
      </c>
      <c r="I83" s="14" cm="1" t="str">
        <f t="array" ref="I83">IF(C83="","",IF(OR(H83="",H83=0,H83=FALSE),"-",H83))</f>
        <v>Piste créée pour équipe Ventes. 26/02/2026 : call pour signature convention distribution fonds. En attente KYC distributeur. Enrichissement lead impossible (email non valide). Aucune activité planifiée ou réalisée depuis, prochaine étape : finaliser KYC pour avancer.</v>
      </c>
      <c r="J83" s="8">
</c>
      <c r="K83" s="8" t="s">
        <v>53</v>
      </c>
      <c r="L83" s="9" cm="1" t="str">
        <f t="array" ref="L83">IF(C83="","",IF(K83="Mort / Plus rien à faire","KO","OK"))</f>
        <v>OK</v>
      </c>
      <c r="M83" s="15">
        <v>46087.70774305556</v>
      </c>
      <c r="N83" s="15" cm="1" t="n">
        <f t="array" ref="N83">IF(OR(C83="",M83="",M83=0),"",M83)</f>
        <v>46087.70774305556</v>
      </c>
      <c r="O83" s="15">
</c>
      <c r="P83" s="15" cm="1" t="str">
        <f t="array" ref="P83">IF(C83="","",IF(OR(O83="",O83=0),"-",O83))</f>
        <v>-</v>
      </c>
      <c r="Q83" s="16">
        <v>0</v>
      </c>
      <c r="R83" s="16" cm="1" t="str">
        <f t="array" ref="R83">IF(C83="","",ROUND(Q83/1000000,3)&amp;" M€")</f>
        <v>0 M€</v>
      </c>
      <c r="S83" s="12" t="s">
        <v>216</v>
      </c>
      <c r="T83" s="9" cm="1" t="str">
        <f t="array" ref="T83">IF(C83="","",SUBSTITUTE(S83,"","")&amp;"%")</f>
        <v>10%</v>
      </c>
      <c r="U83" s="14" cm="1" t="str">
        <f t="array" ref="U83">IF(($N83="")*($P83=""),"",IF(($N83&lt;&gt;"")*($N83&gt;TODAY()-9)*($N83&lt;TODAY()+1)*($P83&lt;&gt;"")*($P83&gt;=TODAY())*($P83&lt;=TODAY()+13),"Semaine passée &amp; à venir",IF(($N83&lt;&gt;"")*($N83&gt;TODAY()-9)*($N83&lt;TODAY()+1),"Semaine passée",IF(($P83&lt;&gt;"")*($P83&gt;=TODAY())*($P83&lt;=TODAY()+13),"À venir","Autre"))))</f>
        <v>Autre</v>
      </c>
      <c r="V83" s="8" cm="1" t="n">
        <f t="array" ref="V83">IF(C83&lt;&gt;"",1,0)</f>
        <v>1</v>
      </c>
      <c r="W83" s="8">
</c>
      <c r="X83" s="8">
</c>
      <c r="Y83" s="8">
</c>
      <c r="Z83" s="8">
</c>
      <c r="AA83" s="8">
</c>
      <c r="AB83" s="8">
</c>
      <c r="AC83" s="8">
</c>
      <c r="AD83" s="8">
</c>
      <c r="AE83" s="8">
</c>
      <c r="AF83" s="8">
</c>
      <c r="AG83" s="8">
</c>
      <c r="AH83" s="8">
</c>
      <c r="AI83" s="8">
</c>
      <c r="AJ83" s="8">
</c>
      <c r="AK83" s="8">
</c>
    </row>
    <row r="84" ht="76.5" customHeight="1">
      <c r="A84" s="9" t="s">
        <v>23</v>
      </c>
      <c r="B84" s="9" t="s">
        <v>24</v>
      </c>
      <c r="C84" s="12" t="s">
        <v>313</v>
      </c>
      <c r="D84" s="12" t="s">
        <v>314</v>
      </c>
      <c r="E84" s="9" t="s">
        <v>27</v>
      </c>
      <c r="F84" s="8" t="s">
        <v>315</v>
      </c>
      <c r="G84" s="13" cm="1" t="str">
        <f t="array" ref="G84">IF(F84="","",SUBSTITUTE(SUBSTITUTE(SUBSTITUTE(SUBSTITUTE(F84,"&lt;li&gt;",CHAR(10)),"&lt;/li&gt;",""),"&lt;br&gt;",CHAR(10)),"&lt;strong&gt;",""))</f>
        <v>&lt;p&gt;Aucune activité menée sur le prospect. Un nouvelle piste a été créée pour l'équipe "Ventes". Aucun échange, action ou retour du prospect enregistré à ce jour. Pas de prochaine étape identifiée ni de suivi en cours.&lt;/p&gt;</v>
      </c>
      <c r="H84" s="13" cm="1" t="str">
        <f t="array" ref="H84">IF(G84="","",SUBSTITUTE(SUBSTITUTE(SUBSTITUTE(SUBSTITUTE(SUBSTITUTE(G84,"&lt;p&gt;",""),"&lt;/p&gt;",""),"&lt;ul&gt;",""),"&lt;/ul&gt;",""),"&lt;/strong&gt;",""))</f>
        <v>Aucune activité menée sur le prospect. Un nouvelle piste a été créée pour l'équipe "Ventes". Aucun échange, action ou retour du prospect enregistré à ce jour. Pas de prochaine étape identifiée ni de suivi en cours.</v>
      </c>
      <c r="I84" s="14" cm="1" t="str">
        <f t="array" ref="I84">IF(C84="","",IF(OR(H84="",H84=0,H84=FALSE),"-",H84))</f>
        <v>Aucune activité menée sur le prospect. Un nouvelle piste a été créée pour l'équipe "Ventes". Aucun échange, action ou retour du prospect enregistré à ce jour. Pas de prochaine étape identifiée ni de suivi en cours.</v>
      </c>
      <c r="J84" s="8">
</c>
      <c r="K84" s="8" t="s">
        <v>106</v>
      </c>
      <c r="L84" s="9" cm="1" t="str">
        <f t="array" ref="L84">IF(C84="","",IF(K84="Mort / Plus rien à faire","KO","OK"))</f>
        <v>OK</v>
      </c>
      <c r="M84" s="15">
        <v>46121.65788194445</v>
      </c>
      <c r="N84" s="15" cm="1" t="n">
        <f t="array" ref="N84">IF(OR(C84="",M84="",M84=0),"",M84)</f>
        <v>46121.65788194445</v>
      </c>
      <c r="O84" s="15">
</c>
      <c r="P84" s="15" cm="1" t="str">
        <f t="array" ref="P84">IF(C84="","",IF(OR(O84="",O84=0),"-",O84))</f>
        <v>-</v>
      </c>
      <c r="Q84" s="16">
        <v>0</v>
      </c>
      <c r="R84" s="16" cm="1" t="str">
        <f t="array" ref="R84">IF(C84="","",ROUND(Q84/1000000,3)&amp;" M€")</f>
        <v>0 M€</v>
      </c>
      <c r="S84" s="12" t="s">
        <v>216</v>
      </c>
      <c r="T84" s="9" cm="1" t="str">
        <f t="array" ref="T84">IF(C84="","",SUBSTITUTE(S84,"","")&amp;"%")</f>
        <v>10%</v>
      </c>
      <c r="U84" s="14" cm="1" t="str">
        <f t="array" ref="U84">IF(($N84="")*($P84=""),"",IF(($N84&lt;&gt;"")*($N84&gt;TODAY()-9)*($N84&lt;TODAY()+1)*($P84&lt;&gt;"")*($P84&gt;=TODAY())*($P84&lt;=TODAY()+13),"Semaine passée &amp; à venir",IF(($N84&lt;&gt;"")*($N84&gt;TODAY()-9)*($N84&lt;TODAY()+1),"Semaine passée",IF(($P84&lt;&gt;"")*($P84&gt;=TODAY())*($P84&lt;=TODAY()+13),"À venir","Autre"))))</f>
        <v>Autre</v>
      </c>
      <c r="V84" s="8" cm="1" t="n">
        <f t="array" ref="V84">IF(C84&lt;&gt;"",1,0)</f>
        <v>1</v>
      </c>
      <c r="W84" s="8">
</c>
      <c r="X84" s="8">
</c>
      <c r="Y84" s="8">
</c>
      <c r="Z84" s="8">
</c>
      <c r="AA84" s="8">
</c>
      <c r="AB84" s="8">
</c>
      <c r="AC84" s="8">
</c>
      <c r="AD84" s="8">
</c>
      <c r="AE84" s="8">
</c>
      <c r="AF84" s="8">
</c>
      <c r="AG84" s="8">
</c>
      <c r="AH84" s="8">
</c>
      <c r="AI84" s="8">
</c>
      <c r="AJ84" s="8">
</c>
      <c r="AK84" s="8">
</c>
    </row>
    <row r="85" ht="76.5" customHeight="1">
      <c r="A85" s="9" t="s">
        <v>23</v>
      </c>
      <c r="B85" s="9" t="s">
        <v>31</v>
      </c>
      <c r="C85" s="12" t="s">
        <v>316</v>
      </c>
      <c r="D85" s="12" t="s">
        <v>317</v>
      </c>
      <c r="E85" s="9" t="s">
        <v>27</v>
      </c>
      <c r="F85" s="8" t="s">
        <v>318</v>
      </c>
      <c r="G85" s="13" cm="1" t="str">
        <f t="array" ref="G85">IF(F85="","",SUBSTITUTE(SUBSTITUTE(SUBSTITUTE(SUBSTITUTE(F85,"&lt;li&gt;",CHAR(10)),"&lt;/li&gt;",""),"&lt;br&gt;",CHAR(10)),"&lt;strong&gt;",""))</f>
        <v>&lt;p&gt;Vanguard remis, prospect montre un intérêt marqué pour la tech souveraine. Nouvelle piste créée pour l'équipe Ventes. Pas d'autres actions ou activités récentes enregistrées, prochaines étapes non définies à ce stade.&lt;/p&gt;</v>
      </c>
      <c r="H85" s="13" cm="1" t="str">
        <f t="array" ref="H85">IF(G85="","",SUBSTITUTE(SUBSTITUTE(SUBSTITUTE(SUBSTITUTE(SUBSTITUTE(G85,"&lt;p&gt;",""),"&lt;/p&gt;",""),"&lt;ul&gt;",""),"&lt;/ul&gt;",""),"&lt;/strong&gt;",""))</f>
        <v>Vanguard remis, prospect montre un intérêt marqué pour la tech souveraine. Nouvelle piste créée pour l'équipe Ventes. Pas d'autres actions ou activités récentes enregistrées, prochaines étapes non définies à ce stade.</v>
      </c>
      <c r="I85" s="14" cm="1" t="str">
        <f t="array" ref="I85">IF(C85="","",IF(OR(H85="",H85=0,H85=FALSE),"-",H85))</f>
        <v>Vanguard remis, prospect montre un intérêt marqué pour la tech souveraine. Nouvelle piste créée pour l'équipe Ventes. Pas d'autres actions ou activités récentes enregistrées, prochaines étapes non définies à ce stade.</v>
      </c>
      <c r="J85" s="8">
</c>
      <c r="K85" s="8" t="s">
        <v>203</v>
      </c>
      <c r="L85" s="9" cm="1" t="str">
        <f t="array" ref="L85">IF(C85="","",IF(K85="Mort / Plus rien à faire","KO","OK"))</f>
        <v>OK</v>
      </c>
      <c r="M85" s="15">
        <v>46169.817662037036</v>
      </c>
      <c r="N85" s="15" cm="1" t="n">
        <f t="array" ref="N85">IF(OR(C85="",M85="",M85=0),"",M85)</f>
        <v>46169.817662037036</v>
      </c>
      <c r="O85" s="15">
</c>
      <c r="P85" s="15" cm="1" t="str">
        <f t="array" ref="P85">IF(C85="","",IF(OR(O85="",O85=0),"-",O85))</f>
        <v>-</v>
      </c>
      <c r="Q85" s="16">
        <v>0</v>
      </c>
      <c r="R85" s="16" cm="1" t="str">
        <f t="array" ref="R85">IF(C85="","",ROUND(Q85/1000000,3)&amp;" M€")</f>
        <v>0 M€</v>
      </c>
      <c r="S85" s="12" t="s">
        <v>216</v>
      </c>
      <c r="T85" s="9" cm="1" t="str">
        <f t="array" ref="T85">IF(C85="","",SUBSTITUTE(S85,"","")&amp;"%")</f>
        <v>10%</v>
      </c>
      <c r="U85" s="14" cm="1" t="str">
        <f t="array" ref="U85">IF(($N85="")*($P85=""),"",IF(($N85&lt;&gt;"")*($N85&gt;TODAY()-9)*($N85&lt;TODAY()+1)*($P85&lt;&gt;"")*($P85&gt;=TODAY())*($P85&lt;=TODAY()+13),"Semaine passée &amp; à venir",IF(($N85&lt;&gt;"")*($N85&gt;TODAY()-9)*($N85&lt;TODAY()+1),"Semaine passée",IF(($P85&lt;&gt;"")*($P85&gt;=TODAY())*($P85&lt;=TODAY()+13),"À venir","Autre"))))</f>
        <v>Semaine passée</v>
      </c>
      <c r="V85" s="8" cm="1" t="n">
        <f t="array" ref="V85">IF(C85&lt;&gt;"",1,0)</f>
        <v>1</v>
      </c>
      <c r="W85" s="8">
</c>
      <c r="X85" s="8">
</c>
      <c r="Y85" s="8">
</c>
      <c r="Z85" s="8">
</c>
      <c r="AA85" s="8">
</c>
      <c r="AB85" s="8">
</c>
      <c r="AC85" s="8">
</c>
      <c r="AD85" s="8">
</c>
      <c r="AE85" s="8">
</c>
      <c r="AF85" s="8">
</c>
      <c r="AG85" s="8">
</c>
      <c r="AH85" s="8">
</c>
      <c r="AI85" s="8">
</c>
      <c r="AJ85" s="8">
</c>
      <c r="AK85" s="8">
</c>
    </row>
    <row r="86" ht="76.5" customHeight="1">
      <c r="A86" s="9" t="s">
        <v>23</v>
      </c>
      <c r="B86" s="9" t="s">
        <v>24</v>
      </c>
      <c r="C86" s="12" t="s">
        <v>319</v>
      </c>
      <c r="D86" s="12" t="s">
        <v>320</v>
      </c>
      <c r="E86" s="9" t="s">
        <v>27</v>
      </c>
      <c r="F86" s="8" t="s">
        <v>321</v>
      </c>
      <c r="G86" s="13" cm="1" t="str">
        <f t="array" ref="G86">IF(F86="","",SUBSTITUTE(SUBSTITUTE(SUBSTITUTE(SUBSTITUTE(F86,"&lt;li&gt;",CHAR(10)),"&lt;/li&gt;",""),"&lt;br&gt;",CHAR(10)),"&lt;strong&gt;",""))</f>
        <v>&lt;p&gt;RDV physique terminé, attente go/no go défense Mihal. Deck envoyé, Harmonie très ESG, défense pas disqualifiée, test équipes prévu. Mihal rapporte à Aurélien Bon. Réorg récente, 50% mutex par Harmonie, Prev transmis à UMR (Loic Baumont démission). Prochaine étape : retour Mihal.&lt;/p&gt;</v>
      </c>
      <c r="H86" s="13" cm="1" t="str">
        <f t="array" ref="H86">IF(G86="","",SUBSTITUTE(SUBSTITUTE(SUBSTITUTE(SUBSTITUTE(SUBSTITUTE(G86,"&lt;p&gt;",""),"&lt;/p&gt;",""),"&lt;ul&gt;",""),"&lt;/ul&gt;",""),"&lt;/strong&gt;",""))</f>
        <v>RDV physique terminé, attente go/no go défense Mihal. Deck envoyé, Harmonie très ESG, défense pas disqualifiée, test équipes prévu. Mihal rapporte à Aurélien Bon. Réorg récente, 50% mutex par Harmonie, Prev transmis à UMR (Loic Baumont démission). Prochaine étape : retour Mihal.</v>
      </c>
      <c r="I86" s="14" cm="1" t="str">
        <f t="array" ref="I86">IF(C86="","",IF(OR(H86="",H86=0,H86=FALSE),"-",H86))</f>
        <v>RDV physique terminé, attente go/no go défense Mihal. Deck envoyé, Harmonie très ESG, défense pas disqualifiée, test équipes prévu. Mihal rapporte à Aurélien Bon. Réorg récente, 50% mutex par Harmonie, Prev transmis à UMR (Loic Baumont démission). Prochaine étape : retour Mihal.</v>
      </c>
      <c r="J86" s="8" t="s">
        <v>322</v>
      </c>
      <c r="K86" s="8" t="s">
        <v>203</v>
      </c>
      <c r="L86" s="9" cm="1" t="str">
        <f t="array" ref="L86">IF(C86="","",IF(K86="Mort / Plus rien à faire","KO","OK"))</f>
        <v>OK</v>
      </c>
      <c r="M86" s="15">
        <v>46176.49979166667</v>
      </c>
      <c r="N86" s="15" cm="1" t="n">
        <f t="array" ref="N86">IF(OR(C86="",M86="",M86=0),"",M86)</f>
        <v>46176.49979166667</v>
      </c>
      <c r="O86" s="15">
        <v>46184.083333333336</v>
      </c>
      <c r="P86" s="15" cm="1" t="n">
        <f t="array" ref="P86">IF(C86="","",IF(OR(O86="",O86=0),"-",O86))</f>
        <v>46184.083333333336</v>
      </c>
      <c r="Q86" s="16">
        <v>0</v>
      </c>
      <c r="R86" s="16" cm="1" t="str">
        <f t="array" ref="R86">IF(C86="","",ROUND(Q86/1000000,3)&amp;" M€")</f>
        <v>0 M€</v>
      </c>
      <c r="S86" s="12" t="s">
        <v>216</v>
      </c>
      <c r="T86" s="9" cm="1" t="str">
        <f t="array" ref="T86">IF(C86="","",SUBSTITUTE(S86,"","")&amp;"%")</f>
        <v>10%</v>
      </c>
      <c r="U86" s="14" cm="1" t="str">
        <f t="array" ref="U86">IF(($N86="")*($P86=""),"",IF(($N86&lt;&gt;"")*($N86&gt;TODAY()-9)*($N86&lt;TODAY()+1)*($P86&lt;&gt;"")*($P86&gt;=TODAY())*($P86&lt;=TODAY()+13),"Semaine passée &amp; à venir",IF(($N86&lt;&gt;"")*($N86&gt;TODAY()-9)*($N86&lt;TODAY()+1),"Semaine passée",IF(($P86&lt;&gt;"")*($P86&gt;=TODAY())*($P86&lt;=TODAY()+13),"À venir","Autre"))))</f>
        <v>Semaine passée &amp; à venir</v>
      </c>
      <c r="V86" s="8" cm="1" t="n">
        <f t="array" ref="V86">IF(C86&lt;&gt;"",1,0)</f>
        <v>1</v>
      </c>
      <c r="W86" s="8">
</c>
      <c r="X86" s="8">
</c>
      <c r="Y86" s="8">
</c>
      <c r="Z86" s="8">
</c>
      <c r="AA86" s="8">
</c>
      <c r="AB86" s="8">
</c>
      <c r="AC86" s="8">
</c>
      <c r="AD86" s="8">
</c>
      <c r="AE86" s="8">
</c>
      <c r="AF86" s="8">
</c>
      <c r="AG86" s="8">
</c>
      <c r="AH86" s="8">
</c>
      <c r="AI86" s="8">
</c>
      <c r="AJ86" s="8">
</c>
      <c r="AK86" s="8">
</c>
    </row>
    <row r="87" ht="76.5" customHeight="1">
      <c r="A87" s="9" t="s">
        <v>23</v>
      </c>
      <c r="B87" s="9" t="s">
        <v>31</v>
      </c>
      <c r="C87" s="12" t="s">
        <v>323</v>
      </c>
      <c r="D87" s="12" t="s">
        <v>324</v>
      </c>
      <c r="E87" s="9" t="s">
        <v>27</v>
      </c>
      <c r="F87" s="8" t="s">
        <v>325</v>
      </c>
      <c r="G87" s="13" cm="1" t="str">
        <f t="array" ref="G87">IF(F87="","",SUBSTITUTE(SUBSTITUTE(SUBSTITUTE(SUBSTITUTE(F87,"&lt;li&gt;",CHAR(10)),"&lt;/li&gt;",""),"&lt;br&gt;",CHAR(10)),"&lt;strong&gt;",""))</f>
        <v>&lt;p&gt;Alain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mai.&lt;/p&gt;</v>
      </c>
      <c r="H87" s="13" cm="1" t="str">
        <f t="array" ref="H87">IF(G87="","",SUBSTITUTE(SUBSTITUTE(SUBSTITUTE(SUBSTITUTE(SUBSTITUTE(G87,"&lt;p&gt;",""),"&lt;/p&gt;",""),"&lt;ul&gt;",""),"&lt;/ul&gt;",""),"&lt;/strong&gt;",""))</f>
        <v>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v>
      </c>
      <c r="I87" s="14" cm="1" t="str">
        <f t="array" ref="I87">IF(C87="","",IF(OR(H87="",H87=0,H87=FALSE),"-",H87))</f>
        <v>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v>
      </c>
      <c r="J87" s="8" t="s">
        <v>326</v>
      </c>
      <c r="K87" s="8" t="s">
        <v>203</v>
      </c>
      <c r="L87" s="9" cm="1" t="str">
        <f t="array" ref="L87">IF(C87="","",IF(K87="Mort / Plus rien à faire","KO","OK"))</f>
        <v>OK</v>
      </c>
      <c r="M87" s="15">
        <v>46122.33510416667</v>
      </c>
      <c r="N87" s="15" cm="1" t="n">
        <f t="array" ref="N87">IF(OR(C87="",M87="",M87=0),"",M87)</f>
        <v>46122.33510416667</v>
      </c>
      <c r="O87" s="15">
</c>
      <c r="P87" s="15" cm="1" t="str">
        <f t="array" ref="P87">IF(C87="","",IF(OR(O87="",O87=0),"-",O87))</f>
        <v>-</v>
      </c>
      <c r="Q87" s="16">
        <v>0</v>
      </c>
      <c r="R87" s="16" cm="1" t="str">
        <f t="array" ref="R87">IF(C87="","",ROUND(Q87/1000000,3)&amp;" M€")</f>
        <v>0 M€</v>
      </c>
      <c r="S87" s="12" t="s">
        <v>216</v>
      </c>
      <c r="T87" s="9" cm="1" t="str">
        <f t="array" ref="T87">IF(C87="","",SUBSTITUTE(S87,"","")&amp;"%")</f>
        <v>10%</v>
      </c>
      <c r="U87" s="14" cm="1" t="str">
        <f t="array" ref="U87">IF(($N87="")*($P87=""),"",IF(($N87&lt;&gt;"")*($N87&gt;TODAY()-9)*($N87&lt;TODAY()+1)*($P87&lt;&gt;"")*($P87&gt;=TODAY())*($P87&lt;=TODAY()+13),"Semaine passée &amp; à venir",IF(($N87&lt;&gt;"")*($N87&gt;TODAY()-9)*($N87&lt;TODAY()+1),"Semaine passée",IF(($P87&lt;&gt;"")*($P87&gt;=TODAY())*($P87&lt;=TODAY()+13),"À venir","Autre"))))</f>
        <v>Autre</v>
      </c>
      <c r="V87" s="8" cm="1" t="n">
        <f t="array" ref="V87">IF(C87&lt;&gt;"",1,0)</f>
        <v>1</v>
      </c>
      <c r="W87" s="8">
</c>
      <c r="X87" s="8">
</c>
      <c r="Y87" s="8">
</c>
      <c r="Z87" s="8">
</c>
      <c r="AA87" s="8">
</c>
      <c r="AB87" s="8">
</c>
      <c r="AC87" s="8">
</c>
      <c r="AD87" s="8">
</c>
      <c r="AE87" s="8">
</c>
      <c r="AF87" s="8">
</c>
      <c r="AG87" s="8">
</c>
      <c r="AH87" s="8">
</c>
      <c r="AI87" s="8">
</c>
      <c r="AJ87" s="8">
</c>
      <c r="AK87" s="8">
</c>
    </row>
    <row r="88" ht="76.5" customHeight="1">
      <c r="A88" s="9" t="s">
        <v>23</v>
      </c>
      <c r="B88" s="9" t="s">
        <v>144</v>
      </c>
      <c r="C88" s="12" t="s">
        <v>327</v>
      </c>
      <c r="D88" s="12" t="s">
        <v>328</v>
      </c>
      <c r="E88" s="9" t="s">
        <v>27</v>
      </c>
      <c r="F88" s="8" t="s">
        <v>329</v>
      </c>
      <c r="G88" s="13" cm="1" t="str">
        <f t="array" ref="G88">IF(F88="","",SUBSTITUTE(SUBSTITUTE(SUBSTITUTE(SUBSTITUTE(F88,"&lt;li&gt;",CHAR(10)),"&lt;/li&gt;",""),"&lt;br&gt;",CHAR(10)),"&lt;strong&gt;",""))</f>
        <v>&lt;p&gt;Nouvelle piste créée pour équipe Ventes par Romain Andrieu le 03/04/2026. Aucun échange, activité, ni suivi enregistré à ce jour. Pas d'interaction ni d'action menée avec le prospect. Prochaines étapes non définies faute d'activité ou de retour identifié.&lt;/p&gt;</v>
      </c>
      <c r="H88" s="13" cm="1" t="str">
        <f t="array" ref="H88">IF(G88="","",SUBSTITUTE(SUBSTITUTE(SUBSTITUTE(SUBSTITUTE(SUBSTITUTE(G88,"&lt;p&gt;",""),"&lt;/p&gt;",""),"&lt;ul&gt;",""),"&lt;/ul&gt;",""),"&lt;/strong&gt;",""))</f>
        <v>Nouvelle piste créée pour équipe Ventes par Romain Andrieu le 03/04/2026. Aucun échange, activité, ni suivi enregistré à ce jour. Pas d'interaction ni d'action menée avec le prospect. Prochaines étapes non définies faute d'activité ou de retour identifié.</v>
      </c>
      <c r="I88" s="14" cm="1" t="str">
        <f t="array" ref="I88">IF(C88="","",IF(OR(H88="",H88=0,H88=FALSE),"-",H88))</f>
        <v>Nouvelle piste créée pour équipe Ventes par Romain Andrieu le 03/04/2026. Aucun échange, activité, ni suivi enregistré à ce jour. Pas d'interaction ni d'action menée avec le prospect. Prochaines étapes non définies faute d'activité ou de retour identifié.</v>
      </c>
      <c r="J88" s="8" t="s">
        <v>330</v>
      </c>
      <c r="K88" s="8" t="s">
        <v>203</v>
      </c>
      <c r="L88" s="9" cm="1" t="str">
        <f t="array" ref="L88">IF(C88="","",IF(K88="Mort / Plus rien à faire","KO","OK"))</f>
        <v>OK</v>
      </c>
      <c r="M88" s="15">
        <v>46115.516435185185</v>
      </c>
      <c r="N88" s="15" cm="1" t="n">
        <f t="array" ref="N88">IF(OR(C88="",M88="",M88=0),"",M88)</f>
        <v>46115.516435185185</v>
      </c>
      <c r="O88" s="15">
</c>
      <c r="P88" s="15" cm="1" t="str">
        <f t="array" ref="P88">IF(C88="","",IF(OR(O88="",O88=0),"-",O88))</f>
        <v>-</v>
      </c>
      <c r="Q88" s="16">
        <v>0</v>
      </c>
      <c r="R88" s="16" cm="1" t="str">
        <f t="array" ref="R88">IF(C88="","",ROUND(Q88/1000000,3)&amp;" M€")</f>
        <v>0 M€</v>
      </c>
      <c r="S88" s="12" t="s">
        <v>216</v>
      </c>
      <c r="T88" s="9" cm="1" t="str">
        <f t="array" ref="T88">IF(C88="","",SUBSTITUTE(S88,"","")&amp;"%")</f>
        <v>10%</v>
      </c>
      <c r="U88" s="14" cm="1" t="str">
        <f t="array" ref="U88">IF(($N88="")*($P88=""),"",IF(($N88&lt;&gt;"")*($N88&gt;TODAY()-9)*($N88&lt;TODAY()+1)*($P88&lt;&gt;"")*($P88&gt;=TODAY())*($P88&lt;=TODAY()+13),"Semaine passée &amp; à venir",IF(($N88&lt;&gt;"")*($N88&gt;TODAY()-9)*($N88&lt;TODAY()+1),"Semaine passée",IF(($P88&lt;&gt;"")*($P88&gt;=TODAY())*($P88&lt;=TODAY()+13),"À venir","Autre"))))</f>
        <v>Autre</v>
      </c>
      <c r="V88" s="8" cm="1" t="n">
        <f t="array" ref="V88">IF(C88&lt;&gt;"",1,0)</f>
        <v>1</v>
      </c>
      <c r="W88" s="8">
</c>
      <c r="X88" s="8">
</c>
      <c r="Y88" s="8">
</c>
      <c r="Z88" s="8">
</c>
      <c r="AA88" s="8">
</c>
      <c r="AB88" s="8">
</c>
      <c r="AC88" s="8">
</c>
      <c r="AD88" s="8">
</c>
      <c r="AE88" s="8">
</c>
      <c r="AF88" s="8">
</c>
      <c r="AG88" s="8">
</c>
      <c r="AH88" s="8">
</c>
      <c r="AI88" s="8">
</c>
      <c r="AJ88" s="8">
</c>
      <c r="AK88" s="8">
</c>
    </row>
    <row r="89" ht="76.5" customHeight="1">
      <c r="A89" s="9" t="s">
        <v>23</v>
      </c>
      <c r="B89" s="9" t="s">
        <v>331</v>
      </c>
      <c r="C89" s="12" t="s">
        <v>332</v>
      </c>
      <c r="D89" s="12" t="s">
        <v>333</v>
      </c>
      <c r="E89" s="9" t="s">
        <v>27</v>
      </c>
      <c r="F89" s="8" t="s">
        <v>334</v>
      </c>
      <c r="G89" s="13" cm="1" t="str">
        <f t="array" ref="G89">IF(F89="","",SUBSTITUTE(SUBSTITUTE(SUBSTITUTE(SUBSTITUTE(F89,"&lt;li&gt;",CHAR(10)),"&lt;/li&gt;",""),"&lt;br&gt;",CHAR(10)),"&lt;strong&gt;",""))</f>
        <v>&lt;p&gt;Nouvelle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v>
      </c>
      <c r="H89" s="13" cm="1" t="str">
        <f t="array" ref="H89">IF(G89="","",SUBSTITUTE(SUBSTITUTE(SUBSTITUTE(SUBSTITUTE(SUBSTITUTE(G89,"&lt;p&gt;",""),"&lt;/p&gt;",""),"&lt;ul&gt;",""),"&lt;/ul&gt;",""),"&lt;/strong&gt;",""))</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I89" s="14" cm="1" t="str">
        <f t="array" ref="I89">IF(C89="","",IF(OR(H89="",H89=0,H89=FALSE),"-",H89))</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J89" s="8" t="s">
        <v>335</v>
      </c>
      <c r="K89" s="8" t="s">
        <v>203</v>
      </c>
      <c r="L89" s="9" cm="1" t="str">
        <f t="array" ref="L89">IF(C89="","",IF(K89="Mort / Plus rien à faire","KO","OK"))</f>
        <v>OK</v>
      </c>
      <c r="M89" s="15">
        <v>46115.518379629626</v>
      </c>
      <c r="N89" s="15" cm="1" t="n">
        <f t="array" ref="N89">IF(OR(C89="",M89="",M89=0),"",M89)</f>
        <v>46115.518379629626</v>
      </c>
      <c r="O89" s="15">
</c>
      <c r="P89" s="15" cm="1" t="str">
        <f t="array" ref="P89">IF(C89="","",IF(OR(O89="",O89=0),"-",O89))</f>
        <v>-</v>
      </c>
      <c r="Q89" s="16">
        <v>0</v>
      </c>
      <c r="R89" s="16" cm="1" t="str">
        <f t="array" ref="R89">IF(C89="","",ROUND(Q89/1000000,3)&amp;" M€")</f>
        <v>0 M€</v>
      </c>
      <c r="S89" s="12" t="s">
        <v>216</v>
      </c>
      <c r="T89" s="9" cm="1" t="str">
        <f t="array" ref="T89">IF(C89="","",SUBSTITUTE(S89,"","")&amp;"%")</f>
        <v>10%</v>
      </c>
      <c r="U89" s="14" cm="1" t="str">
        <f t="array" ref="U89">IF(($N89="")*($P89=""),"",IF(($N89&lt;&gt;"")*($N89&gt;TODAY()-9)*($N89&lt;TODAY()+1)*($P89&lt;&gt;"")*($P89&gt;=TODAY())*($P89&lt;=TODAY()+13),"Semaine passée &amp; à venir",IF(($N89&lt;&gt;"")*($N89&gt;TODAY()-9)*($N89&lt;TODAY()+1),"Semaine passée",IF(($P89&lt;&gt;"")*($P89&gt;=TODAY())*($P89&lt;=TODAY()+13),"À venir","Autre"))))</f>
        <v>Autre</v>
      </c>
      <c r="V89" s="8" cm="1" t="n">
        <f t="array" ref="V89">IF(C89&lt;&gt;"",1,0)</f>
        <v>1</v>
      </c>
      <c r="W89" s="8">
</c>
      <c r="X89" s="8">
</c>
      <c r="Y89" s="8">
</c>
      <c r="Z89" s="8">
</c>
      <c r="AA89" s="8">
</c>
      <c r="AB89" s="8">
</c>
      <c r="AC89" s="8">
</c>
      <c r="AD89" s="8">
</c>
      <c r="AE89" s="8">
</c>
      <c r="AF89" s="8">
</c>
      <c r="AG89" s="8">
</c>
      <c r="AH89" s="8">
</c>
      <c r="AI89" s="8">
</c>
      <c r="AJ89" s="8">
</c>
      <c r="AK89" s="8">
</c>
    </row>
    <row r="90" ht="76.5" customHeight="1">
      <c r="A90" s="9" t="s">
        <v>23</v>
      </c>
      <c r="B90" s="9" t="s">
        <v>260</v>
      </c>
      <c r="C90" s="12" t="s">
        <v>336</v>
      </c>
      <c r="D90" s="12" t="s">
        <v>337</v>
      </c>
      <c r="E90" s="9" t="s">
        <v>27</v>
      </c>
      <c r="F90" s="8" t="s">
        <v>338</v>
      </c>
      <c r="G90" s="13" cm="1" t="str">
        <f t="array" ref="G90">IF(F90="","",SUBSTITUTE(SUBSTITUTE(SUBSTITUTE(SUBSTITUTE(F90,"&lt;li&gt;",CHAR(10)),"&lt;/li&gt;",""),"&lt;br&gt;",CHAR(10)),"&lt;strong&gt;",""))</f>
        <v>&lt;p&gt;Lead créé pour équipe Ventes. Contact initial TS, relance par TS le 27 avril, attente retour. Dernière action : relance faite, pas de réponse à ce jour. Pas de retour prospect sur fonds présentés, aucune conclusion notée. Prochaine étape : attendre retour suite relance récente.&lt;/p&gt;</v>
      </c>
      <c r="H90" s="13" cm="1" t="str">
        <f t="array" ref="H90">IF(G90="","",SUBSTITUTE(SUBSTITUTE(SUBSTITUTE(SUBSTITUTE(SUBSTITUTE(G90,"&lt;p&gt;",""),"&lt;/p&gt;",""),"&lt;ul&gt;",""),"&lt;/ul&gt;",""),"&lt;/strong&gt;",""))</f>
        <v>Lead créé pour équipe Ventes. Contact initial TS, relance par TS le 27 avril, attente retour. Dernière action : relance faite, pas de réponse à ce jour. Pas de retour prospect sur fonds présentés, aucune conclusion notée. Prochaine étape : attendre retour suite relance récente.</v>
      </c>
      <c r="I90" s="14" cm="1" t="str">
        <f t="array" ref="I90">IF(C90="","",IF(OR(H90="",H90=0,H90=FALSE),"-",H90))</f>
        <v>Lead créé pour équipe Ventes. Contact initial TS, relance par TS le 27 avril, attente retour. Dernière action : relance faite, pas de réponse à ce jour. Pas de retour prospect sur fonds présentés, aucune conclusion notée. Prochaine étape : attendre retour suite relance récente.</v>
      </c>
      <c r="J90" s="8" t="s">
        <v>339</v>
      </c>
      <c r="K90" s="8" t="s">
        <v>106</v>
      </c>
      <c r="L90" s="9" cm="1" t="str">
        <f t="array" ref="L90">IF(C90="","",IF(K90="Mort / Plus rien à faire","KO","OK"))</f>
        <v>OK</v>
      </c>
      <c r="M90" s="15">
        <v>46140.41818287037</v>
      </c>
      <c r="N90" s="15" cm="1" t="n">
        <f t="array" ref="N90">IF(OR(C90="",M90="",M90=0),"",M90)</f>
        <v>46140.41818287037</v>
      </c>
      <c r="O90" s="15">
        <v>46391.083333333336</v>
      </c>
      <c r="P90" s="15" cm="1" t="n">
        <f t="array" ref="P90">IF(C90="","",IF(OR(O90="",O90=0),"-",O90))</f>
        <v>46391.083333333336</v>
      </c>
      <c r="Q90" s="16">
        <v>400000</v>
      </c>
      <c r="R90" s="16" cm="1" t="str">
        <f t="array" ref="R90">IF(C90="","",ROUND(Q90/1000000,3)&amp;" M€")</f>
        <v>0.4 M€</v>
      </c>
      <c r="S90" s="12" t="s">
        <v>216</v>
      </c>
      <c r="T90" s="9" cm="1" t="str">
        <f t="array" ref="T90">IF(C90="","",SUBSTITUTE(S90,"","")&amp;"%")</f>
        <v>10%</v>
      </c>
      <c r="U90" s="14" cm="1" t="str">
        <f t="array" ref="U90">IF(($N90="")*($P90=""),"",IF(($N90&lt;&gt;"")*($N90&gt;TODAY()-9)*($N90&lt;TODAY()+1)*($P90&lt;&gt;"")*($P90&gt;=TODAY())*($P90&lt;=TODAY()+13),"Semaine passée &amp; à venir",IF(($N90&lt;&gt;"")*($N90&gt;TODAY()-9)*($N90&lt;TODAY()+1),"Semaine passée",IF(($P90&lt;&gt;"")*($P90&gt;=TODAY())*($P90&lt;=TODAY()+13),"À venir","Autre"))))</f>
        <v>Autre</v>
      </c>
      <c r="V90" s="8" cm="1" t="n">
        <f t="array" ref="V90">IF(C90&lt;&gt;"",1,0)</f>
        <v>1</v>
      </c>
      <c r="W90" s="8">
</c>
      <c r="X90" s="8">
</c>
      <c r="Y90" s="8">
</c>
      <c r="Z90" s="8">
</c>
      <c r="AA90" s="8">
</c>
      <c r="AB90" s="8">
</c>
      <c r="AC90" s="8">
</c>
      <c r="AD90" s="8">
</c>
      <c r="AE90" s="8">
</c>
      <c r="AF90" s="8">
</c>
      <c r="AG90" s="8">
</c>
      <c r="AH90" s="8">
</c>
      <c r="AI90" s="8">
</c>
      <c r="AJ90" s="8">
</c>
      <c r="AK90" s="8">
</c>
    </row>
    <row r="91" ht="76.5" customHeight="1">
      <c r="A91" s="9" t="s">
        <v>23</v>
      </c>
      <c r="B91" s="9" t="s">
        <v>184</v>
      </c>
      <c r="C91" s="12" t="s">
        <v>340</v>
      </c>
      <c r="D91" s="12" t="s">
        <v>341</v>
      </c>
      <c r="E91" s="9" t="s">
        <v>27</v>
      </c>
      <c r="F91" s="8" t="s">
        <v>342</v>
      </c>
      <c r="G91" s="13" cm="1" t="str">
        <f t="array" ref="G91">IF(F91="","",SUBSTITUTE(SUBSTITUTE(SUBSTITUTE(SUBSTITUTE(F91,"&lt;li&gt;",CHAR(10)),"&lt;/li&gt;",""),"&lt;br&gt;",CHAR(10)),"&lt;strong&gt;",""))</f>
        <v>&lt;p&gt;Nouvelle piste créée pour équipe Ventes. Elevation Capital Partner équipe d'Interinvest. Interinvest : AUM 1bn, produits PE, fonds de fonds, immo outre-mer, fonds défense. Collaboration possible distribution, co-investissement OK, tickets directs 2-5M€, fonds cible 30-200M€. Prochaine étape : parler à l’équipe, monter le deck.&lt;/p&gt;</v>
      </c>
      <c r="H91" s="13" cm="1" t="str">
        <f t="array" ref="H91">IF(G91="","",SUBSTITUTE(SUBSTITUTE(SUBSTITUTE(SUBSTITUTE(SUBSTITUTE(G91,"&lt;p&gt;",""),"&lt;/p&gt;",""),"&lt;ul&gt;",""),"&lt;/ul&gt;",""),"&lt;/strong&gt;",""))</f>
        <v>Nouvelle piste créée pour équipe Ventes. Elevation Capital Partner équipe d'Interinvest. Interinvest : AUM 1bn, produits PE, fonds de fonds, immo outre-mer, fonds défense. Collaboration possible distribution, co-investissement OK, tickets directs 2-5M€, fonds cible 30-200M€. Prochaine étape : parler à l’équipe, monter le deck.</v>
      </c>
      <c r="I91" s="14" cm="1" t="str">
        <f t="array" ref="I91">IF(C91="","",IF(OR(H91="",H91=0,H91=FALSE),"-",H91))</f>
        <v>Nouvelle piste créée pour équipe Ventes. Elevation Capital Partner équipe d'Interinvest. Interinvest : AUM 1bn, produits PE, fonds de fonds, immo outre-mer, fonds défense. Collaboration possible distribution, co-investissement OK, tickets directs 2-5M€, fonds cible 30-200M€. Prochaine étape : parler à l’équipe, monter le deck.</v>
      </c>
      <c r="J91" s="8">
</c>
      <c r="K91" s="8" t="s">
        <v>203</v>
      </c>
      <c r="L91" s="9" cm="1" t="str">
        <f t="array" ref="L91">IF(C91="","",IF(K91="Mort / Plus rien à faire","KO","OK"))</f>
        <v>OK</v>
      </c>
      <c r="M91" s="15">
        <v>46164.41615740741</v>
      </c>
      <c r="N91" s="15" cm="1" t="n">
        <f t="array" ref="N91">IF(OR(C91="",M91="",M91=0),"",M91)</f>
        <v>46164.41615740741</v>
      </c>
      <c r="O91" s="15">
</c>
      <c r="P91" s="15" cm="1" t="str">
        <f t="array" ref="P91">IF(C91="","",IF(OR(O91="",O91=0),"-",O91))</f>
        <v>-</v>
      </c>
      <c r="Q91" s="16">
        <v>0</v>
      </c>
      <c r="R91" s="16" cm="1" t="str">
        <f t="array" ref="R91">IF(C91="","",ROUND(Q91/1000000,3)&amp;" M€")</f>
        <v>0 M€</v>
      </c>
      <c r="S91" s="12" t="s">
        <v>216</v>
      </c>
      <c r="T91" s="9" cm="1" t="str">
        <f t="array" ref="T91">IF(C91="","",SUBSTITUTE(S91,"","")&amp;"%")</f>
        <v>10%</v>
      </c>
      <c r="U91" s="14" cm="1" t="str">
        <f t="array" ref="U91">IF(($N91="")*($P91=""),"",IF(($N91&lt;&gt;"")*($N91&gt;TODAY()-9)*($N91&lt;TODAY()+1)*($P91&lt;&gt;"")*($P91&gt;=TODAY())*($P91&lt;=TODAY()+13),"Semaine passée &amp; à venir",IF(($N91&lt;&gt;"")*($N91&gt;TODAY()-9)*($N91&lt;TODAY()+1),"Semaine passée",IF(($P91&lt;&gt;"")*($P91&gt;=TODAY())*($P91&lt;=TODAY()+13),"À venir","Autre"))))</f>
        <v>Autre</v>
      </c>
      <c r="V91" s="8" cm="1" t="n">
        <f t="array" ref="V91">IF(C91&lt;&gt;"",1,0)</f>
        <v>1</v>
      </c>
      <c r="W91" s="8">
</c>
      <c r="X91" s="8">
</c>
      <c r="Y91" s="8">
</c>
      <c r="Z91" s="8">
</c>
      <c r="AA91" s="8">
</c>
      <c r="AB91" s="8">
</c>
      <c r="AC91" s="8">
</c>
      <c r="AD91" s="8">
</c>
      <c r="AE91" s="8">
</c>
      <c r="AF91" s="8">
</c>
      <c r="AG91" s="8">
</c>
      <c r="AH91" s="8">
</c>
      <c r="AI91" s="8">
</c>
      <c r="AJ91" s="8">
</c>
      <c r="AK91" s="8">
</c>
    </row>
    <row r="92" ht="76.5" customHeight="1">
      <c r="A92" s="9" t="s">
        <v>23</v>
      </c>
      <c r="B92" s="9" t="s">
        <v>31</v>
      </c>
      <c r="C92" s="12" t="s">
        <v>343</v>
      </c>
      <c r="D92" s="12" t="s">
        <v>344</v>
      </c>
      <c r="E92" s="9" t="s">
        <v>43</v>
      </c>
      <c r="F92" s="8" t="s">
        <v>345</v>
      </c>
      <c r="G92" s="13" cm="1" t="str">
        <f t="array" ref="G92">IF(F92="","",SUBSTITUTE(SUBSTITUTE(SUBSTITUTE(SUBSTITUTE(F92,"&lt;li&gt;",CHAR(10)),"&lt;/li&gt;",""),"&lt;br&gt;",CHAR(10)),"&lt;strong&gt;",""))</f>
        <v>&lt;p&gt;Déjeuner 26/03 avec ODP et Charles, remerciements envoyés. Intérêt exprimé pour Straton et le spatial. Discussion autour d’un investissement de 1M dans Quantonation II par cousins Mulliez/Norauto/Legrand. Pas d’autres actions ou retours prospect signalés. Prochaines étapes non précisées.&lt;/p&gt;</v>
      </c>
      <c r="H92" s="13" cm="1" t="str">
        <f t="array" ref="H92">IF(G92="","",SUBSTITUTE(SUBSTITUTE(SUBSTITUTE(SUBSTITUTE(SUBSTITUTE(G92,"&lt;p&gt;",""),"&lt;/p&gt;",""),"&lt;ul&gt;",""),"&lt;/ul&gt;",""),"&lt;/strong&gt;",""))</f>
        <v>Déjeuner 26/03 avec ODP et Charles, remerciements envoyés. Intérêt exprimé pour Straton et le spatial. Discussion autour d’un investissement de 1M dans Quantonation II par cousins Mulliez/Norauto/Legrand. Pas d’autres actions ou retours prospect signalés. Prochaines étapes non précisées.</v>
      </c>
      <c r="I92" s="14" cm="1" t="str">
        <f t="array" ref="I92">IF(C92="","",IF(OR(H92="",H92=0,H92=FALSE),"-",H92))</f>
        <v>Déjeuner 26/03 avec ODP et Charles, remerciements envoyés. Intérêt exprimé pour Straton et le spatial. Discussion autour d’un investissement de 1M dans Quantonation II par cousins Mulliez/Norauto/Legrand. Pas d’autres actions ou retours prospect signalés. Prochaines étapes non précisées.</v>
      </c>
      <c r="J92" s="8">
</c>
      <c r="K92" s="8" t="s">
        <v>53</v>
      </c>
      <c r="L92" s="9" cm="1" t="str">
        <f t="array" ref="L92">IF(C92="","",IF(K92="Mort / Plus rien à faire","KO","OK"))</f>
        <v>OK</v>
      </c>
      <c r="M92" s="15">
        <v>46177.69715277778</v>
      </c>
      <c r="N92" s="15" cm="1" t="n">
        <f t="array" ref="N92">IF(OR(C92="",M92="",M92=0),"",M92)</f>
        <v>46177.69715277778</v>
      </c>
      <c r="O92" s="15">
</c>
      <c r="P92" s="15" cm="1" t="str">
        <f t="array" ref="P92">IF(C92="","",IF(OR(O92="",O92=0),"-",O92))</f>
        <v>-</v>
      </c>
      <c r="Q92" s="16">
        <v>0</v>
      </c>
      <c r="R92" s="16" cm="1" t="str">
        <f t="array" ref="R92">IF(C92="","",ROUND(Q92/1000000,3)&amp;" M€")</f>
        <v>0 M€</v>
      </c>
      <c r="S92" s="12" t="s">
        <v>216</v>
      </c>
      <c r="T92" s="9" cm="1" t="str">
        <f t="array" ref="T92">IF(C92="","",SUBSTITUTE(S92,"","")&amp;"%")</f>
        <v>10%</v>
      </c>
      <c r="U92" s="14" cm="1" t="str">
        <f t="array" ref="U92">IF(($N92="")*($P92=""),"",IF(($N92&lt;&gt;"")*($N92&gt;TODAY()-9)*($N92&lt;TODAY()+1)*($P92&lt;&gt;"")*($P92&gt;=TODAY())*($P92&lt;=TODAY()+13),"Semaine passée &amp; à venir",IF(($N92&lt;&gt;"")*($N92&gt;TODAY()-9)*($N92&lt;TODAY()+1),"Semaine passée",IF(($P92&lt;&gt;"")*($P92&gt;=TODAY())*($P92&lt;=TODAY()+13),"À venir","Autre"))))</f>
        <v>Semaine passée</v>
      </c>
      <c r="V92" s="8" cm="1" t="n">
        <f t="array" ref="V92">IF(C92&lt;&gt;"",1,0)</f>
        <v>1</v>
      </c>
      <c r="W92" s="8">
</c>
      <c r="X92" s="8">
</c>
      <c r="Y92" s="8">
</c>
      <c r="Z92" s="8">
</c>
      <c r="AA92" s="8">
</c>
      <c r="AB92" s="8">
</c>
      <c r="AC92" s="8">
</c>
      <c r="AD92" s="8">
</c>
      <c r="AE92" s="8">
</c>
      <c r="AF92" s="8">
</c>
      <c r="AG92" s="8">
</c>
      <c r="AH92" s="8">
</c>
      <c r="AI92" s="8">
</c>
      <c r="AJ92" s="8">
</c>
      <c r="AK92" s="8">
</c>
    </row>
    <row r="93" ht="76.5" customHeight="1">
      <c r="A93" s="9" t="s">
        <v>23</v>
      </c>
      <c r="B93" s="9" t="s">
        <v>63</v>
      </c>
      <c r="C93" s="12" t="s">
        <v>346</v>
      </c>
      <c r="D93" s="12" t="s">
        <v>347</v>
      </c>
      <c r="E93" s="9" t="s">
        <v>27</v>
      </c>
      <c r="F93" s="8" t="s">
        <v>348</v>
      </c>
      <c r="G93" s="13" cm="1" t="str">
        <f t="array" ref="G93">IF(F93="","",SUBSTITUTE(SUBSTITUTE(SUBSTITUTE(SUBSTITUTE(F93,"&lt;li&gt;",CHAR(10)),"&lt;/li&gt;",""),"&lt;br&gt;",CHAR(10)),"&lt;strong&gt;",""))</f>
        <v>&lt;p&gt;RDV physiques réalisés, contexte Fort de France, process référencement in-house BRED évoqué, cible familles influentes Guyane/Réunion/NC. OdP à la manoeuvre, introduction famille pour leverage bancaire, question sur fonds Audacia. Prochaine étape : présentation formelle Straton/Géodesic.&lt;/p&gt;</v>
      </c>
      <c r="H93" s="13" cm="1" t="str">
        <f t="array" ref="H93">IF(G93="","",SUBSTITUTE(SUBSTITUTE(SUBSTITUTE(SUBSTITUTE(SUBSTITUTE(G93,"&lt;p&gt;",""),"&lt;/p&gt;",""),"&lt;ul&gt;",""),"&lt;/ul&gt;",""),"&lt;/strong&gt;",""))</f>
        <v>RDV physiques réalisés, contexte Fort de France, process référencement in-house BRED évoqué, cible familles influentes Guyane/Réunion/NC. OdP à la manoeuvre, introduction famille pour leverage bancaire, question sur fonds Audacia. Prochaine étape : présentation formelle Straton/Géodesic.</v>
      </c>
      <c r="I93" s="14" cm="1" t="str">
        <f t="array" ref="I93">IF(C93="","",IF(OR(H93="",H93=0,H93=FALSE),"-",H93))</f>
        <v>RDV physiques réalisés, contexte Fort de France, process référencement in-house BRED évoqué, cible familles influentes Guyane/Réunion/NC. OdP à la manoeuvre, introduction famille pour leverage bancaire, question sur fonds Audacia. Prochaine étape : présentation formelle Straton/Géodesic.</v>
      </c>
      <c r="J93" s="8">
</c>
      <c r="K93" s="8" t="s">
        <v>203</v>
      </c>
      <c r="L93" s="9" cm="1" t="str">
        <f t="array" ref="L93">IF(C93="","",IF(K93="Mort / Plus rien à faire","KO","OK"))</f>
        <v>OK</v>
      </c>
      <c r="M93" s="15">
        <v>46146.688113425924</v>
      </c>
      <c r="N93" s="15" cm="1" t="n">
        <f t="array" ref="N93">IF(OR(C93="",M93="",M93=0),"",M93)</f>
        <v>46146.688113425924</v>
      </c>
      <c r="O93" s="15">
</c>
      <c r="P93" s="15" cm="1" t="str">
        <f t="array" ref="P93">IF(C93="","",IF(OR(O93="",O93=0),"-",O93))</f>
        <v>-</v>
      </c>
      <c r="Q93" s="16">
        <v>1000000</v>
      </c>
      <c r="R93" s="16" cm="1" t="str">
        <f t="array" ref="R93">IF(C93="","",ROUND(Q93/1000000,3)&amp;" M€")</f>
        <v>1 M€</v>
      </c>
      <c r="S93" s="12" t="s">
        <v>216</v>
      </c>
      <c r="T93" s="9" cm="1" t="str">
        <f t="array" ref="T93">IF(C93="","",SUBSTITUTE(S93,"","")&amp;"%")</f>
        <v>10%</v>
      </c>
      <c r="U93" s="14" cm="1" t="str">
        <f t="array" ref="U93">IF(($N93="")*($P93=""),"",IF(($N93&lt;&gt;"")*($N93&gt;TODAY()-9)*($N93&lt;TODAY()+1)*($P93&lt;&gt;"")*($P93&gt;=TODAY())*($P93&lt;=TODAY()+13),"Semaine passée &amp; à venir",IF(($N93&lt;&gt;"")*($N93&gt;TODAY()-9)*($N93&lt;TODAY()+1),"Semaine passée",IF(($P93&lt;&gt;"")*($P93&gt;=TODAY())*($P93&lt;=TODAY()+13),"À venir","Autre"))))</f>
        <v>Autre</v>
      </c>
      <c r="V93" s="8" cm="1" t="n">
        <f t="array" ref="V93">IF(C93&lt;&gt;"",1,0)</f>
        <v>1</v>
      </c>
      <c r="W93" s="8">
</c>
      <c r="X93" s="8">
</c>
      <c r="Y93" s="8">
</c>
      <c r="Z93" s="8">
</c>
      <c r="AA93" s="8">
</c>
      <c r="AB93" s="8">
</c>
      <c r="AC93" s="8">
</c>
      <c r="AD93" s="8">
</c>
      <c r="AE93" s="8">
</c>
      <c r="AF93" s="8">
</c>
      <c r="AG93" s="8">
</c>
      <c r="AH93" s="8">
</c>
      <c r="AI93" s="8">
</c>
      <c r="AJ93" s="8">
</c>
      <c r="AK93" s="8">
</c>
    </row>
    <row r="94" ht="76.5" customHeight="1">
      <c r="A94" s="9" t="s">
        <v>23</v>
      </c>
      <c r="B94" s="9">
</c>
      <c r="C94" s="12" t="s">
        <v>349</v>
      </c>
      <c r="D94" s="12" t="s">
        <v>350</v>
      </c>
      <c r="E94" s="9" t="s">
        <v>27</v>
      </c>
      <c r="F94" s="8" t="s">
        <v>351</v>
      </c>
      <c r="G94" s="13" cm="1" t="str">
        <f t="array" ref="G94">IF(F94="","",SUBSTITUTE(SUBSTITUTE(SUBSTITUTE(SUBSTITUTE(F94,"&lt;li&gt;",CHAR(10)),"&lt;/li&gt;",""),"&lt;br&gt;",CHAR(10)),"&lt;strong&gt;",""))</f>
        <v>&lt;p&gt;Echange physique réalisé, suivi par échanges mails. Prospect non intéressé à titre personnel mais transmet en interne car présence dans le PE. Opportunité transférée aux activités fonds de fonds. Prochaine étape : attente de retour de l'organisation suite au transfert.&lt;/p&gt;</v>
      </c>
      <c r="H94" s="13" cm="1" t="str">
        <f t="array" ref="H94">IF(G94="","",SUBSTITUTE(SUBSTITUTE(SUBSTITUTE(SUBSTITUTE(SUBSTITUTE(G94,"&lt;p&gt;",""),"&lt;/p&gt;",""),"&lt;ul&gt;",""),"&lt;/ul&gt;",""),"&lt;/strong&gt;",""))</f>
        <v>Echange physique réalisé, suivi par échanges mails. Prospect non intéressé à titre personnel mais transmet en interne car présence dans le PE. Opportunité transférée aux activités fonds de fonds. Prochaine étape : attente de retour de l'organisation suite au transfert.</v>
      </c>
      <c r="I94" s="14" cm="1" t="str">
        <f t="array" ref="I94">IF(C94="","",IF(OR(H94="",H94=0,H94=FALSE),"-",H94))</f>
        <v>Echange physique réalisé, suivi par échanges mails. Prospect non intéressé à titre personnel mais transmet en interne car présence dans le PE. Opportunité transférée aux activités fonds de fonds. Prochaine étape : attente de retour de l'organisation suite au transfert.</v>
      </c>
      <c r="J94" s="8" t="s">
        <v>352</v>
      </c>
      <c r="K94" s="8" t="s">
        <v>203</v>
      </c>
      <c r="L94" s="9" cm="1" t="str">
        <f t="array" ref="L94">IF(C94="","",IF(K94="Mort / Plus rien à faire","KO","OK"))</f>
        <v>OK</v>
      </c>
      <c r="M94" s="15">
        <v>46161.633576388886</v>
      </c>
      <c r="N94" s="15" cm="1" t="n">
        <f t="array" ref="N94">IF(OR(C94="",M94="",M94=0),"",M94)</f>
        <v>46161.633576388886</v>
      </c>
      <c r="O94" s="15">
</c>
      <c r="P94" s="15" cm="1" t="str">
        <f t="array" ref="P94">IF(C94="","",IF(OR(O94="",O94=0),"-",O94))</f>
        <v>-</v>
      </c>
      <c r="Q94" s="16">
        <v>0</v>
      </c>
      <c r="R94" s="16" cm="1" t="str">
        <f t="array" ref="R94">IF(C94="","",ROUND(Q94/1000000,3)&amp;" M€")</f>
        <v>0 M€</v>
      </c>
      <c r="S94" s="12" t="s">
        <v>216</v>
      </c>
      <c r="T94" s="9" cm="1" t="str">
        <f t="array" ref="T94">IF(C94="","",SUBSTITUTE(S94,"","")&amp;"%")</f>
        <v>10%</v>
      </c>
      <c r="U94" s="14" cm="1" t="str">
        <f t="array" ref="U94">IF(($N94="")*($P94=""),"",IF(($N94&lt;&gt;"")*($N94&gt;TODAY()-9)*($N94&lt;TODAY()+1)*($P94&lt;&gt;"")*($P94&gt;=TODAY())*($P94&lt;=TODAY()+13),"Semaine passée &amp; à venir",IF(($N94&lt;&gt;"")*($N94&gt;TODAY()-9)*($N94&lt;TODAY()+1),"Semaine passée",IF(($P94&lt;&gt;"")*($P94&gt;=TODAY())*($P94&lt;=TODAY()+13),"À venir","Autre"))))</f>
        <v>Autre</v>
      </c>
      <c r="V94" s="8" cm="1" t="n">
        <f t="array" ref="V94">IF(C94&lt;&gt;"",1,0)</f>
        <v>1</v>
      </c>
      <c r="W94" s="8">
</c>
      <c r="X94" s="8">
</c>
      <c r="Y94" s="8">
</c>
      <c r="Z94" s="8">
</c>
      <c r="AA94" s="8">
</c>
      <c r="AB94" s="8">
</c>
      <c r="AC94" s="8">
</c>
      <c r="AD94" s="8">
</c>
      <c r="AE94" s="8">
</c>
      <c r="AF94" s="8">
</c>
      <c r="AG94" s="8">
</c>
      <c r="AH94" s="8">
</c>
      <c r="AI94" s="8">
</c>
      <c r="AJ94" s="8">
</c>
      <c r="AK94" s="8">
</c>
    </row>
    <row r="95" ht="76.5" customHeight="1">
      <c r="A95" s="9" t="s">
        <v>23</v>
      </c>
      <c r="B95" s="9" t="s">
        <v>24</v>
      </c>
      <c r="C95" s="12" t="s">
        <v>353</v>
      </c>
      <c r="D95" s="12" t="s">
        <v>354</v>
      </c>
      <c r="E95" s="9" t="s">
        <v>27</v>
      </c>
      <c r="F95" s="8" t="s">
        <v>355</v>
      </c>
      <c r="G95" s="13" cm="1" t="str">
        <f t="array" ref="G95">IF(F95="","",SUBSTITUTE(SUBSTITUTE(SUBSTITUTE(SUBSTITUTE(F95,"&lt;li&gt;",CHAR(10)),"&lt;/li&gt;",""),"&lt;br&gt;",CHAR(10)),"&lt;strong&gt;",""))</f>
        <v>&lt;p&gt;Contact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23/04/2026.&lt;/p&gt;</v>
      </c>
      <c r="H95" s="13" cm="1" t="str">
        <f t="array" ref="H95">IF(G95="","",SUBSTITUTE(SUBSTITUTE(SUBSTITUTE(SUBSTITUTE(SUBSTITUTE(G95,"&lt;p&gt;",""),"&lt;/p&gt;",""),"&lt;ul&gt;",""),"&lt;/ul&gt;",""),"&lt;/strong&gt;",""))</f>
        <v>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v>
      </c>
      <c r="I95" s="14" cm="1" t="str">
        <f t="array" ref="I95">IF(C95="","",IF(OR(H95="",H95=0,H95=FALSE),"-",H95))</f>
        <v>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v>
      </c>
      <c r="J95" s="8" t="s">
        <v>356</v>
      </c>
      <c r="K95" s="8" t="s">
        <v>203</v>
      </c>
      <c r="L95" s="9" cm="1" t="str">
        <f t="array" ref="L95">IF(C95="","",IF(K95="Mort / Plus rien à faire","KO","OK"))</f>
        <v>OK</v>
      </c>
      <c r="M95" s="15">
        <v>46122.339270833334</v>
      </c>
      <c r="N95" s="15" cm="1" t="n">
        <f t="array" ref="N95">IF(OR(C95="",M95="",M95=0),"",M95)</f>
        <v>46122.339270833334</v>
      </c>
      <c r="O95" s="15">
</c>
      <c r="P95" s="15" cm="1" t="str">
        <f t="array" ref="P95">IF(C95="","",IF(OR(O95="",O95=0),"-",O95))</f>
        <v>-</v>
      </c>
      <c r="Q95" s="16">
        <v>0</v>
      </c>
      <c r="R95" s="16" cm="1" t="str">
        <f t="array" ref="R95">IF(C95="","",ROUND(Q95/1000000,3)&amp;" M€")</f>
        <v>0 M€</v>
      </c>
      <c r="S95" s="12" t="s">
        <v>216</v>
      </c>
      <c r="T95" s="9" cm="1" t="str">
        <f t="array" ref="T95">IF(C95="","",SUBSTITUTE(S95,"","")&amp;"%")</f>
        <v>10%</v>
      </c>
      <c r="U95" s="14" cm="1" t="str">
        <f t="array" ref="U95">IF(($N95="")*($P95=""),"",IF(($N95&lt;&gt;"")*($N95&gt;TODAY()-9)*($N95&lt;TODAY()+1)*($P95&lt;&gt;"")*($P95&gt;=TODAY())*($P95&lt;=TODAY()+13),"Semaine passée &amp; à venir",IF(($N95&lt;&gt;"")*($N95&gt;TODAY()-9)*($N95&lt;TODAY()+1),"Semaine passée",IF(($P95&lt;&gt;"")*($P95&gt;=TODAY())*($P95&lt;=TODAY()+13),"À venir","Autre"))))</f>
        <v>Autre</v>
      </c>
      <c r="V95" s="8" cm="1" t="n">
        <f t="array" ref="V95">IF(C95&lt;&gt;"",1,0)</f>
        <v>1</v>
      </c>
      <c r="W95" s="8">
</c>
      <c r="X95" s="8">
</c>
      <c r="Y95" s="8">
</c>
      <c r="Z95" s="8">
</c>
      <c r="AA95" s="8">
</c>
      <c r="AB95" s="8">
</c>
      <c r="AC95" s="8">
</c>
      <c r="AD95" s="8">
</c>
      <c r="AE95" s="8">
</c>
      <c r="AF95" s="8">
</c>
      <c r="AG95" s="8">
</c>
      <c r="AH95" s="8">
</c>
      <c r="AI95" s="8">
</c>
      <c r="AJ95" s="8">
</c>
      <c r="AK95" s="8">
</c>
    </row>
    <row r="96" ht="76.5" customHeight="1">
      <c r="A96" s="9" t="s">
        <v>23</v>
      </c>
      <c r="B96" s="9" t="s">
        <v>31</v>
      </c>
      <c r="C96" s="12" t="s">
        <v>357</v>
      </c>
      <c r="D96" s="12" t="s">
        <v>358</v>
      </c>
      <c r="E96" s="9" t="s">
        <v>27</v>
      </c>
      <c r="F96" s="8" t="s">
        <v>359</v>
      </c>
      <c r="G96" s="13" cm="1" t="str">
        <f t="array" ref="G96">IF(F96="","",SUBSTITUTE(SUBSTITUTE(SUBSTITUTE(SUBSTITUTE(F96,"&lt;li&gt;",CHAR(10)),"&lt;/li&gt;",""),"&lt;br&gt;",CHAR(10)),"&lt;strong&gt;",""))</f>
        <v>&lt;p&gt;Mail 20/04 : relance sur sujet Défense, retour sur l'événement du 9/04 (financement PME BITD), intérêt exprimé pour échanger, demande de créneaux. Nouvelle piste créée pour équipe Ventes. Pas d'autres activités ou retours prospect notés. Prochaine étape : organiser un échange.&lt;/p&gt;</v>
      </c>
      <c r="H96" s="13" cm="1" t="str">
        <f t="array" ref="H96">IF(G96="","",SUBSTITUTE(SUBSTITUTE(SUBSTITUTE(SUBSTITUTE(SUBSTITUTE(G96,"&lt;p&gt;",""),"&lt;/p&gt;",""),"&lt;ul&gt;",""),"&lt;/ul&gt;",""),"&lt;/strong&gt;",""))</f>
        <v>Mail 20/04 : relance sur sujet Défense, retour sur l'événement du 9/04 (financement PME BITD), intérêt exprimé pour échanger, demande de créneaux. Nouvelle piste créée pour équipe Ventes. Pas d'autres activités ou retours prospect notés. Prochaine étape : organiser un échange.</v>
      </c>
      <c r="I96" s="14" cm="1" t="str">
        <f t="array" ref="I96">IF(C96="","",IF(OR(H96="",H96=0,H96=FALSE),"-",H96))</f>
        <v>Mail 20/04 : relance sur sujet Défense, retour sur l'événement du 9/04 (financement PME BITD), intérêt exprimé pour échanger, demande de créneaux. Nouvelle piste créée pour équipe Ventes. Pas d'autres activités ou retours prospect notés. Prochaine étape : organiser un échange.</v>
      </c>
      <c r="J96" s="8">
</c>
      <c r="K96" s="8" t="s">
        <v>203</v>
      </c>
      <c r="L96" s="9" cm="1" t="str">
        <f t="array" ref="L96">IF(C96="","",IF(K96="Mort / Plus rien à faire","KO","OK"))</f>
        <v>OK</v>
      </c>
      <c r="M96" s="15">
        <v>46132.47201388889</v>
      </c>
      <c r="N96" s="15" cm="1" t="n">
        <f t="array" ref="N96">IF(OR(C96="",M96="",M96=0),"",M96)</f>
        <v>46132.47201388889</v>
      </c>
      <c r="O96" s="15">
</c>
      <c r="P96" s="15" cm="1" t="str">
        <f t="array" ref="P96">IF(C96="","",IF(OR(O96="",O96=0),"-",O96))</f>
        <v>-</v>
      </c>
      <c r="Q96" s="16">
        <v>0</v>
      </c>
      <c r="R96" s="16" cm="1" t="str">
        <f t="array" ref="R96">IF(C96="","",ROUND(Q96/1000000,3)&amp;" M€")</f>
        <v>0 M€</v>
      </c>
      <c r="S96" s="12" t="s">
        <v>216</v>
      </c>
      <c r="T96" s="9" cm="1" t="str">
        <f t="array" ref="T96">IF(C96="","",SUBSTITUTE(S96,"","")&amp;"%")</f>
        <v>10%</v>
      </c>
      <c r="U96" s="14" cm="1" t="str">
        <f t="array" ref="U96">IF(($N96="")*($P96=""),"",IF(($N96&lt;&gt;"")*($N96&gt;TODAY()-9)*($N96&lt;TODAY()+1)*($P96&lt;&gt;"")*($P96&gt;=TODAY())*($P96&lt;=TODAY()+13),"Semaine passée &amp; à venir",IF(($N96&lt;&gt;"")*($N96&gt;TODAY()-9)*($N96&lt;TODAY()+1),"Semaine passée",IF(($P96&lt;&gt;"")*($P96&gt;=TODAY())*($P96&lt;=TODAY()+13),"À venir","Autre"))))</f>
        <v>Autre</v>
      </c>
      <c r="V96" s="8" cm="1" t="n">
        <f t="array" ref="V96">IF(C96&lt;&gt;"",1,0)</f>
        <v>1</v>
      </c>
      <c r="W96" s="8">
</c>
      <c r="X96" s="8">
</c>
      <c r="Y96" s="8">
</c>
      <c r="Z96" s="8">
</c>
      <c r="AA96" s="8">
</c>
      <c r="AB96" s="8">
</c>
      <c r="AC96" s="8">
</c>
      <c r="AD96" s="8">
</c>
      <c r="AE96" s="8">
</c>
      <c r="AF96" s="8">
</c>
      <c r="AG96" s="8">
</c>
      <c r="AH96" s="8">
</c>
      <c r="AI96" s="8">
</c>
      <c r="AJ96" s="8">
</c>
      <c r="AK96" s="8">
</c>
    </row>
    <row r="97" ht="76.5" customHeight="1">
      <c r="A97" s="9" t="s">
        <v>23</v>
      </c>
      <c r="B97" s="9" t="s">
        <v>24</v>
      </c>
      <c r="C97" s="12" t="s">
        <v>360</v>
      </c>
      <c r="D97" s="12" t="s">
        <v>361</v>
      </c>
      <c r="E97" s="9" t="s">
        <v>27</v>
      </c>
      <c r="F97" s="8" t="s">
        <v>362</v>
      </c>
      <c r="G97" s="13" cm="1" t="str">
        <f t="array" ref="G97">IF(F97="","",SUBSTITUTE(SUBSTITUTE(SUBSTITUTE(SUBSTITUTE(F97,"&lt;li&gt;",CHAR(10)),"&lt;/li&gt;",""),"&lt;br&gt;",CHAR(10)),"&lt;strong&gt;",""))</f>
        <v>&lt;p&gt;KO comité 27/03, fonds non retenu. Prospects à tenir informés des levées, aucun seuil spécifique requis. Pas d'autres actions ou retours mentionnés depuis. Prochaine étape : informer des levées futures, pas de suivi ou d'activité supplémentaire noté à ce jour.&lt;/p&gt;</v>
      </c>
      <c r="H97" s="13" cm="1" t="str">
        <f t="array" ref="H97">IF(G97="","",SUBSTITUTE(SUBSTITUTE(SUBSTITUTE(SUBSTITUTE(SUBSTITUTE(G97,"&lt;p&gt;",""),"&lt;/p&gt;",""),"&lt;ul&gt;",""),"&lt;/ul&gt;",""),"&lt;/strong&gt;",""))</f>
        <v>KO comité 27/03, fonds non retenu. Prospects à tenir informés des levées, aucun seuil spécifique requis. Pas d'autres actions ou retours mentionnés depuis. Prochaine étape : informer des levées futures, pas de suivi ou d'activité supplémentaire noté à ce jour.</v>
      </c>
      <c r="I97" s="14" cm="1" t="str">
        <f t="array" ref="I97">IF(C97="","",IF(OR(H97="",H97=0,H97=FALSE),"-",H97))</f>
        <v>KO comité 27/03, fonds non retenu. Prospects à tenir informés des levées, aucun seuil spécifique requis. Pas d'autres actions ou retours mentionnés depuis. Prochaine étape : informer des levées futures, pas de suivi ou d'activité supplémentaire noté à ce jour.</v>
      </c>
      <c r="J97" s="8" t="s">
        <v>363</v>
      </c>
      <c r="K97" s="8" t="s">
        <v>106</v>
      </c>
      <c r="L97" s="9" cm="1" t="str">
        <f t="array" ref="L97">IF(C97="","",IF(K97="Mort / Plus rien à faire","KO","OK"))</f>
        <v>OK</v>
      </c>
      <c r="M97" s="15">
        <v>46174.52266203704</v>
      </c>
      <c r="N97" s="15" cm="1" t="n">
        <f t="array" ref="N97">IF(OR(C97="",M97="",M97=0),"",M97)</f>
        <v>46174.52266203704</v>
      </c>
      <c r="O97" s="15">
        <v>46209.083333333336</v>
      </c>
      <c r="P97" s="15" cm="1" t="n">
        <f t="array" ref="P97">IF(C97="","",IF(OR(O97="",O97=0),"-",O97))</f>
        <v>46209.083333333336</v>
      </c>
      <c r="Q97" s="16">
        <v>1000000</v>
      </c>
      <c r="R97" s="16" cm="1" t="str">
        <f t="array" ref="R97">IF(C97="","",ROUND(Q97/1000000,3)&amp;" M€")</f>
        <v>1 M€</v>
      </c>
      <c r="S97" s="12" t="s">
        <v>216</v>
      </c>
      <c r="T97" s="9" cm="1" t="str">
        <f t="array" ref="T97">IF(C97="","",SUBSTITUTE(S97,"","")&amp;"%")</f>
        <v>10%</v>
      </c>
      <c r="U97" s="14" cm="1" t="str">
        <f t="array" ref="U97">IF(($N97="")*($P97=""),"",IF(($N97&lt;&gt;"")*($N97&gt;TODAY()-9)*($N97&lt;TODAY()+1)*($P97&lt;&gt;"")*($P97&gt;=TODAY())*($P97&lt;=TODAY()+13),"Semaine passée &amp; à venir",IF(($N97&lt;&gt;"")*($N97&gt;TODAY()-9)*($N97&lt;TODAY()+1),"Semaine passée",IF(($P97&lt;&gt;"")*($P97&gt;=TODAY())*($P97&lt;=TODAY()+13),"À venir","Autre"))))</f>
        <v>Semaine passée</v>
      </c>
      <c r="V97" s="8" cm="1" t="n">
        <f t="array" ref="V97">IF(C97&lt;&gt;"",1,0)</f>
        <v>1</v>
      </c>
      <c r="W97" s="8">
</c>
      <c r="X97" s="8">
</c>
      <c r="Y97" s="8">
</c>
      <c r="Z97" s="8">
</c>
      <c r="AA97" s="8">
</c>
      <c r="AB97" s="8">
</c>
      <c r="AC97" s="8">
</c>
      <c r="AD97" s="8">
</c>
      <c r="AE97" s="8">
</c>
      <c r="AF97" s="8">
</c>
      <c r="AG97" s="8">
</c>
      <c r="AH97" s="8">
</c>
      <c r="AI97" s="8">
</c>
      <c r="AJ97" s="8">
</c>
      <c r="AK97" s="8">
</c>
    </row>
    <row r="98" ht="76.5" customHeight="1">
      <c r="A98" s="9" t="s">
        <v>23</v>
      </c>
      <c r="B98" s="9" t="s">
        <v>260</v>
      </c>
      <c r="C98" s="12" t="s">
        <v>364</v>
      </c>
      <c r="D98" s="12" t="s">
        <v>365</v>
      </c>
      <c r="E98" s="9" t="s">
        <v>27</v>
      </c>
      <c r="F98" s="8" t="s">
        <v>366</v>
      </c>
      <c r="G98" s="13" cm="1" t="str">
        <f t="array" ref="G98">IF(F98="","",SUBSTITUTE(SUBSTITUTE(SUBSTITUTE(SUBSTITUTE(F98,"&lt;li&gt;",CHAR(10)),"&lt;/li&gt;",""),"&lt;br&gt;",CHAR(10)),"&lt;strong&gt;",""))</f>
        <v>&lt;p&gt;Mail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jour.&lt;/p&gt;</v>
      </c>
      <c r="H98" s="13" cm="1" t="str">
        <f t="array" ref="H98">IF(G98="","",SUBSTITUTE(SUBSTITUTE(SUBSTITUTE(SUBSTITUTE(SUBSTITUTE(G98,"&lt;p&gt;",""),"&lt;/p&gt;",""),"&lt;ul&gt;",""),"&lt;/ul&gt;",""),"&lt;/strong&gt;",""))</f>
        <v>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v>
      </c>
      <c r="I98" s="14" cm="1" t="str">
        <f t="array" ref="I98">IF(C98="","",IF(OR(H98="",H98=0,H98=FALSE),"-",H98))</f>
        <v>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v>
      </c>
      <c r="J98" s="8">
</c>
      <c r="K98" s="8" t="s">
        <v>203</v>
      </c>
      <c r="L98" s="9" cm="1" t="str">
        <f t="array" ref="L98">IF(C98="","",IF(K98="Mort / Plus rien à faire","KO","OK"))</f>
        <v>OK</v>
      </c>
      <c r="M98" s="15">
        <v>46132.47390046297</v>
      </c>
      <c r="N98" s="15" cm="1" t="n">
        <f t="array" ref="N98">IF(OR(C98="",M98="",M98=0),"",M98)</f>
        <v>46132.47390046297</v>
      </c>
      <c r="O98" s="15">
</c>
      <c r="P98" s="15" cm="1" t="str">
        <f t="array" ref="P98">IF(C98="","",IF(OR(O98="",O98=0),"-",O98))</f>
        <v>-</v>
      </c>
      <c r="Q98" s="16">
        <v>0</v>
      </c>
      <c r="R98" s="16" cm="1" t="str">
        <f t="array" ref="R98">IF(C98="","",ROUND(Q98/1000000,3)&amp;" M€")</f>
        <v>0 M€</v>
      </c>
      <c r="S98" s="12" t="s">
        <v>216</v>
      </c>
      <c r="T98" s="9" cm="1" t="str">
        <f t="array" ref="T98">IF(C98="","",SUBSTITUTE(S98,"","")&amp;"%")</f>
        <v>10%</v>
      </c>
      <c r="U98" s="14" cm="1" t="str">
        <f t="array" ref="U98">IF(($N98="")*($P98=""),"",IF(($N98&lt;&gt;"")*($N98&gt;TODAY()-9)*($N98&lt;TODAY()+1)*($P98&lt;&gt;"")*($P98&gt;=TODAY())*($P98&lt;=TODAY()+13),"Semaine passée &amp; à venir",IF(($N98&lt;&gt;"")*($N98&gt;TODAY()-9)*($N98&lt;TODAY()+1),"Semaine passée",IF(($P98&lt;&gt;"")*($P98&gt;=TODAY())*($P98&lt;=TODAY()+13),"À venir","Autre"))))</f>
        <v>Autre</v>
      </c>
      <c r="V98" s="8" cm="1" t="n">
        <f t="array" ref="V98">IF(C98&lt;&gt;"",1,0)</f>
        <v>1</v>
      </c>
      <c r="W98" s="8">
</c>
      <c r="X98" s="8">
</c>
      <c r="Y98" s="8">
</c>
      <c r="Z98" s="8">
</c>
      <c r="AA98" s="8">
</c>
      <c r="AB98" s="8">
</c>
      <c r="AC98" s="8">
</c>
      <c r="AD98" s="8">
</c>
      <c r="AE98" s="8">
</c>
      <c r="AF98" s="8">
</c>
      <c r="AG98" s="8">
</c>
      <c r="AH98" s="8">
</c>
      <c r="AI98" s="8">
</c>
      <c r="AJ98" s="8">
</c>
      <c r="AK98" s="8">
</c>
    </row>
    <row r="99" ht="76.5" customHeight="1">
      <c r="A99" s="9" t="s">
        <v>23</v>
      </c>
      <c r="B99" s="9" t="s">
        <v>260</v>
      </c>
      <c r="C99" s="12" t="s">
        <v>367</v>
      </c>
      <c r="D99" s="12" t="s">
        <v>368</v>
      </c>
      <c r="E99" s="9" t="s">
        <v>27</v>
      </c>
      <c r="F99" s="8" t="s">
        <v>369</v>
      </c>
      <c r="G99" s="13" cm="1" t="str">
        <f t="array" ref="G99">IF(F99="","",SUBSTITUTE(SUBSTITUTE(SUBSTITUTE(SUBSTITUTE(F99,"&lt;li&gt;",CHAR(10)),"&lt;/li&gt;",""),"&lt;br&gt;",CHAR(10)),"&lt;strong&gt;",""))</f>
        <v>&lt;p&gt;Mail reçu 20/04 de Romain : relance sur l'événement du 9/04 (financement PME BITD), mention d'un commentaire LinkedIn, intérêt exprimé pour échanger sur le sujet Défense, demande de créneaux pour RDV. Aucune activité ou action supplémentaire enregistrée à ce stade.&lt;/p&gt;</v>
      </c>
      <c r="H99" s="13" cm="1" t="str">
        <f t="array" ref="H99">IF(G99="","",SUBSTITUTE(SUBSTITUTE(SUBSTITUTE(SUBSTITUTE(SUBSTITUTE(G99,"&lt;p&gt;",""),"&lt;/p&gt;",""),"&lt;ul&gt;",""),"&lt;/ul&gt;",""),"&lt;/strong&gt;",""))</f>
        <v>Mail reçu 20/04 de Romain : relance sur l'événement du 9/04 (financement PME BITD), mention d'un commentaire LinkedIn, intérêt exprimé pour échanger sur le sujet Défense, demande de créneaux pour RDV. Aucune activité ou action supplémentaire enregistrée à ce stade.</v>
      </c>
      <c r="I99" s="14" cm="1" t="str">
        <f t="array" ref="I99">IF(C99="","",IF(OR(H99="",H99=0,H99=FALSE),"-",H99))</f>
        <v>Mail reçu 20/04 de Romain : relance sur l'événement du 9/04 (financement PME BITD), mention d'un commentaire LinkedIn, intérêt exprimé pour échanger sur le sujet Défense, demande de créneaux pour RDV. Aucune activité ou action supplémentaire enregistrée à ce stade.</v>
      </c>
      <c r="J99" s="8">
</c>
      <c r="K99" s="8" t="s">
        <v>203</v>
      </c>
      <c r="L99" s="9" cm="1" t="str">
        <f t="array" ref="L99">IF(C99="","",IF(K99="Mort / Plus rien à faire","KO","OK"))</f>
        <v>OK</v>
      </c>
      <c r="M99" s="15">
        <v>46132.47782407407</v>
      </c>
      <c r="N99" s="15" cm="1" t="n">
        <f t="array" ref="N99">IF(OR(C99="",M99="",M99=0),"",M99)</f>
        <v>46132.47782407407</v>
      </c>
      <c r="O99" s="15">
</c>
      <c r="P99" s="15" cm="1" t="str">
        <f t="array" ref="P99">IF(C99="","",IF(OR(O99="",O99=0),"-",O99))</f>
        <v>-</v>
      </c>
      <c r="Q99" s="16">
        <v>0</v>
      </c>
      <c r="R99" s="16" cm="1" t="str">
        <f t="array" ref="R99">IF(C99="","",ROUND(Q99/1000000,3)&amp;" M€")</f>
        <v>0 M€</v>
      </c>
      <c r="S99" s="12" t="s">
        <v>216</v>
      </c>
      <c r="T99" s="9" cm="1" t="str">
        <f t="array" ref="T99">IF(C99="","",SUBSTITUTE(S99,"","")&amp;"%")</f>
        <v>10%</v>
      </c>
      <c r="U99" s="14" cm="1" t="str">
        <f t="array" ref="U99">IF(($N99="")*($P99=""),"",IF(($N99&lt;&gt;"")*($N99&gt;TODAY()-9)*($N99&lt;TODAY()+1)*($P99&lt;&gt;"")*($P99&gt;=TODAY())*($P99&lt;=TODAY()+13),"Semaine passée &amp; à venir",IF(($N99&lt;&gt;"")*($N99&gt;TODAY()-9)*($N99&lt;TODAY()+1),"Semaine passée",IF(($P99&lt;&gt;"")*($P99&gt;=TODAY())*($P99&lt;=TODAY()+13),"À venir","Autre"))))</f>
        <v>Autre</v>
      </c>
      <c r="V99" s="8" cm="1" t="n">
        <f t="array" ref="V99">IF(C99&lt;&gt;"",1,0)</f>
        <v>1</v>
      </c>
      <c r="W99" s="8">
</c>
      <c r="X99" s="8">
</c>
      <c r="Y99" s="8">
</c>
      <c r="Z99" s="8">
</c>
      <c r="AA99" s="8">
</c>
      <c r="AB99" s="8">
</c>
      <c r="AC99" s="8">
</c>
      <c r="AD99" s="8">
</c>
      <c r="AE99" s="8">
</c>
      <c r="AF99" s="8">
</c>
      <c r="AG99" s="8">
</c>
      <c r="AH99" s="8">
</c>
      <c r="AI99" s="8">
</c>
      <c r="AJ99" s="8">
</c>
      <c r="AK99" s="8">
</c>
    </row>
    <row r="100" ht="76.5" customHeight="1">
      <c r="A100" s="9" t="s">
        <v>23</v>
      </c>
      <c r="B100" s="9" t="s">
        <v>24</v>
      </c>
      <c r="C100" s="12" t="s">
        <v>370</v>
      </c>
      <c r="D100" s="12" t="s">
        <v>371</v>
      </c>
      <c r="E100" s="9" t="s">
        <v>27</v>
      </c>
      <c r="F100" s="8" t="s">
        <v>372</v>
      </c>
      <c r="G100" s="13" cm="1" t="str">
        <f t="array" ref="G100">IF(F100="","",SUBSTITUTE(SUBSTITUTE(SUBSTITUTE(SUBSTITUTE(F100,"&lt;li&gt;",CHAR(10)),"&lt;/li&gt;",""),"&lt;br&gt;",CHAR(10)),"&lt;strong&gt;",""))</f>
        <v>&lt;p&gt;Relances régulières, dernier RDV physique terminé, attente d'une initiative publique sur la défense. DG et élus sans capacité 2025/Q1 2026, CA sceptique sur le P-E, préfère fonds de dettes, report en 2026. Suivi à maintenir, informer Jean François Tilquin. Prochaine étape : relance à suivre.&lt;/p&gt;</v>
      </c>
      <c r="H100" s="13" cm="1" t="str">
        <f t="array" ref="H100">IF(G100="","",SUBSTITUTE(SUBSTITUTE(SUBSTITUTE(SUBSTITUTE(SUBSTITUTE(G100,"&lt;p&gt;",""),"&lt;/p&gt;",""),"&lt;ul&gt;",""),"&lt;/ul&gt;",""),"&lt;/strong&gt;",""))</f>
        <v>Relances régulières, dernier RDV physique terminé, attente d'une initiative publique sur la défense. DG et élus sans capacité 2025/Q1 2026, CA sceptique sur le P-E, préfère fonds de dettes, report en 2026. Suivi à maintenir, informer Jean François Tilquin. Prochaine étape : relance à suivre.</v>
      </c>
      <c r="I100" s="14" cm="1" t="str">
        <f t="array" ref="I100">IF(C100="","",IF(OR(H100="",H100=0,H100=FALSE),"-",H100))</f>
        <v>Relances régulières, dernier RDV physique terminé, attente d'une initiative publique sur la défense. DG et élus sans capacité 2025/Q1 2026, CA sceptique sur le P-E, préfère fonds de dettes, report en 2026. Suivi à maintenir, informer Jean François Tilquin. Prochaine étape : relance à suivre.</v>
      </c>
      <c r="J100" s="8" t="s">
        <v>373</v>
      </c>
      <c r="K100" s="8" t="s">
        <v>203</v>
      </c>
      <c r="L100" s="9" cm="1" t="str">
        <f t="array" ref="L100">IF(C100="","",IF(K100="Mort / Plus rien à faire","KO","OK"))</f>
        <v>OK</v>
      </c>
      <c r="M100" s="15">
        <v>46161.71759259259</v>
      </c>
      <c r="N100" s="15" cm="1" t="n">
        <f t="array" ref="N100">IF(OR(C100="",M100="",M100=0),"",M100)</f>
        <v>46161.71759259259</v>
      </c>
      <c r="O100" s="15">
</c>
      <c r="P100" s="15" cm="1" t="str">
        <f t="array" ref="P100">IF(C100="","",IF(OR(O100="",O100=0),"-",O100))</f>
        <v>-</v>
      </c>
      <c r="Q100" s="16">
        <v>0</v>
      </c>
      <c r="R100" s="16" cm="1" t="str">
        <f t="array" ref="R100">IF(C100="","",ROUND(Q100/1000000,3)&amp;" M€")</f>
        <v>0 M€</v>
      </c>
      <c r="S100" s="12" t="s">
        <v>216</v>
      </c>
      <c r="T100" s="9" cm="1" t="str">
        <f t="array" ref="T100">IF(C100="","",SUBSTITUTE(S100,"","")&amp;"%")</f>
        <v>10%</v>
      </c>
      <c r="U100" s="14" cm="1" t="str">
        <f t="array" ref="U100">IF(($N100="")*($P100=""),"",IF(($N100&lt;&gt;"")*($N100&gt;TODAY()-9)*($N100&lt;TODAY()+1)*($P100&lt;&gt;"")*($P100&gt;=TODAY())*($P100&lt;=TODAY()+13),"Semaine passée &amp; à venir",IF(($N100&lt;&gt;"")*($N100&gt;TODAY()-9)*($N100&lt;TODAY()+1),"Semaine passée",IF(($P100&lt;&gt;"")*($P100&gt;=TODAY())*($P100&lt;=TODAY()+13),"À venir","Autre"))))</f>
        <v>Autre</v>
      </c>
      <c r="V100" s="8" cm="1" t="n">
        <f t="array" ref="V100">IF(C100&lt;&gt;"",1,0)</f>
        <v>1</v>
      </c>
      <c r="W100" s="8">
</c>
      <c r="X100" s="8">
</c>
      <c r="Y100" s="8">
</c>
      <c r="Z100" s="8">
</c>
      <c r="AA100" s="8">
</c>
      <c r="AB100" s="8">
</c>
      <c r="AC100" s="8">
</c>
      <c r="AD100" s="8">
</c>
      <c r="AE100" s="8">
</c>
      <c r="AF100" s="8">
</c>
      <c r="AG100" s="8">
</c>
      <c r="AH100" s="8">
</c>
      <c r="AI100" s="8">
</c>
      <c r="AJ100" s="8">
</c>
      <c r="AK100" s="8">
</c>
    </row>
    <row r="101" ht="76.5" customHeight="1">
      <c r="A101" s="9" t="s">
        <v>23</v>
      </c>
      <c r="B101" s="9" t="s">
        <v>63</v>
      </c>
      <c r="C101" s="12" t="s">
        <v>374</v>
      </c>
      <c r="D101" s="12" t="s">
        <v>375</v>
      </c>
      <c r="E101" s="9" t="s">
        <v>43</v>
      </c>
      <c r="F101" s="8" t="s">
        <v>376</v>
      </c>
      <c r="G101" s="13" cm="1" t="str">
        <f t="array" ref="G101">IF(F101="","",SUBSTITUTE(SUBSTITUTE(SUBSTITUTE(SUBSTITUTE(F101,"&lt;li&gt;",CHAR(10)),"&lt;/li&gt;",""),"&lt;br&gt;",CHAR(10)),"&lt;strong&gt;",""))</f>
        <v>&lt;p&gt;Projet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v>
      </c>
      <c r="H101" s="13" cm="1" t="str">
        <f t="array" ref="H101">IF(G101="","",SUBSTITUTE(SUBSTITUTE(SUBSTITUTE(SUBSTITUTE(SUBSTITUTE(G101,"&lt;p&gt;",""),"&lt;/p&gt;",""),"&lt;ul&gt;",""),"&lt;/ul&gt;",""),"&lt;/strong&gt;",""))</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I101" s="14" cm="1" t="str">
        <f t="array" ref="I101">IF(C101="","",IF(OR(H101="",H101=0,H101=FALSE),"-",H101))</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J101" s="8">
</c>
      <c r="K101" s="8" t="s">
        <v>53</v>
      </c>
      <c r="L101" s="9" cm="1" t="str">
        <f t="array" ref="L101">IF(C101="","",IF(K101="Mort / Plus rien à faire","KO","OK"))</f>
        <v>OK</v>
      </c>
      <c r="M101" s="15">
        <v>46050.68894675926</v>
      </c>
      <c r="N101" s="15" cm="1" t="n">
        <f t="array" ref="N101">IF(OR(C101="",M101="",M101=0),"",M101)</f>
        <v>46050.68894675926</v>
      </c>
      <c r="O101" s="15">
</c>
      <c r="P101" s="15" cm="1" t="str">
        <f t="array" ref="P101">IF(C101="","",IF(OR(O101="",O101=0),"-",O101))</f>
        <v>-</v>
      </c>
      <c r="Q101" s="16">
        <v>0</v>
      </c>
      <c r="R101" s="16" cm="1" t="str">
        <f t="array" ref="R101">IF(C101="","",ROUND(Q101/1000000,3)&amp;" M€")</f>
        <v>0 M€</v>
      </c>
      <c r="S101" s="12" t="s">
        <v>216</v>
      </c>
      <c r="T101" s="9" cm="1" t="str">
        <f t="array" ref="T101">IF(C101="","",SUBSTITUTE(S101,"","")&amp;"%")</f>
        <v>10%</v>
      </c>
      <c r="U101" s="14" cm="1" t="str">
        <f t="array" ref="U101">IF(($N101="")*($P101=""),"",IF(($N101&lt;&gt;"")*($N101&gt;TODAY()-9)*($N101&lt;TODAY()+1)*($P101&lt;&gt;"")*($P101&gt;=TODAY())*($P101&lt;=TODAY()+13),"Semaine passée &amp; à venir",IF(($N101&lt;&gt;"")*($N101&gt;TODAY()-9)*($N101&lt;TODAY()+1),"Semaine passée",IF(($P101&lt;&gt;"")*($P101&gt;=TODAY())*($P101&lt;=TODAY()+13),"À venir","Autre"))))</f>
        <v>Autre</v>
      </c>
      <c r="V101" s="8" cm="1" t="n">
        <f t="array" ref="V101">IF(C101&lt;&gt;"",1,0)</f>
        <v>1</v>
      </c>
      <c r="W101" s="8">
</c>
      <c r="X101" s="8">
</c>
      <c r="Y101" s="8">
</c>
      <c r="Z101" s="8">
</c>
      <c r="AA101" s="8">
</c>
      <c r="AB101" s="8">
</c>
      <c r="AC101" s="8">
</c>
      <c r="AD101" s="8">
</c>
      <c r="AE101" s="8">
</c>
      <c r="AF101" s="8">
</c>
      <c r="AG101" s="8">
</c>
      <c r="AH101" s="8">
</c>
      <c r="AI101" s="8">
</c>
      <c r="AJ101" s="8">
</c>
      <c r="AK101" s="8">
</c>
    </row>
    <row r="102" ht="76.5" customHeight="1">
      <c r="A102" s="9" t="s">
        <v>23</v>
      </c>
      <c r="B102" s="9" t="s">
        <v>204</v>
      </c>
      <c r="C102" s="12" t="s">
        <v>377</v>
      </c>
      <c r="D102" s="12" t="s">
        <v>378</v>
      </c>
      <c r="E102" s="9" t="s">
        <v>27</v>
      </c>
      <c r="F102" s="8" t="s">
        <v>379</v>
      </c>
      <c r="G102" s="13" cm="1" t="str">
        <f t="array" ref="G102">IF(F102="","",SUBSTITUTE(SUBSTITUTE(SUBSTITUTE(SUBSTITUTE(F102,"&lt;li&gt;",CHAR(10)),"&lt;/li&gt;",""),"&lt;br&gt;",CHAR(10)),"&lt;strong&gt;",""))</f>
        <v>&lt;p&gt;19/05 : création piste équipe Ventes. 15h18 : mail adressé à Straton. 16h19 : suivi sans contenu ajouté. 16h43 : nouveau mail adressé. Aucun retour prospect, pas d'activité complémentaire, aucune prochaine étape identifiée à ce stade. Pas de conclusion ni feedback prospect.&lt;/p&gt;</v>
      </c>
      <c r="H102" s="13" cm="1" t="str">
        <f t="array" ref="H102">IF(G102="","",SUBSTITUTE(SUBSTITUTE(SUBSTITUTE(SUBSTITUTE(SUBSTITUTE(G102,"&lt;p&gt;",""),"&lt;/p&gt;",""),"&lt;ul&gt;",""),"&lt;/ul&gt;",""),"&lt;/strong&gt;",""))</f>
        <v>19/05 : création piste équipe Ventes. 15h18 : mail adressé à Straton. 16h19 : suivi sans contenu ajouté. 16h43 : nouveau mail adressé. Aucun retour prospect, pas d'activité complémentaire, aucune prochaine étape identifiée à ce stade. Pas de conclusion ni feedback prospect.</v>
      </c>
      <c r="I102" s="14" cm="1" t="str">
        <f t="array" ref="I102">IF(C102="","",IF(OR(H102="",H102=0,H102=FALSE),"-",H102))</f>
        <v>19/05 : création piste équipe Ventes. 15h18 : mail adressé à Straton. 16h19 : suivi sans contenu ajouté. 16h43 : nouveau mail adressé. Aucun retour prospect, pas d'activité complémentaire, aucune prochaine étape identifiée à ce stade. Pas de conclusion ni feedback prospect.</v>
      </c>
      <c r="J102" s="8">
</c>
      <c r="K102" s="8" t="s">
        <v>203</v>
      </c>
      <c r="L102" s="9" cm="1" t="str">
        <f t="array" ref="L102">IF(C102="","",IF(K102="Mort / Plus rien à faire","KO","OK"))</f>
        <v>OK</v>
      </c>
      <c r="M102" s="15">
        <v>46161.78050925926</v>
      </c>
      <c r="N102" s="15" cm="1" t="n">
        <f t="array" ref="N102">IF(OR(C102="",M102="",M102=0),"",M102)</f>
        <v>46161.78050925926</v>
      </c>
      <c r="O102" s="15">
</c>
      <c r="P102" s="15" cm="1" t="str">
        <f t="array" ref="P102">IF(C102="","",IF(OR(O102="",O102=0),"-",O102))</f>
        <v>-</v>
      </c>
      <c r="Q102" s="16">
        <v>0</v>
      </c>
      <c r="R102" s="16" cm="1" t="str">
        <f t="array" ref="R102">IF(C102="","",ROUND(Q102/1000000,3)&amp;" M€")</f>
        <v>0 M€</v>
      </c>
      <c r="S102" s="12" t="s">
        <v>216</v>
      </c>
      <c r="T102" s="9" cm="1" t="str">
        <f t="array" ref="T102">IF(C102="","",SUBSTITUTE(S102,"","")&amp;"%")</f>
        <v>10%</v>
      </c>
      <c r="U102" s="14" cm="1" t="str">
        <f t="array" ref="U102">IF(($N102="")*($P102=""),"",IF(($N102&lt;&gt;"")*($N102&gt;TODAY()-9)*($N102&lt;TODAY()+1)*($P102&lt;&gt;"")*($P102&gt;=TODAY())*($P102&lt;=TODAY()+13),"Semaine passée &amp; à venir",IF(($N102&lt;&gt;"")*($N102&gt;TODAY()-9)*($N102&lt;TODAY()+1),"Semaine passée",IF(($P102&lt;&gt;"")*($P102&gt;=TODAY())*($P102&lt;=TODAY()+13),"À venir","Autre"))))</f>
        <v>Autre</v>
      </c>
      <c r="V102" s="8" cm="1" t="n">
        <f t="array" ref="V102">IF(C102&lt;&gt;"",1,0)</f>
        <v>1</v>
      </c>
      <c r="W102" s="8">
</c>
      <c r="X102" s="8">
</c>
      <c r="Y102" s="8">
</c>
      <c r="Z102" s="8">
</c>
      <c r="AA102" s="8">
</c>
      <c r="AB102" s="8">
</c>
      <c r="AC102" s="8">
</c>
      <c r="AD102" s="8">
</c>
      <c r="AE102" s="8">
</c>
      <c r="AF102" s="8">
</c>
      <c r="AG102" s="8">
</c>
      <c r="AH102" s="8">
</c>
      <c r="AI102" s="8">
</c>
      <c r="AJ102" s="8">
</c>
      <c r="AK102" s="8">
</c>
    </row>
    <row r="103" ht="76.5" customHeight="1">
      <c r="A103" s="9" t="s">
        <v>23</v>
      </c>
      <c r="B103" s="9" t="s">
        <v>264</v>
      </c>
      <c r="C103" s="12" t="s">
        <v>380</v>
      </c>
      <c r="D103" s="12" t="s">
        <v>381</v>
      </c>
      <c r="E103" s="9" t="s">
        <v>27</v>
      </c>
      <c r="F103" s="8" t="s">
        <v>382</v>
      </c>
      <c r="G103" s="13" cm="1" t="str">
        <f t="array" ref="G103">IF(F103="","",SUBSTITUTE(SUBSTITUTE(SUBSTITUTE(SUBSTITUTE(F103,"&lt;li&gt;",CHAR(10)),"&lt;/li&gt;",""),"&lt;br&gt;",CHAR(10)),"&lt;strong&gt;",""))</f>
        <v>&lt;p&gt;RDV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v>
      </c>
      <c r="H103" s="13" cm="1" t="str">
        <f t="array" ref="H103">IF(G103="","",SUBSTITUTE(SUBSTITUTE(SUBSTITUTE(SUBSTITUTE(SUBSTITUTE(G103,"&lt;p&gt;",""),"&lt;/p&gt;",""),"&lt;ul&gt;",""),"&lt;/ul&gt;",""),"&lt;/strong&gt;",""))</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I103" s="14" cm="1" t="str">
        <f t="array" ref="I103">IF(C103="","",IF(OR(H103="",H103=0,H103=FALSE),"-",H103))</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J103" s="8" t="s">
        <v>383</v>
      </c>
      <c r="K103" s="8" t="s">
        <v>106</v>
      </c>
      <c r="L103" s="9" cm="1" t="str">
        <f t="array" ref="L103">IF(C103="","",IF(K103="Mort / Plus rien à faire","KO","OK"))</f>
        <v>OK</v>
      </c>
      <c r="M103" s="15">
        <v>46050.662777777776</v>
      </c>
      <c r="N103" s="15" cm="1" t="n">
        <f t="array" ref="N103">IF(OR(C103="",M103="",M103=0),"",M103)</f>
        <v>46050.662777777776</v>
      </c>
      <c r="O103" s="15">
</c>
      <c r="P103" s="15" cm="1" t="str">
        <f t="array" ref="P103">IF(C103="","",IF(OR(O103="",O103=0),"-",O103))</f>
        <v>-</v>
      </c>
      <c r="Q103" s="16">
        <v>0</v>
      </c>
      <c r="R103" s="16" cm="1" t="str">
        <f t="array" ref="R103">IF(C103="","",ROUND(Q103/1000000,3)&amp;" M€")</f>
        <v>0 M€</v>
      </c>
      <c r="S103" s="12" t="s">
        <v>216</v>
      </c>
      <c r="T103" s="9" cm="1" t="str">
        <f t="array" ref="T103">IF(C103="","",SUBSTITUTE(S103,"","")&amp;"%")</f>
        <v>10%</v>
      </c>
      <c r="U103" s="14" cm="1" t="str">
        <f t="array" ref="U103">IF(($N103="")*($P103=""),"",IF(($N103&lt;&gt;"")*($N103&gt;TODAY()-9)*($N103&lt;TODAY()+1)*($P103&lt;&gt;"")*($P103&gt;=TODAY())*($P103&lt;=TODAY()+13),"Semaine passée &amp; à venir",IF(($N103&lt;&gt;"")*($N103&gt;TODAY()-9)*($N103&lt;TODAY()+1),"Semaine passée",IF(($P103&lt;&gt;"")*($P103&gt;=TODAY())*($P103&lt;=TODAY()+13),"À venir","Autre"))))</f>
        <v>Autre</v>
      </c>
      <c r="V103" s="8" cm="1" t="n">
        <f t="array" ref="V103">IF(C103&lt;&gt;"",1,0)</f>
        <v>1</v>
      </c>
      <c r="W103" s="8">
</c>
      <c r="X103" s="8">
</c>
      <c r="Y103" s="8">
</c>
      <c r="Z103" s="8">
</c>
      <c r="AA103" s="8">
</c>
      <c r="AB103" s="8">
</c>
      <c r="AC103" s="8">
</c>
      <c r="AD103" s="8">
</c>
      <c r="AE103" s="8">
</c>
      <c r="AF103" s="8">
</c>
      <c r="AG103" s="8">
</c>
      <c r="AH103" s="8">
</c>
      <c r="AI103" s="8">
</c>
      <c r="AJ103" s="8">
</c>
      <c r="AK103" s="8">
</c>
    </row>
    <row r="104" ht="76.5" customHeight="1">
      <c r="A104" s="9" t="s">
        <v>23</v>
      </c>
      <c r="B104" s="9" t="s">
        <v>48</v>
      </c>
      <c r="C104" s="12" t="s">
        <v>384</v>
      </c>
      <c r="D104" s="12" t="s">
        <v>385</v>
      </c>
      <c r="E104" s="9" t="s">
        <v>43</v>
      </c>
      <c r="F104" s="8" t="s">
        <v>386</v>
      </c>
      <c r="G104" s="13" cm="1" t="str">
        <f t="array" ref="G104">IF(F104="","",SUBSTITUTE(SUBSTITUTE(SUBSTITUTE(SUBSTITUTE(F104,"&lt;li&gt;",CHAR(10)),"&lt;/li&gt;",""),"&lt;br&gt;",CHAR(10)),"&lt;strong&gt;",""))</f>
        <v>&lt;p&gt;Piste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v>
      </c>
      <c r="H104" s="13" cm="1" t="str">
        <f t="array" ref="H104">IF(G104="","",SUBSTITUTE(SUBSTITUTE(SUBSTITUTE(SUBSTITUTE(SUBSTITUTE(G104,"&lt;p&gt;",""),"&lt;/p&gt;",""),"&lt;ul&gt;",""),"&lt;/ul&gt;",""),"&lt;/strong&gt;",""))</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I104" s="14" cm="1" t="str">
        <f t="array" ref="I104">IF(C104="","",IF(OR(H104="",H104=0,H104=FALSE),"-",H104))</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J104" s="8">
</c>
      <c r="K104" s="8" t="s">
        <v>53</v>
      </c>
      <c r="L104" s="9" cm="1" t="str">
        <f t="array" ref="L104">IF(C104="","",IF(K104="Mort / Plus rien à faire","KO","OK"))</f>
        <v>OK</v>
      </c>
      <c r="M104" s="15">
        <v>46050.696539351855</v>
      </c>
      <c r="N104" s="15" cm="1" t="n">
        <f t="array" ref="N104">IF(OR(C104="",M104="",M104=0),"",M104)</f>
        <v>46050.696539351855</v>
      </c>
      <c r="O104" s="15">
</c>
      <c r="P104" s="15" cm="1" t="str">
        <f t="array" ref="P104">IF(C104="","",IF(OR(O104="",O104=0),"-",O104))</f>
        <v>-</v>
      </c>
      <c r="Q104" s="16">
        <v>0</v>
      </c>
      <c r="R104" s="16" cm="1" t="str">
        <f t="array" ref="R104">IF(C104="","",ROUND(Q104/1000000,3)&amp;" M€")</f>
        <v>0 M€</v>
      </c>
      <c r="S104" s="12" t="s">
        <v>216</v>
      </c>
      <c r="T104" s="9" cm="1" t="str">
        <f t="array" ref="T104">IF(C104="","",SUBSTITUTE(S104,"","")&amp;"%")</f>
        <v>10%</v>
      </c>
      <c r="U104" s="14" cm="1" t="str">
        <f t="array" ref="U104">IF(($N104="")*($P104=""),"",IF(($N104&lt;&gt;"")*($N104&gt;TODAY()-9)*($N104&lt;TODAY()+1)*($P104&lt;&gt;"")*($P104&gt;=TODAY())*($P104&lt;=TODAY()+13),"Semaine passée &amp; à venir",IF(($N104&lt;&gt;"")*($N104&gt;TODAY()-9)*($N104&lt;TODAY()+1),"Semaine passée",IF(($P104&lt;&gt;"")*($P104&gt;=TODAY())*($P104&lt;=TODAY()+13),"À venir","Autre"))))</f>
        <v>Autre</v>
      </c>
      <c r="V104" s="8" cm="1" t="n">
        <f t="array" ref="V104">IF(C104&lt;&gt;"",1,0)</f>
        <v>1</v>
      </c>
      <c r="W104" s="8">
</c>
      <c r="X104" s="8">
</c>
      <c r="Y104" s="8">
</c>
      <c r="Z104" s="8">
</c>
      <c r="AA104" s="8">
</c>
      <c r="AB104" s="8">
</c>
      <c r="AC104" s="8">
</c>
      <c r="AD104" s="8">
</c>
      <c r="AE104" s="8">
</c>
      <c r="AF104" s="8">
</c>
      <c r="AG104" s="8">
</c>
      <c r="AH104" s="8">
</c>
      <c r="AI104" s="8">
</c>
      <c r="AJ104" s="8">
</c>
      <c r="AK104" s="8">
</c>
    </row>
    <row r="105" ht="76.5" customHeight="1">
      <c r="A105" s="9" t="s">
        <v>23</v>
      </c>
      <c r="B105" s="9" t="s">
        <v>144</v>
      </c>
      <c r="C105" s="12" t="s">
        <v>387</v>
      </c>
      <c r="D105" s="12" t="s">
        <v>388</v>
      </c>
      <c r="E105" s="9" t="s">
        <v>27</v>
      </c>
      <c r="F105" s="8" t="s">
        <v>389</v>
      </c>
      <c r="G105" s="13" cm="1" t="str">
        <f t="array" ref="G105">IF(F105="","",SUBSTITUTE(SUBSTITUTE(SUBSTITUTE(SUBSTITUTE(F105,"&lt;li&gt;",CHAR(10)),"&lt;/li&gt;",""),"&lt;br&gt;",CHAR(10)),"&lt;strong&gt;",""))</f>
        <v>&lt;p&gt;28/01: Présentation du fonds Straton, focus portefeuille, chiffres marché suédois confirmés, présence régulière Oslo/Stockholm. 20/05: Relance envoyée, proposition d'échanger pour plus d'infos. Pas de retour ni d'autres actions ou feedback prospect à ce stade. Prochaines étapes: attente réponse.&lt;/p&gt;</v>
      </c>
      <c r="H105" s="13" cm="1" t="str">
        <f t="array" ref="H105">IF(G105="","",SUBSTITUTE(SUBSTITUTE(SUBSTITUTE(SUBSTITUTE(SUBSTITUTE(G105,"&lt;p&gt;",""),"&lt;/p&gt;",""),"&lt;ul&gt;",""),"&lt;/ul&gt;",""),"&lt;/strong&gt;",""))</f>
        <v>28/01: Présentation du fonds Straton, focus portefeuille, chiffres marché suédois confirmés, présence régulière Oslo/Stockholm. 20/05: Relance envoyée, proposition d'échanger pour plus d'infos. Pas de retour ni d'autres actions ou feedback prospect à ce stade. Prochaines étapes: attente réponse.</v>
      </c>
      <c r="I105" s="14" cm="1" t="str">
        <f t="array" ref="I105">IF(C105="","",IF(OR(H105="",H105=0,H105=FALSE),"-",H105))</f>
        <v>28/01: Présentation du fonds Straton, focus portefeuille, chiffres marché suédois confirmés, présence régulière Oslo/Stockholm. 20/05: Relance envoyée, proposition d'échanger pour plus d'infos. Pas de retour ni d'autres actions ou feedback prospect à ce stade. Prochaines étapes: attente réponse.</v>
      </c>
      <c r="J105" s="8">
</c>
      <c r="K105" s="8" t="s">
        <v>203</v>
      </c>
      <c r="L105" s="9" cm="1" t="str">
        <f t="array" ref="L105">IF(C105="","",IF(K105="Mort / Plus rien à faire","KO","OK"))</f>
        <v>OK</v>
      </c>
      <c r="M105" s="15">
        <v>46162.42020833334</v>
      </c>
      <c r="N105" s="15" cm="1" t="n">
        <f t="array" ref="N105">IF(OR(C105="",M105="",M105=0),"",M105)</f>
        <v>46162.42020833334</v>
      </c>
      <c r="O105" s="15">
</c>
      <c r="P105" s="15" cm="1" t="str">
        <f t="array" ref="P105">IF(C105="","",IF(OR(O105="",O105=0),"-",O105))</f>
        <v>-</v>
      </c>
      <c r="Q105" s="16">
        <v>0</v>
      </c>
      <c r="R105" s="16" cm="1" t="str">
        <f t="array" ref="R105">IF(C105="","",ROUND(Q105/1000000,3)&amp;" M€")</f>
        <v>0 M€</v>
      </c>
      <c r="S105" s="12" t="s">
        <v>216</v>
      </c>
      <c r="T105" s="9" cm="1" t="str">
        <f t="array" ref="T105">IF(C105="","",SUBSTITUTE(S105,"","")&amp;"%")</f>
        <v>10%</v>
      </c>
      <c r="U105" s="14" cm="1" t="str">
        <f t="array" ref="U105">IF(($N105="")*($P105=""),"",IF(($N105&lt;&gt;"")*($N105&gt;TODAY()-9)*($N105&lt;TODAY()+1)*($P105&lt;&gt;"")*($P105&gt;=TODAY())*($P105&lt;=TODAY()+13),"Semaine passée &amp; à venir",IF(($N105&lt;&gt;"")*($N105&gt;TODAY()-9)*($N105&lt;TODAY()+1),"Semaine passée",IF(($P105&lt;&gt;"")*($P105&gt;=TODAY())*($P105&lt;=TODAY()+13),"À venir","Autre"))))</f>
        <v>Autre</v>
      </c>
      <c r="V105" s="8" cm="1" t="n">
        <f t="array" ref="V105">IF(C105&lt;&gt;"",1,0)</f>
        <v>1</v>
      </c>
      <c r="W105" s="8">
</c>
      <c r="X105" s="8">
</c>
      <c r="Y105" s="8">
</c>
      <c r="Z105" s="8">
</c>
      <c r="AA105" s="8">
</c>
      <c r="AB105" s="8">
</c>
      <c r="AC105" s="8">
</c>
      <c r="AD105" s="8">
</c>
      <c r="AE105" s="8">
</c>
      <c r="AF105" s="8">
</c>
      <c r="AG105" s="8">
</c>
      <c r="AH105" s="8">
</c>
      <c r="AI105" s="8">
</c>
      <c r="AJ105" s="8">
</c>
      <c r="AK105" s="8">
</c>
    </row>
    <row r="106" ht="76.5" customHeight="1">
      <c r="A106" s="9" t="s">
        <v>23</v>
      </c>
      <c r="B106" s="9" t="s">
        <v>264</v>
      </c>
      <c r="C106" s="12" t="s">
        <v>390</v>
      </c>
      <c r="D106" s="12" t="s">
        <v>391</v>
      </c>
      <c r="E106" s="9" t="s">
        <v>78</v>
      </c>
      <c r="F106" s="8" t="s">
        <v>392</v>
      </c>
      <c r="G106" s="13" cm="1" t="str">
        <f t="array" ref="G106">IF(F106="","",SUBSTITUTE(SUBSTITUTE(SUBSTITUTE(SUBSTITUTE(F106,"&lt;li&gt;",CHAR(10)),"&lt;/li&gt;",""),"&lt;br&gt;",CHAR(10)),"&lt;strong&gt;",""))</f>
        <v>&lt;p&gt;Mail envoyé à Patrick pour présenter un nouveau fonds PME défense (objectif 100 M€, investisseurs institutionnels et privés, closing technique 10-12 M€ imminent). Proposition de rejoindre le pool d’ancrage. Première opération prévue sur un champion guerre électronique. Pas de retour prospect à ce stade.&lt;/p&gt;</v>
      </c>
      <c r="H106" s="13" cm="1" t="str">
        <f t="array" ref="H106">IF(G106="","",SUBSTITUTE(SUBSTITUTE(SUBSTITUTE(SUBSTITUTE(SUBSTITUTE(G106,"&lt;p&gt;",""),"&lt;/p&gt;",""),"&lt;ul&gt;",""),"&lt;/ul&gt;",""),"&lt;/strong&gt;",""))</f>
        <v>Mail envoyé à Patrick pour présenter un nouveau fonds PME défense (objectif 100 M€, investisseurs institutionnels et privés, closing technique 10-12 M€ imminent). Proposition de rejoindre le pool d’ancrage. Première opération prévue sur un champion guerre électronique. Pas de retour prospect à ce stade.</v>
      </c>
      <c r="I106" s="14" cm="1" t="str">
        <f t="array" ref="I106">IF(C106="","",IF(OR(H106="",H106=0,H106=FALSE),"-",H106))</f>
        <v>Mail envoyé à Patrick pour présenter un nouveau fonds PME défense (objectif 100 M€, investisseurs institutionnels et privés, closing technique 10-12 M€ imminent). Proposition de rejoindre le pool d’ancrage. Première opération prévue sur un champion guerre électronique. Pas de retour prospect à ce stade.</v>
      </c>
      <c r="J106" s="8">
</c>
      <c r="K106" s="8" t="s">
        <v>203</v>
      </c>
      <c r="L106" s="9" cm="1" t="str">
        <f t="array" ref="L106">IF(C106="","",IF(K106="Mort / Plus rien à faire","KO","OK"))</f>
        <v>OK</v>
      </c>
      <c r="M106" s="15">
        <v>46162.422939814816</v>
      </c>
      <c r="N106" s="15" cm="1" t="n">
        <f t="array" ref="N106">IF(OR(C106="",M106="",M106=0),"",M106)</f>
        <v>46162.422939814816</v>
      </c>
      <c r="O106" s="15">
</c>
      <c r="P106" s="15" cm="1" t="str">
        <f t="array" ref="P106">IF(C106="","",IF(OR(O106="",O106=0),"-",O106))</f>
        <v>-</v>
      </c>
      <c r="Q106" s="16">
        <v>0</v>
      </c>
      <c r="R106" s="16" cm="1" t="str">
        <f t="array" ref="R106">IF(C106="","",ROUND(Q106/1000000,3)&amp;" M€")</f>
        <v>0 M€</v>
      </c>
      <c r="S106" s="12" t="s">
        <v>216</v>
      </c>
      <c r="T106" s="9" cm="1" t="str">
        <f t="array" ref="T106">IF(C106="","",SUBSTITUTE(S106,"","")&amp;"%")</f>
        <v>10%</v>
      </c>
      <c r="U106" s="14" cm="1" t="str">
        <f t="array" ref="U106">IF(($N106="")*($P106=""),"",IF(($N106&lt;&gt;"")*($N106&gt;TODAY()-9)*($N106&lt;TODAY()+1)*($P106&lt;&gt;"")*($P106&gt;=TODAY())*($P106&lt;=TODAY()+13),"Semaine passée &amp; à venir",IF(($N106&lt;&gt;"")*($N106&gt;TODAY()-9)*($N106&lt;TODAY()+1),"Semaine passée",IF(($P106&lt;&gt;"")*($P106&gt;=TODAY())*($P106&lt;=TODAY()+13),"À venir","Autre"))))</f>
        <v>Autre</v>
      </c>
      <c r="V106" s="8" cm="1" t="n">
        <f t="array" ref="V106">IF(C106&lt;&gt;"",1,0)</f>
        <v>1</v>
      </c>
      <c r="W106" s="8">
</c>
      <c r="X106" s="8">
</c>
      <c r="Y106" s="8">
</c>
      <c r="Z106" s="8">
</c>
      <c r="AA106" s="8">
</c>
      <c r="AB106" s="8">
</c>
      <c r="AC106" s="8">
</c>
      <c r="AD106" s="8">
</c>
      <c r="AE106" s="8">
</c>
      <c r="AF106" s="8">
</c>
      <c r="AG106" s="8">
</c>
      <c r="AH106" s="8">
</c>
      <c r="AI106" s="8">
</c>
      <c r="AJ106" s="8">
</c>
      <c r="AK106" s="8">
</c>
    </row>
    <row r="107" ht="76.5" customHeight="1">
      <c r="A107" s="9" t="s">
        <v>23</v>
      </c>
      <c r="B107" s="9" t="s">
        <v>217</v>
      </c>
      <c r="C107" s="12" t="s">
        <v>393</v>
      </c>
      <c r="D107" s="12" t="s">
        <v>394</v>
      </c>
      <c r="E107" s="9" t="s">
        <v>78</v>
      </c>
      <c r="F107" s="8" t="s">
        <v>395</v>
      </c>
      <c r="G107" s="13" cm="1" t="str">
        <f t="array" ref="G107">IF(F107="","",SUBSTITUTE(SUBSTITUTE(SUBSTITUTE(SUBSTITUTE(F107,"&lt;li&gt;",CHAR(10)),"&lt;/li&gt;",""),"&lt;br&gt;",CHAR(10)),"&lt;strong&gt;",""))</f>
        <v>&lt;p&gt;Mail envoyé le 20/05/2026 à Alexandre pour présenter un nouveau fonds d’investissement PME défense (objectif 100 M€, closing technique 10-12 M€ imminent, investisseurs institutionnels et privés). Proposition de RDV pour détailler le projet et première opération à venir. Pas d'autres actions notées.&lt;/p&gt;</v>
      </c>
      <c r="H107" s="13" cm="1" t="str">
        <f t="array" ref="H107">IF(G107="","",SUBSTITUTE(SUBSTITUTE(SUBSTITUTE(SUBSTITUTE(SUBSTITUTE(G107,"&lt;p&gt;",""),"&lt;/p&gt;",""),"&lt;ul&gt;",""),"&lt;/ul&gt;",""),"&lt;/strong&gt;",""))</f>
        <v>Mail envoyé le 20/05/2026 à Alexandre pour présenter un nouveau fonds d’investissement PME défense (objectif 100 M€, closing technique 10-12 M€ imminent, investisseurs institutionnels et privés). Proposition de RDV pour détailler le projet et première opération à venir. Pas d'autres actions notées.</v>
      </c>
      <c r="I107" s="14" cm="1" t="str">
        <f t="array" ref="I107">IF(C107="","",IF(OR(H107="",H107=0,H107=FALSE),"-",H107))</f>
        <v>Mail envoyé le 20/05/2026 à Alexandre pour présenter un nouveau fonds d’investissement PME défense (objectif 100 M€, closing technique 10-12 M€ imminent, investisseurs institutionnels et privés). Proposition de RDV pour détailler le projet et première opération à venir. Pas d'autres actions notées.</v>
      </c>
      <c r="J107" s="8">
</c>
      <c r="K107" s="8" t="s">
        <v>203</v>
      </c>
      <c r="L107" s="9" cm="1" t="str">
        <f t="array" ref="L107">IF(C107="","",IF(K107="Mort / Plus rien à faire","KO","OK"))</f>
        <v>OK</v>
      </c>
      <c r="M107" s="15">
        <v>46162.428136574075</v>
      </c>
      <c r="N107" s="15" cm="1" t="n">
        <f t="array" ref="N107">IF(OR(C107="",M107="",M107=0),"",M107)</f>
        <v>46162.428136574075</v>
      </c>
      <c r="O107" s="15">
</c>
      <c r="P107" s="15" cm="1" t="str">
        <f t="array" ref="P107">IF(C107="","",IF(OR(O107="",O107=0),"-",O107))</f>
        <v>-</v>
      </c>
      <c r="Q107" s="16">
        <v>0</v>
      </c>
      <c r="R107" s="16" cm="1" t="str">
        <f t="array" ref="R107">IF(C107="","",ROUND(Q107/1000000,3)&amp;" M€")</f>
        <v>0 M€</v>
      </c>
      <c r="S107" s="12" t="s">
        <v>216</v>
      </c>
      <c r="T107" s="9" cm="1" t="str">
        <f t="array" ref="T107">IF(C107="","",SUBSTITUTE(S107,"","")&amp;"%")</f>
        <v>10%</v>
      </c>
      <c r="U107" s="14" cm="1" t="str">
        <f t="array" ref="U107">IF(($N107="")*($P107=""),"",IF(($N107&lt;&gt;"")*($N107&gt;TODAY()-9)*($N107&lt;TODAY()+1)*($P107&lt;&gt;"")*($P107&gt;=TODAY())*($P107&lt;=TODAY()+13),"Semaine passée &amp; à venir",IF(($N107&lt;&gt;"")*($N107&gt;TODAY()-9)*($N107&lt;TODAY()+1),"Semaine passée",IF(($P107&lt;&gt;"")*($P107&gt;=TODAY())*($P107&lt;=TODAY()+13),"À venir","Autre"))))</f>
        <v>Autre</v>
      </c>
      <c r="V107" s="8" cm="1" t="n">
        <f t="array" ref="V107">IF(C107&lt;&gt;"",1,0)</f>
        <v>1</v>
      </c>
      <c r="W107" s="8">
</c>
      <c r="X107" s="8">
</c>
      <c r="Y107" s="8">
</c>
      <c r="Z107" s="8">
</c>
      <c r="AA107" s="8">
</c>
      <c r="AB107" s="8">
</c>
      <c r="AC107" s="8">
</c>
      <c r="AD107" s="8">
</c>
      <c r="AE107" s="8">
</c>
      <c r="AF107" s="8">
</c>
      <c r="AG107" s="8">
</c>
      <c r="AH107" s="8">
</c>
      <c r="AI107" s="8">
</c>
      <c r="AJ107" s="8">
</c>
      <c r="AK107" s="8">
</c>
    </row>
    <row r="108" ht="76.5" customHeight="1">
      <c r="A108" s="9" t="s">
        <v>23</v>
      </c>
      <c r="B108" s="9" t="s">
        <v>63</v>
      </c>
      <c r="C108" s="12" t="s">
        <v>346</v>
      </c>
      <c r="D108" s="12" t="s">
        <v>396</v>
      </c>
      <c r="E108" s="9" t="s">
        <v>43</v>
      </c>
      <c r="F108" s="8" t="s">
        <v>397</v>
      </c>
      <c r="G108" s="13" cm="1" t="str">
        <f t="array" ref="G108">IF(F108="","",SUBSTITUTE(SUBSTITUTE(SUBSTITUTE(SUBSTITUTE(F108,"&lt;li&gt;",CHAR(10)),"&lt;/li&gt;",""),"&lt;br&gt;",CHAR(10)),"&lt;strong&gt;",""))</f>
        <v>&lt;p&gt;Nouvelle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v>
      </c>
      <c r="H108" s="13" cm="1" t="str">
        <f t="array" ref="H108">IF(G108="","",SUBSTITUTE(SUBSTITUTE(SUBSTITUTE(SUBSTITUTE(SUBSTITUTE(G108,"&lt;p&gt;",""),"&lt;/p&gt;",""),"&lt;ul&gt;",""),"&lt;/ul&gt;",""),"&lt;/strong&gt;",""))</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I108" s="14" cm="1" t="str">
        <f t="array" ref="I108">IF(C108="","",IF(OR(H108="",H108=0,H108=FALSE),"-",H108))</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J108" s="8">
</c>
      <c r="K108" s="8" t="s">
        <v>53</v>
      </c>
      <c r="L108" s="9" cm="1" t="str">
        <f t="array" ref="L108">IF(C108="","",IF(K108="Mort / Plus rien à faire","KO","OK"))</f>
        <v>OK</v>
      </c>
      <c r="M108" s="15">
        <v>46094.76366898148</v>
      </c>
      <c r="N108" s="15" cm="1" t="n">
        <f t="array" ref="N108">IF(OR(C108="",M108="",M108=0),"",M108)</f>
        <v>46094.76366898148</v>
      </c>
      <c r="O108" s="15">
</c>
      <c r="P108" s="15" cm="1" t="str">
        <f t="array" ref="P108">IF(C108="","",IF(OR(O108="",O108=0),"-",O108))</f>
        <v>-</v>
      </c>
      <c r="Q108" s="16">
        <v>0</v>
      </c>
      <c r="R108" s="16" cm="1" t="str">
        <f t="array" ref="R108">IF(C108="","",ROUND(Q108/1000000,3)&amp;" M€")</f>
        <v>0 M€</v>
      </c>
      <c r="S108" s="12" t="s">
        <v>216</v>
      </c>
      <c r="T108" s="9" cm="1" t="str">
        <f t="array" ref="T108">IF(C108="","",SUBSTITUTE(S108,"","")&amp;"%")</f>
        <v>10%</v>
      </c>
      <c r="U108" s="14" cm="1" t="str">
        <f t="array" ref="U108">IF(($N108="")*($P108=""),"",IF(($N108&lt;&gt;"")*($N108&gt;TODAY()-9)*($N108&lt;TODAY()+1)*($P108&lt;&gt;"")*($P108&gt;=TODAY())*($P108&lt;=TODAY()+13),"Semaine passée &amp; à venir",IF(($N108&lt;&gt;"")*($N108&gt;TODAY()-9)*($N108&lt;TODAY()+1),"Semaine passée",IF(($P108&lt;&gt;"")*($P108&gt;=TODAY())*($P108&lt;=TODAY()+13),"À venir","Autre"))))</f>
        <v>Autre</v>
      </c>
      <c r="V108" s="8" cm="1" t="n">
        <f t="array" ref="V108">IF(C108&lt;&gt;"",1,0)</f>
        <v>1</v>
      </c>
      <c r="W108" s="8">
</c>
      <c r="X108" s="8">
</c>
      <c r="Y108" s="8">
</c>
      <c r="Z108" s="8">
</c>
      <c r="AA108" s="8">
</c>
      <c r="AB108" s="8">
</c>
      <c r="AC108" s="8">
</c>
      <c r="AD108" s="8">
</c>
      <c r="AE108" s="8">
</c>
      <c r="AF108" s="8">
</c>
      <c r="AG108" s="8">
</c>
      <c r="AH108" s="8">
</c>
      <c r="AI108" s="8">
</c>
      <c r="AJ108" s="8">
</c>
      <c r="AK108" s="8">
</c>
    </row>
    <row r="109" ht="76.5" customHeight="1">
      <c r="A109" s="9" t="s">
        <v>23</v>
      </c>
      <c r="B109" s="9" t="s">
        <v>260</v>
      </c>
      <c r="C109" s="12" t="s">
        <v>398</v>
      </c>
      <c r="D109" s="12" t="s">
        <v>399</v>
      </c>
      <c r="E109" s="9" t="s">
        <v>78</v>
      </c>
      <c r="F109" s="8" t="s">
        <v>400</v>
      </c>
      <c r="G109" s="13" cm="1" t="str">
        <f t="array" ref="G109">IF(F109="","",SUBSTITUTE(SUBSTITUTE(SUBSTITUTE(SUBSTITUTE(F109,"&lt;li&gt;",CHAR(10)),"&lt;/li&gt;",""),"&lt;br&gt;",CHAR(10)),"&lt;strong&gt;",""))</f>
        <v>&lt;p&gt;Contact initié par TS pour présenter un nouveau fonds PME défense (objectif 100 M€, investisseurs institutionnels et privés, closing technique 10-12 M€ imminent). Proposition de RDV pour détailler le projet et envisager une première opération sur la guerre électronique. Pas d'action ultérieure enregistrée.&lt;/p&gt;</v>
      </c>
      <c r="H109" s="13" cm="1" t="str">
        <f t="array" ref="H109">IF(G109="","",SUBSTITUTE(SUBSTITUTE(SUBSTITUTE(SUBSTITUTE(SUBSTITUTE(G109,"&lt;p&gt;",""),"&lt;/p&gt;",""),"&lt;ul&gt;",""),"&lt;/ul&gt;",""),"&lt;/strong&gt;",""))</f>
        <v>Contact initié par TS pour présenter un nouveau fonds PME défense (objectif 100 M€, investisseurs institutionnels et privés, closing technique 10-12 M€ imminent). Proposition de RDV pour détailler le projet et envisager une première opération sur la guerre électronique. Pas d'action ultérieure enregistrée.</v>
      </c>
      <c r="I109" s="14" cm="1" t="str">
        <f t="array" ref="I109">IF(C109="","",IF(OR(H109="",H109=0,H109=FALSE),"-",H109))</f>
        <v>Contact initié par TS pour présenter un nouveau fonds PME défense (objectif 100 M€, investisseurs institutionnels et privés, closing technique 10-12 M€ imminent). Proposition de RDV pour détailler le projet et envisager une première opération sur la guerre électronique. Pas d'action ultérieure enregistrée.</v>
      </c>
      <c r="J109" s="8">
</c>
      <c r="K109" s="8" t="s">
        <v>203</v>
      </c>
      <c r="L109" s="9" cm="1" t="str">
        <f t="array" ref="L109">IF(C109="","",IF(K109="Mort / Plus rien à faire","KO","OK"))</f>
        <v>OK</v>
      </c>
      <c r="M109" s="15">
        <v>46162.426145833335</v>
      </c>
      <c r="N109" s="15" cm="1" t="n">
        <f t="array" ref="N109">IF(OR(C109="",M109="",M109=0),"",M109)</f>
        <v>46162.426145833335</v>
      </c>
      <c r="O109" s="15">
</c>
      <c r="P109" s="15" cm="1" t="str">
        <f t="array" ref="P109">IF(C109="","",IF(OR(O109="",O109=0),"-",O109))</f>
        <v>-</v>
      </c>
      <c r="Q109" s="16">
        <v>0</v>
      </c>
      <c r="R109" s="16" cm="1" t="str">
        <f t="array" ref="R109">IF(C109="","",ROUND(Q109/1000000,3)&amp;" M€")</f>
        <v>0 M€</v>
      </c>
      <c r="S109" s="12" t="s">
        <v>216</v>
      </c>
      <c r="T109" s="9" cm="1" t="str">
        <f t="array" ref="T109">IF(C109="","",SUBSTITUTE(S109,"","")&amp;"%")</f>
        <v>10%</v>
      </c>
      <c r="U109" s="14" cm="1" t="str">
        <f t="array" ref="U109">IF(($N109="")*($P109=""),"",IF(($N109&lt;&gt;"")*($N109&gt;TODAY()-9)*($N109&lt;TODAY()+1)*($P109&lt;&gt;"")*($P109&gt;=TODAY())*($P109&lt;=TODAY()+13),"Semaine passée &amp; à venir",IF(($N109&lt;&gt;"")*($N109&gt;TODAY()-9)*($N109&lt;TODAY()+1),"Semaine passée",IF(($P109&lt;&gt;"")*($P109&gt;=TODAY())*($P109&lt;=TODAY()+13),"À venir","Autre"))))</f>
        <v>Autre</v>
      </c>
      <c r="V109" s="8" cm="1" t="n">
        <f t="array" ref="V109">IF(C109&lt;&gt;"",1,0)</f>
        <v>1</v>
      </c>
      <c r="W109" s="8">
</c>
      <c r="X109" s="8">
</c>
      <c r="Y109" s="8">
</c>
      <c r="Z109" s="8">
</c>
      <c r="AA109" s="8">
</c>
      <c r="AB109" s="8">
</c>
      <c r="AC109" s="8">
</c>
      <c r="AD109" s="8">
</c>
      <c r="AE109" s="8">
</c>
      <c r="AF109" s="8">
</c>
      <c r="AG109" s="8">
</c>
      <c r="AH109" s="8">
</c>
      <c r="AI109" s="8">
</c>
      <c r="AJ109" s="8">
</c>
      <c r="AK109" s="8">
</c>
    </row>
    <row r="110" ht="76.5" customHeight="1">
      <c r="A110" s="9" t="s">
        <v>23</v>
      </c>
      <c r="B110" s="9" t="s">
        <v>24</v>
      </c>
      <c r="C110" s="12" t="s">
        <v>401</v>
      </c>
      <c r="D110" s="12" t="s">
        <v>402</v>
      </c>
      <c r="E110" s="9" t="s">
        <v>27</v>
      </c>
      <c r="F110" s="8" t="s">
        <v>403</v>
      </c>
      <c r="G110" s="13" cm="1" t="str">
        <f t="array" ref="G110">IF(F110="","",SUBSTITUTE(SUBSTITUTE(SUBSTITUTE(SUBSTITUTE(F110,"&lt;li&gt;",CHAR(10)),"&lt;/li&gt;",""),"&lt;br&gt;",CHAR(10)),"&lt;strong&gt;",""))</f>
        <v>&lt;p&gt;13/01/2026 : deck envoyé, à alimenter en 2026. Lead créé pour équipe Ventes. Tentative d'enrichissement échouée (email non valide). Aucune activité ni échange prospect identifié depuis, pas de retour ni prochaine étape précisée. Suivi à relancer ou compléter.&lt;/p&gt;</v>
      </c>
      <c r="H110" s="13" cm="1" t="str">
        <f t="array" ref="H110">IF(G110="","",SUBSTITUTE(SUBSTITUTE(SUBSTITUTE(SUBSTITUTE(SUBSTITUTE(G110,"&lt;p&gt;",""),"&lt;/p&gt;",""),"&lt;ul&gt;",""),"&lt;/ul&gt;",""),"&lt;/strong&gt;",""))</f>
        <v>13/01/2026 : deck envoyé, à alimenter en 2026. Lead créé pour équipe Ventes. Tentative d'enrichissement échouée (email non valide). Aucune activité ni échange prospect identifié depuis, pas de retour ni prochaine étape précisée. Suivi à relancer ou compléter.</v>
      </c>
      <c r="I110" s="14" cm="1" t="str">
        <f t="array" ref="I110">IF(C110="","",IF(OR(H110="",H110=0,H110=FALSE),"-",H110))</f>
        <v>13/01/2026 : deck envoyé, à alimenter en 2026. Lead créé pour équipe Ventes. Tentative d'enrichissement échouée (email non valide). Aucune activité ni échange prospect identifié depuis, pas de retour ni prochaine étape précisée. Suivi à relancer ou compléter.</v>
      </c>
      <c r="J110" s="8">
</c>
      <c r="K110" s="8" t="s">
        <v>53</v>
      </c>
      <c r="L110" s="9" cm="1" t="str">
        <f t="array" ref="L110">IF(C110="","",IF(K110="Mort / Plus rien à faire","KO","OK"))</f>
        <v>OK</v>
      </c>
      <c r="M110" s="15">
        <v>46064.51675925926</v>
      </c>
      <c r="N110" s="15" cm="1" t="n">
        <f t="array" ref="N110">IF(OR(C110="",M110="",M110=0),"",M110)</f>
        <v>46064.51675925926</v>
      </c>
      <c r="O110" s="15">
</c>
      <c r="P110" s="15" cm="1" t="str">
        <f t="array" ref="P110">IF(C110="","",IF(OR(O110="",O110=0),"-",O110))</f>
        <v>-</v>
      </c>
      <c r="Q110" s="16">
        <v>2000000</v>
      </c>
      <c r="R110" s="16" cm="1" t="str">
        <f t="array" ref="R110">IF(C110="","",ROUND(Q110/1000000,3)&amp;" M€")</f>
        <v>2 M€</v>
      </c>
      <c r="S110" s="12" t="s">
        <v>216</v>
      </c>
      <c r="T110" s="9" cm="1" t="str">
        <f t="array" ref="T110">IF(C110="","",SUBSTITUTE(S110,"","")&amp;"%")</f>
        <v>10%</v>
      </c>
      <c r="U110" s="14" cm="1" t="str">
        <f t="array" ref="U110">IF(($N110="")*($P110=""),"",IF(($N110&lt;&gt;"")*($N110&gt;TODAY()-9)*($N110&lt;TODAY()+1)*($P110&lt;&gt;"")*($P110&gt;=TODAY())*($P110&lt;=TODAY()+13),"Semaine passée &amp; à venir",IF(($N110&lt;&gt;"")*($N110&gt;TODAY()-9)*($N110&lt;TODAY()+1),"Semaine passée",IF(($P110&lt;&gt;"")*($P110&gt;=TODAY())*($P110&lt;=TODAY()+13),"À venir","Autre"))))</f>
        <v>Autre</v>
      </c>
      <c r="V110" s="8" cm="1" t="n">
        <f t="array" ref="V110">IF(C110&lt;&gt;"",1,0)</f>
        <v>1</v>
      </c>
      <c r="W110" s="8">
</c>
      <c r="X110" s="8">
</c>
      <c r="Y110" s="8">
</c>
      <c r="Z110" s="8">
</c>
      <c r="AA110" s="8">
</c>
      <c r="AB110" s="8">
</c>
      <c r="AC110" s="8">
</c>
      <c r="AD110" s="8">
</c>
      <c r="AE110" s="8">
</c>
      <c r="AF110" s="8">
</c>
      <c r="AG110" s="8">
</c>
      <c r="AH110" s="8">
</c>
      <c r="AI110" s="8">
</c>
      <c r="AJ110" s="8">
</c>
      <c r="AK110" s="8">
</c>
    </row>
    <row r="111" ht="76.5" customHeight="1">
      <c r="A111" s="9" t="s">
        <v>23</v>
      </c>
      <c r="B111" s="9" t="s">
        <v>76</v>
      </c>
      <c r="C111" s="12" t="s">
        <v>404</v>
      </c>
      <c r="D111" s="12" t="s">
        <v>404</v>
      </c>
      <c r="E111" s="9" t="s">
        <v>27</v>
      </c>
      <c r="F111" s="8" t="s">
        <v>405</v>
      </c>
      <c r="G111" s="13" cm="1" t="str">
        <f t="array" ref="G111">IF(F111="","",SUBSTITUTE(SUBSTITUTE(SUBSTITUTE(SUBSTITUTE(F111,"&lt;li&gt;",CHAR(10)),"&lt;/li&gt;",""),"&lt;br&gt;",CHAR(10)),"&lt;strong&gt;",""))</f>
        <v>&lt;p&gt;Piste créée équipe Ventes. Pas d'enrichissement société via email. RDV physique prévu fin d'année après vente 300 ha à Reims (apple entrant STRATON). Aucun retour prospect sur fonds présenté. Prochaine étape : RDV 2 fin d'année. Pas d'autres actions ou retours notables à date.&lt;/p&gt;</v>
      </c>
      <c r="H111" s="13" cm="1" t="str">
        <f t="array" ref="H111">IF(G111="","",SUBSTITUTE(SUBSTITUTE(SUBSTITUTE(SUBSTITUTE(SUBSTITUTE(G111,"&lt;p&gt;",""),"&lt;/p&gt;",""),"&lt;ul&gt;",""),"&lt;/ul&gt;",""),"&lt;/strong&gt;",""))</f>
        <v>Piste créée équipe Ventes. Pas d'enrichissement société via email. RDV physique prévu fin d'année après vente 300 ha à Reims (apple entrant STRATON). Aucun retour prospect sur fonds présenté. Prochaine étape : RDV 2 fin d'année. Pas d'autres actions ou retours notables à date.</v>
      </c>
      <c r="I111" s="14" cm="1" t="str">
        <f t="array" ref="I111">IF(C111="","",IF(OR(H111="",H111=0,H111=FALSE),"-",H111))</f>
        <v>Piste créée équipe Ventes. Pas d'enrichissement société via email. RDV physique prévu fin d'année après vente 300 ha à Reims (apple entrant STRATON). Aucun retour prospect sur fonds présenté. Prochaine étape : RDV 2 fin d'année. Pas d'autres actions ou retours notables à date.</v>
      </c>
      <c r="J111" s="8" t="s">
        <v>406</v>
      </c>
      <c r="K111" s="8" t="s">
        <v>106</v>
      </c>
      <c r="L111" s="9" cm="1" t="str">
        <f t="array" ref="L111">IF(C111="","",IF(K111="Mort / Plus rien à faire","KO","OK"))</f>
        <v>OK</v>
      </c>
      <c r="M111" s="15">
        <v>46125.59150462963</v>
      </c>
      <c r="N111" s="15" cm="1" t="n">
        <f t="array" ref="N111">IF(OR(C111="",M111="",M111=0),"",M111)</f>
        <v>46125.59150462963</v>
      </c>
      <c r="O111" s="15">
        <v>46329.041666666664</v>
      </c>
      <c r="P111" s="15" cm="1" t="n">
        <f t="array" ref="P111">IF(C111="","",IF(OR(O111="",O111=0),"-",O111))</f>
        <v>46329.041666666664</v>
      </c>
      <c r="Q111" s="16">
        <v>100000</v>
      </c>
      <c r="R111" s="16" cm="1" t="str">
        <f t="array" ref="R111">IF(C111="","",ROUND(Q111/1000000,3)&amp;" M€")</f>
        <v>0.1 M€</v>
      </c>
      <c r="S111" s="12" t="s">
        <v>216</v>
      </c>
      <c r="T111" s="9" cm="1" t="str">
        <f t="array" ref="T111">IF(C111="","",SUBSTITUTE(S111,"","")&amp;"%")</f>
        <v>10%</v>
      </c>
      <c r="U111" s="14" cm="1" t="str">
        <f t="array" ref="U111">IF(($N111="")*($P111=""),"",IF(($N111&lt;&gt;"")*($N111&gt;TODAY()-9)*($N111&lt;TODAY()+1)*($P111&lt;&gt;"")*($P111&gt;=TODAY())*($P111&lt;=TODAY()+13),"Semaine passée &amp; à venir",IF(($N111&lt;&gt;"")*($N111&gt;TODAY()-9)*($N111&lt;TODAY()+1),"Semaine passée",IF(($P111&lt;&gt;"")*($P111&gt;=TODAY())*($P111&lt;=TODAY()+13),"À venir","Autre"))))</f>
        <v>Autre</v>
      </c>
      <c r="V111" s="8" cm="1" t="n">
        <f t="array" ref="V111">IF(C111&lt;&gt;"",1,0)</f>
        <v>1</v>
      </c>
      <c r="W111" s="8">
</c>
      <c r="X111" s="8">
</c>
      <c r="Y111" s="8">
</c>
      <c r="Z111" s="8">
</c>
      <c r="AA111" s="8">
</c>
      <c r="AB111" s="8">
</c>
      <c r="AC111" s="8">
</c>
      <c r="AD111" s="8">
</c>
      <c r="AE111" s="8">
</c>
      <c r="AF111" s="8">
</c>
      <c r="AG111" s="8">
</c>
      <c r="AH111" s="8">
</c>
      <c r="AI111" s="8">
</c>
      <c r="AJ111" s="8">
</c>
      <c r="AK111" s="8">
</c>
    </row>
    <row r="112" ht="76.5" customHeight="1">
      <c r="A112" s="9" t="s">
        <v>23</v>
      </c>
      <c r="B112" s="9" t="s">
        <v>260</v>
      </c>
      <c r="C112" s="12" t="s">
        <v>407</v>
      </c>
      <c r="D112" s="12" t="s">
        <v>408</v>
      </c>
      <c r="E112" s="9" t="s">
        <v>78</v>
      </c>
      <c r="F112" s="8" t="s">
        <v>409</v>
      </c>
      <c r="G112" s="13" cm="1" t="str">
        <f t="array" ref="G112">IF(F112="","",SUBSTITUTE(SUBSTITUTE(SUBSTITUTE(SUBSTITUTE(F112,"&lt;li&gt;",CHAR(10)),"&lt;/li&gt;",""),"&lt;br&gt;",CHAR(10)),"&lt;strong&gt;",""))</f>
        <v>&lt;p&gt;Contact relancé après clôture véhicule Constellation, proposition de présentation d’un nouveau fonds PME défense (objectif 100 M€, investisseurs institutionnels et privés, premier closing 10-12 M€ imminent). Invitation à échanger sur opportunité, opération d’investissement prévue sous peu. Pas de retour prospect encore.&lt;/p&gt;</v>
      </c>
      <c r="H112" s="13" cm="1" t="str">
        <f t="array" ref="H112">IF(G112="","",SUBSTITUTE(SUBSTITUTE(SUBSTITUTE(SUBSTITUTE(SUBSTITUTE(G112,"&lt;p&gt;",""),"&lt;/p&gt;",""),"&lt;ul&gt;",""),"&lt;/ul&gt;",""),"&lt;/strong&gt;",""))</f>
        <v>Contact relancé après clôture véhicule Constellation, proposition de présentation d’un nouveau fonds PME défense (objectif 100 M€, investisseurs institutionnels et privés, premier closing 10-12 M€ imminent). Invitation à échanger sur opportunité, opération d’investissement prévue sous peu. Pas de retour prospect encore.</v>
      </c>
      <c r="I112" s="14" cm="1" t="str">
        <f t="array" ref="I112">IF(C112="","",IF(OR(H112="",H112=0,H112=FALSE),"-",H112))</f>
        <v>Contact relancé après clôture véhicule Constellation, proposition de présentation d’un nouveau fonds PME défense (objectif 100 M€, investisseurs institutionnels et privés, premier closing 10-12 M€ imminent). Invitation à échanger sur opportunité, opération d’investissement prévue sous peu. Pas de retour prospect encore.</v>
      </c>
      <c r="J112" s="8">
</c>
      <c r="K112" s="8" t="s">
        <v>203</v>
      </c>
      <c r="L112" s="9" cm="1" t="str">
        <f t="array" ref="L112">IF(C112="","",IF(K112="Mort / Plus rien à faire","KO","OK"))</f>
        <v>OK</v>
      </c>
      <c r="M112" s="15">
        <v>46162.42958333333</v>
      </c>
      <c r="N112" s="15" cm="1" t="n">
        <f t="array" ref="N112">IF(OR(C112="",M112="",M112=0),"",M112)</f>
        <v>46162.42958333333</v>
      </c>
      <c r="O112" s="15">
</c>
      <c r="P112" s="15" cm="1" t="str">
        <f t="array" ref="P112">IF(C112="","",IF(OR(O112="",O112=0),"-",O112))</f>
        <v>-</v>
      </c>
      <c r="Q112" s="16">
        <v>0</v>
      </c>
      <c r="R112" s="16" cm="1" t="str">
        <f t="array" ref="R112">IF(C112="","",ROUND(Q112/1000000,3)&amp;" M€")</f>
        <v>0 M€</v>
      </c>
      <c r="S112" s="12" t="s">
        <v>216</v>
      </c>
      <c r="T112" s="9" cm="1" t="str">
        <f t="array" ref="T112">IF(C112="","",SUBSTITUTE(S112,"","")&amp;"%")</f>
        <v>10%</v>
      </c>
      <c r="U112" s="14" cm="1" t="str">
        <f t="array" ref="U112">IF(($N112="")*($P112=""),"",IF(($N112&lt;&gt;"")*($N112&gt;TODAY()-9)*($N112&lt;TODAY()+1)*($P112&lt;&gt;"")*($P112&gt;=TODAY())*($P112&lt;=TODAY()+13),"Semaine passée &amp; à venir",IF(($N112&lt;&gt;"")*($N112&gt;TODAY()-9)*($N112&lt;TODAY()+1),"Semaine passée",IF(($P112&lt;&gt;"")*($P112&gt;=TODAY())*($P112&lt;=TODAY()+13),"À venir","Autre"))))</f>
        <v>Autre</v>
      </c>
      <c r="V112" s="8" cm="1" t="n">
        <f t="array" ref="V112">IF(C112&lt;&gt;"",1,0)</f>
        <v>1</v>
      </c>
      <c r="W112" s="8">
</c>
      <c r="X112" s="8">
</c>
      <c r="Y112" s="8">
</c>
      <c r="Z112" s="8">
</c>
      <c r="AA112" s="8">
</c>
      <c r="AB112" s="8">
</c>
      <c r="AC112" s="8">
</c>
      <c r="AD112" s="8">
</c>
      <c r="AE112" s="8">
</c>
      <c r="AF112" s="8">
</c>
      <c r="AG112" s="8">
</c>
      <c r="AH112" s="8">
</c>
      <c r="AI112" s="8">
</c>
      <c r="AJ112" s="8">
</c>
      <c r="AK112" s="8">
</c>
    </row>
    <row r="113" ht="76.5" customHeight="1">
      <c r="A113" s="9" t="s">
        <v>23</v>
      </c>
      <c r="B113" s="9" t="s">
        <v>260</v>
      </c>
      <c r="C113" s="12" t="s">
        <v>410</v>
      </c>
      <c r="D113" s="12" t="s">
        <v>411</v>
      </c>
      <c r="E113" s="9" t="s">
        <v>78</v>
      </c>
      <c r="F113" s="8" t="s">
        <v>412</v>
      </c>
      <c r="G113" s="13" cm="1" t="str">
        <f t="array" ref="G113">IF(F113="","",SUBSTITUTE(SUBSTITUTE(SUBSTITUTE(SUBSTITUTE(F113,"&lt;li&gt;",CHAR(10)),"&lt;/li&gt;",""),"&lt;br&gt;",CHAR(10)),"&lt;strong&gt;",""))</f>
        <v>&lt;p&gt;Contact initié pour présenter un nouveau fonds PME défense (objectif 100 M€, investisseurs institutionnels et privés, closing technique 10-12 M€ prévu sous peu). Proposition de rendez-vous pour détailler le projet et évoquer une première opération sur la guerre électronique. En attente retour prospect.&lt;/p&gt;</v>
      </c>
      <c r="H113" s="13" cm="1" t="str">
        <f t="array" ref="H113">IF(G113="","",SUBSTITUTE(SUBSTITUTE(SUBSTITUTE(SUBSTITUTE(SUBSTITUTE(G113,"&lt;p&gt;",""),"&lt;/p&gt;",""),"&lt;ul&gt;",""),"&lt;/ul&gt;",""),"&lt;/strong&gt;",""))</f>
        <v>Contact initié pour présenter un nouveau fonds PME défense (objectif 100 M€, investisseurs institutionnels et privés, closing technique 10-12 M€ prévu sous peu). Proposition de rendez-vous pour détailler le projet et évoquer une première opération sur la guerre électronique. En attente retour prospect.</v>
      </c>
      <c r="I113" s="14" cm="1" t="str">
        <f t="array" ref="I113">IF(C113="","",IF(OR(H113="",H113=0,H113=FALSE),"-",H113))</f>
        <v>Contact initié pour présenter un nouveau fonds PME défense (objectif 100 M€, investisseurs institutionnels et privés, closing technique 10-12 M€ prévu sous peu). Proposition de rendez-vous pour détailler le projet et évoquer une première opération sur la guerre électronique. En attente retour prospect.</v>
      </c>
      <c r="J113" s="8">
</c>
      <c r="K113" s="8" t="s">
        <v>203</v>
      </c>
      <c r="L113" s="9" cm="1" t="str">
        <f t="array" ref="L113">IF(C113="","",IF(K113="Mort / Plus rien à faire","KO","OK"))</f>
        <v>OK</v>
      </c>
      <c r="M113" s="15">
        <v>46162.62631944445</v>
      </c>
      <c r="N113" s="15" cm="1" t="n">
        <f t="array" ref="N113">IF(OR(C113="",M113="",M113=0),"",M113)</f>
        <v>46162.62631944445</v>
      </c>
      <c r="O113" s="15">
</c>
      <c r="P113" s="15" cm="1" t="str">
        <f t="array" ref="P113">IF(C113="","",IF(OR(O113="",O113=0),"-",O113))</f>
        <v>-</v>
      </c>
      <c r="Q113" s="16">
        <v>0</v>
      </c>
      <c r="R113" s="16" cm="1" t="str">
        <f t="array" ref="R113">IF(C113="","",ROUND(Q113/1000000,3)&amp;" M€")</f>
        <v>0 M€</v>
      </c>
      <c r="S113" s="12" t="s">
        <v>216</v>
      </c>
      <c r="T113" s="9" cm="1" t="str">
        <f t="array" ref="T113">IF(C113="","",SUBSTITUTE(S113,"","")&amp;"%")</f>
        <v>10%</v>
      </c>
      <c r="U113" s="14" cm="1" t="str">
        <f t="array" ref="U113">IF(($N113="")*($P113=""),"",IF(($N113&lt;&gt;"")*($N113&gt;TODAY()-9)*($N113&lt;TODAY()+1)*($P113&lt;&gt;"")*($P113&gt;=TODAY())*($P113&lt;=TODAY()+13),"Semaine passée &amp; à venir",IF(($N113&lt;&gt;"")*($N113&gt;TODAY()-9)*($N113&lt;TODAY()+1),"Semaine passée",IF(($P113&lt;&gt;"")*($P113&gt;=TODAY())*($P113&lt;=TODAY()+13),"À venir","Autre"))))</f>
        <v>Autre</v>
      </c>
      <c r="V113" s="8" cm="1" t="n">
        <f t="array" ref="V113">IF(C113&lt;&gt;"",1,0)</f>
        <v>1</v>
      </c>
      <c r="W113" s="8">
</c>
      <c r="X113" s="8">
</c>
      <c r="Y113" s="8">
</c>
      <c r="Z113" s="8">
</c>
      <c r="AA113" s="8">
</c>
      <c r="AB113" s="8">
</c>
      <c r="AC113" s="8">
</c>
      <c r="AD113" s="8">
</c>
      <c r="AE113" s="8">
</c>
      <c r="AF113" s="8">
</c>
      <c r="AG113" s="8">
</c>
      <c r="AH113" s="8">
</c>
      <c r="AI113" s="8">
</c>
      <c r="AJ113" s="8">
</c>
      <c r="AK113" s="8">
</c>
    </row>
    <row r="114" ht="76.5" customHeight="1">
      <c r="A114" s="9" t="s">
        <v>23</v>
      </c>
      <c r="B114" s="9" t="s">
        <v>76</v>
      </c>
      <c r="C114" s="12" t="s">
        <v>413</v>
      </c>
      <c r="D114" s="12" t="s">
        <v>413</v>
      </c>
      <c r="E114" s="9" t="s">
        <v>78</v>
      </c>
      <c r="F114" s="8" t="s">
        <v>414</v>
      </c>
      <c r="G114" s="13" cm="1" t="str">
        <f t="array" ref="G114">IF(F114="","",SUBSTITUTE(SUBSTITUTE(SUBSTITUTE(SUBSTITUTE(F114,"&lt;li&gt;",CHAR(10)),"&lt;/li&gt;",""),"&lt;br&gt;",CHAR(10)),"&lt;strong&gt;",""))</f>
        <v>&lt;p&gt;Mail envoyé au prospect pour présenter un nouveau fonds PME défense (objectif 100 M€, investisseurs institutionnels et privés, premier closing 10-12 M€ imminent). Proposition de rendez-vous pour détailler l'opération et évoquer une première cible en guerre électronique. Pas de retour ni action prospect à date.&lt;/p&gt;</v>
      </c>
      <c r="H114" s="13" cm="1" t="str">
        <f t="array" ref="H114">IF(G114="","",SUBSTITUTE(SUBSTITUTE(SUBSTITUTE(SUBSTITUTE(SUBSTITUTE(G114,"&lt;p&gt;",""),"&lt;/p&gt;",""),"&lt;ul&gt;",""),"&lt;/ul&gt;",""),"&lt;/strong&gt;",""))</f>
        <v>Mail envoyé au prospect pour présenter un nouveau fonds PME défense (objectif 100 M€, investisseurs institutionnels et privés, premier closing 10-12 M€ imminent). Proposition de rendez-vous pour détailler l'opération et évoquer une première cible en guerre électronique. Pas de retour ni action prospect à date.</v>
      </c>
      <c r="I114" s="14" cm="1" t="str">
        <f t="array" ref="I114">IF(C114="","",IF(OR(H114="",H114=0,H114=FALSE),"-",H114))</f>
        <v>Mail envoyé au prospect pour présenter un nouveau fonds PME défense (objectif 100 M€, investisseurs institutionnels et privés, premier closing 10-12 M€ imminent). Proposition de rendez-vous pour détailler l'opération et évoquer une première cible en guerre électronique. Pas de retour ni action prospect à date.</v>
      </c>
      <c r="J114" s="8">
</c>
      <c r="K114" s="8" t="s">
        <v>203</v>
      </c>
      <c r="L114" s="9" cm="1" t="str">
        <f t="array" ref="L114">IF(C114="","",IF(K114="Mort / Plus rien à faire","KO","OK"))</f>
        <v>OK</v>
      </c>
      <c r="M114" s="15">
        <v>46162.42408564815</v>
      </c>
      <c r="N114" s="15" cm="1" t="n">
        <f t="array" ref="N114">IF(OR(C114="",M114="",M114=0),"",M114)</f>
        <v>46162.42408564815</v>
      </c>
      <c r="O114" s="15">
</c>
      <c r="P114" s="15" cm="1" t="str">
        <f t="array" ref="P114">IF(C114="","",IF(OR(O114="",O114=0),"-",O114))</f>
        <v>-</v>
      </c>
      <c r="Q114" s="16">
        <v>0</v>
      </c>
      <c r="R114" s="16" cm="1" t="str">
        <f t="array" ref="R114">IF(C114="","",ROUND(Q114/1000000,3)&amp;" M€")</f>
        <v>0 M€</v>
      </c>
      <c r="S114" s="12" t="s">
        <v>216</v>
      </c>
      <c r="T114" s="9" cm="1" t="str">
        <f t="array" ref="T114">IF(C114="","",SUBSTITUTE(S114,"","")&amp;"%")</f>
        <v>10%</v>
      </c>
      <c r="U114" s="14" cm="1" t="str">
        <f t="array" ref="U114">IF(($N114="")*($P114=""),"",IF(($N114&lt;&gt;"")*($N114&gt;TODAY()-9)*($N114&lt;TODAY()+1)*($P114&lt;&gt;"")*($P114&gt;=TODAY())*($P114&lt;=TODAY()+13),"Semaine passée &amp; à venir",IF(($N114&lt;&gt;"")*($N114&gt;TODAY()-9)*($N114&lt;TODAY()+1),"Semaine passée",IF(($P114&lt;&gt;"")*($P114&gt;=TODAY())*($P114&lt;=TODAY()+13),"À venir","Autre"))))</f>
        <v>Autre</v>
      </c>
      <c r="V114" s="8" cm="1" t="n">
        <f t="array" ref="V114">IF(C114&lt;&gt;"",1,0)</f>
        <v>1</v>
      </c>
      <c r="W114" s="8">
</c>
      <c r="X114" s="8">
</c>
      <c r="Y114" s="8">
</c>
      <c r="Z114" s="8">
</c>
      <c r="AA114" s="8">
</c>
      <c r="AB114" s="8">
</c>
      <c r="AC114" s="8">
</c>
      <c r="AD114" s="8">
</c>
      <c r="AE114" s="8">
</c>
      <c r="AF114" s="8">
</c>
      <c r="AG114" s="8">
</c>
      <c r="AH114" s="8">
</c>
      <c r="AI114" s="8">
</c>
      <c r="AJ114" s="8">
</c>
      <c r="AK114" s="8">
</c>
    </row>
    <row r="115" ht="76.5" customHeight="1">
      <c r="A115" s="9" t="s">
        <v>23</v>
      </c>
      <c r="B115" s="9" t="s">
        <v>76</v>
      </c>
      <c r="C115" s="12" t="s">
        <v>415</v>
      </c>
      <c r="D115" s="12" t="s">
        <v>415</v>
      </c>
      <c r="E115" s="9" t="s">
        <v>78</v>
      </c>
      <c r="F115" s="8" t="s">
        <v>416</v>
      </c>
      <c r="G115" s="13" cm="1" t="str">
        <f t="array" ref="G115">IF(F115="","",SUBSTITUTE(SUBSTITUTE(SUBSTITUTE(SUBSTITUTE(F115,"&lt;li&gt;",CHAR(10)),"&lt;/li&gt;",""),"&lt;br&gt;",CHAR(10)),"&lt;strong&gt;",""))</f>
        <v>&lt;p&gt;Contact post-clôture véhicule Constellation, proposition nouveau fonds PME défense (objectif 100 M€, investisseurs institutionnels et privés), closing technique prévu 10-12 M€ prochaines semaines, 1ère opération imminente sur guerre électronique, demande de RDV envoyée, attente retour prospect.&lt;/p&gt;</v>
      </c>
      <c r="H115" s="13" cm="1" t="str">
        <f t="array" ref="H115">IF(G115="","",SUBSTITUTE(SUBSTITUTE(SUBSTITUTE(SUBSTITUTE(SUBSTITUTE(G115,"&lt;p&gt;",""),"&lt;/p&gt;",""),"&lt;ul&gt;",""),"&lt;/ul&gt;",""),"&lt;/strong&gt;",""))</f>
        <v>Contact post-clôture véhicule Constellation, proposition nouveau fonds PME défense (objectif 100 M€, investisseurs institutionnels et privés), closing technique prévu 10-12 M€ prochaines semaines, 1ère opération imminente sur guerre électronique, demande de RDV envoyée, attente retour prospect.</v>
      </c>
      <c r="I115" s="14" cm="1" t="str">
        <f t="array" ref="I115">IF(C115="","",IF(OR(H115="",H115=0,H115=FALSE),"-",H115))</f>
        <v>Contact post-clôture véhicule Constellation, proposition nouveau fonds PME défense (objectif 100 M€, investisseurs institutionnels et privés), closing technique prévu 10-12 M€ prochaines semaines, 1ère opération imminente sur guerre électronique, demande de RDV envoyée, attente retour prospect.</v>
      </c>
      <c r="J115" s="8">
</c>
      <c r="K115" s="8" t="s">
        <v>203</v>
      </c>
      <c r="L115" s="9" cm="1" t="str">
        <f t="array" ref="L115">IF(C115="","",IF(K115="Mort / Plus rien à faire","KO","OK"))</f>
        <v>OK</v>
      </c>
      <c r="M115" s="15">
        <v>46162.431493055556</v>
      </c>
      <c r="N115" s="15" cm="1" t="n">
        <f t="array" ref="N115">IF(OR(C115="",M115="",M115=0),"",M115)</f>
        <v>46162.431493055556</v>
      </c>
      <c r="O115" s="15">
</c>
      <c r="P115" s="15" cm="1" t="str">
        <f t="array" ref="P115">IF(C115="","",IF(OR(O115="",O115=0),"-",O115))</f>
        <v>-</v>
      </c>
      <c r="Q115" s="16">
        <v>0</v>
      </c>
      <c r="R115" s="16" cm="1" t="str">
        <f t="array" ref="R115">IF(C115="","",ROUND(Q115/1000000,3)&amp;" M€")</f>
        <v>0 M€</v>
      </c>
      <c r="S115" s="12" t="s">
        <v>216</v>
      </c>
      <c r="T115" s="9" cm="1" t="str">
        <f t="array" ref="T115">IF(C115="","",SUBSTITUTE(S115,"","")&amp;"%")</f>
        <v>10%</v>
      </c>
      <c r="U115" s="14" cm="1" t="str">
        <f t="array" ref="U115">IF(($N115="")*($P115=""),"",IF(($N115&lt;&gt;"")*($N115&gt;TODAY()-9)*($N115&lt;TODAY()+1)*($P115&lt;&gt;"")*($P115&gt;=TODAY())*($P115&lt;=TODAY()+13),"Semaine passée &amp; à venir",IF(($N115&lt;&gt;"")*($N115&gt;TODAY()-9)*($N115&lt;TODAY()+1),"Semaine passée",IF(($P115&lt;&gt;"")*($P115&gt;=TODAY())*($P115&lt;=TODAY()+13),"À venir","Autre"))))</f>
        <v>Autre</v>
      </c>
      <c r="V115" s="8" cm="1" t="n">
        <f t="array" ref="V115">IF(C115&lt;&gt;"",1,0)</f>
        <v>1</v>
      </c>
      <c r="W115" s="8">
</c>
      <c r="X115" s="8">
</c>
      <c r="Y115" s="8">
</c>
      <c r="Z115" s="8">
</c>
      <c r="AA115" s="8">
</c>
      <c r="AB115" s="8">
</c>
      <c r="AC115" s="8">
</c>
      <c r="AD115" s="8">
</c>
      <c r="AE115" s="8">
</c>
      <c r="AF115" s="8">
</c>
      <c r="AG115" s="8">
</c>
      <c r="AH115" s="8">
</c>
      <c r="AI115" s="8">
</c>
      <c r="AJ115" s="8">
</c>
      <c r="AK115" s="8">
</c>
    </row>
    <row r="116" ht="76.5" customHeight="1">
      <c r="A116" s="9" t="s">
        <v>23</v>
      </c>
      <c r="B116" s="9" t="s">
        <v>40</v>
      </c>
      <c r="C116" s="12" t="s">
        <v>417</v>
      </c>
      <c r="D116" s="12" t="s">
        <v>418</v>
      </c>
      <c r="E116" s="9" t="s">
        <v>43</v>
      </c>
      <c r="F116" s="8" t="s">
        <v>419</v>
      </c>
      <c r="G116" s="13" cm="1" t="str">
        <f t="array" ref="G116">IF(F116="","",SUBSTITUTE(SUBSTITUTE(SUBSTITUTE(SUBSTITUTE(F116,"&lt;li&gt;",CHAR(10)),"&lt;/li&gt;",""),"&lt;br&gt;",CHAR(10)),"&lt;strong&gt;",""))</f>
        <v>&lt;p data-oe-version="2.0"&gt;03/02/2026: KO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v>
      </c>
      <c r="H116" s="13" cm="1" t="str">
        <f t="array" ref="H116">IF(G116="","",SUBSTITUTE(SUBSTITUTE(SUBSTITUTE(SUBSTITUTE(SUBSTITUTE(G116,"&lt;p&gt;",""),"&lt;/p&gt;",""),"&lt;ul&gt;",""),"&lt;/ul&gt;",""),"&lt;/strong&gt;",""))</f>
        <v>&lt;p data-oe-version="2.0"&gt;03/02/2026: KO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I116" s="14" cm="1" t="str">
        <f t="array" ref="I116">IF(C116="","",IF(OR(H116="",H116=0,H116=FALSE),"-",H116))</f>
        <v>&lt;p data-oe-version="2.0"&gt;03/02/2026: KO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J116" s="8">
</c>
      <c r="K116" s="8" t="s">
        <v>106</v>
      </c>
      <c r="L116" s="9" cm="1" t="str">
        <f t="array" ref="L116">IF(C116="","",IF(K116="Mort / Plus rien à faire","KO","OK"))</f>
        <v>OK</v>
      </c>
      <c r="M116" s="15">
        <v>46161.74487268519</v>
      </c>
      <c r="N116" s="15" cm="1" t="n">
        <f t="array" ref="N116">IF(OR(C116="",M116="",M116=0),"",M116)</f>
        <v>46161.74487268519</v>
      </c>
      <c r="O116" s="15">
</c>
      <c r="P116" s="15" cm="1" t="str">
        <f t="array" ref="P116">IF(C116="","",IF(OR(O116="",O116=0),"-",O116))</f>
        <v>-</v>
      </c>
      <c r="Q116" s="16">
        <v>250000</v>
      </c>
      <c r="R116" s="16" cm="1" t="str">
        <f t="array" ref="R116">IF(C116="","",ROUND(Q116/1000000,3)&amp;" M€")</f>
        <v>0.25 M€</v>
      </c>
      <c r="S116" s="12" t="s">
        <v>216</v>
      </c>
      <c r="T116" s="9" cm="1" t="str">
        <f t="array" ref="T116">IF(C116="","",SUBSTITUTE(S116,"","")&amp;"%")</f>
        <v>10%</v>
      </c>
      <c r="U116" s="14" cm="1" t="str">
        <f t="array" ref="U116">IF(($N116="")*($P116=""),"",IF(($N116&lt;&gt;"")*($N116&gt;TODAY()-9)*($N116&lt;TODAY()+1)*($P116&lt;&gt;"")*($P116&gt;=TODAY())*($P116&lt;=TODAY()+13),"Semaine passée &amp; à venir",IF(($N116&lt;&gt;"")*($N116&gt;TODAY()-9)*($N116&lt;TODAY()+1),"Semaine passée",IF(($P116&lt;&gt;"")*($P116&gt;=TODAY())*($P116&lt;=TODAY()+13),"À venir","Autre"))))</f>
        <v>Autre</v>
      </c>
      <c r="V116" s="8" cm="1" t="n">
        <f t="array" ref="V116">IF(C116&lt;&gt;"",1,0)</f>
        <v>1</v>
      </c>
      <c r="W116" s="8">
</c>
      <c r="X116" s="8">
</c>
      <c r="Y116" s="8">
</c>
      <c r="Z116" s="8">
</c>
      <c r="AA116" s="8">
</c>
      <c r="AB116" s="8">
</c>
      <c r="AC116" s="8">
</c>
      <c r="AD116" s="8">
</c>
      <c r="AE116" s="8">
</c>
      <c r="AF116" s="8">
</c>
      <c r="AG116" s="8">
</c>
      <c r="AH116" s="8">
</c>
      <c r="AI116" s="8">
</c>
      <c r="AJ116" s="8">
</c>
      <c r="AK116" s="8">
</c>
    </row>
    <row r="117" ht="76.5" customHeight="1">
      <c r="A117" s="9" t="s">
        <v>23</v>
      </c>
      <c r="B117" s="9" t="s">
        <v>76</v>
      </c>
      <c r="C117" s="12" t="s">
        <v>420</v>
      </c>
      <c r="D117" s="12" t="s">
        <v>421</v>
      </c>
      <c r="E117" s="9" t="s">
        <v>78</v>
      </c>
      <c r="F117" s="8" t="s">
        <v>422</v>
      </c>
      <c r="G117" s="13" cm="1" t="str">
        <f t="array" ref="G117">IF(F117="","",SUBSTITUTE(SUBSTITUTE(SUBSTITUTE(SUBSTITUTE(F117,"&lt;li&gt;",CHAR(10)),"&lt;/li&gt;",""),"&lt;br&gt;",CHAR(10)),"&lt;strong&gt;",""))</f>
        <v>&lt;p&gt;Nouvelle piste créée pour équipe Ventes. Client évoque remploi possible Straton et géodésie, montant 450K. Pas d'autres actions ou retours prospect mentionnés. Prochaines étapes non précisées, aucune activité future planifiée à ce stade.&lt;/p&gt;</v>
      </c>
      <c r="H117" s="13" cm="1" t="str">
        <f t="array" ref="H117">IF(G117="","",SUBSTITUTE(SUBSTITUTE(SUBSTITUTE(SUBSTITUTE(SUBSTITUTE(G117,"&lt;p&gt;",""),"&lt;/p&gt;",""),"&lt;ul&gt;",""),"&lt;/ul&gt;",""),"&lt;/strong&gt;",""))</f>
        <v>Nouvelle piste créée pour équipe Ventes. Client évoque remploi possible Straton et géodésie, montant 450K. Pas d'autres actions ou retours prospect mentionnés. Prochaines étapes non précisées, aucune activité future planifiée à ce stade.</v>
      </c>
      <c r="I117" s="14" cm="1" t="str">
        <f t="array" ref="I117">IF(C117="","",IF(OR(H117="",H117=0,H117=FALSE),"-",H117))</f>
        <v>Nouvelle piste créée pour équipe Ventes. Client évoque remploi possible Straton et géodésie, montant 450K. Pas d'autres actions ou retours prospect mentionnés. Prochaines étapes non précisées, aucune activité future planifiée à ce stade.</v>
      </c>
      <c r="J117" s="8">
</c>
      <c r="K117" s="8" t="s">
        <v>53</v>
      </c>
      <c r="L117" s="9" cm="1" t="str">
        <f t="array" ref="L117">IF(C117="","",IF(K117="Mort / Plus rien à faire","KO","OK"))</f>
        <v>OK</v>
      </c>
      <c r="M117" s="15">
        <v>46129.708865740744</v>
      </c>
      <c r="N117" s="15" cm="1" t="n">
        <f t="array" ref="N117">IF(OR(C117="",M117="",M117=0),"",M117)</f>
        <v>46129.708865740744</v>
      </c>
      <c r="O117" s="15">
</c>
      <c r="P117" s="15" cm="1" t="str">
        <f t="array" ref="P117">IF(C117="","",IF(OR(O117="",O117=0),"-",O117))</f>
        <v>-</v>
      </c>
      <c r="Q117" s="16">
        <v>450000</v>
      </c>
      <c r="R117" s="16" cm="1" t="str">
        <f t="array" ref="R117">IF(C117="","",ROUND(Q117/1000000,3)&amp;" M€")</f>
        <v>0.45 M€</v>
      </c>
      <c r="S117" s="12" t="s">
        <v>216</v>
      </c>
      <c r="T117" s="9" cm="1" t="str">
        <f t="array" ref="T117">IF(C117="","",SUBSTITUTE(S117,"","")&amp;"%")</f>
        <v>10%</v>
      </c>
      <c r="U117" s="14" cm="1" t="str">
        <f t="array" ref="U117">IF(($N117="")*($P117=""),"",IF(($N117&lt;&gt;"")*($N117&gt;TODAY()-9)*($N117&lt;TODAY()+1)*($P117&lt;&gt;"")*($P117&gt;=TODAY())*($P117&lt;=TODAY()+13),"Semaine passée &amp; à venir",IF(($N117&lt;&gt;"")*($N117&gt;TODAY()-9)*($N117&lt;TODAY()+1),"Semaine passée",IF(($P117&lt;&gt;"")*($P117&gt;=TODAY())*($P117&lt;=TODAY()+13),"À venir","Autre"))))</f>
        <v>Autre</v>
      </c>
      <c r="V117" s="8" cm="1" t="n">
        <f t="array" ref="V117">IF(C117&lt;&gt;"",1,0)</f>
        <v>1</v>
      </c>
      <c r="W117" s="8">
</c>
      <c r="X117" s="8">
</c>
      <c r="Y117" s="8">
</c>
      <c r="Z117" s="8">
</c>
      <c r="AA117" s="8">
</c>
      <c r="AB117" s="8">
</c>
      <c r="AC117" s="8">
</c>
      <c r="AD117" s="8">
</c>
      <c r="AE117" s="8">
</c>
      <c r="AF117" s="8">
</c>
      <c r="AG117" s="8">
</c>
      <c r="AH117" s="8">
</c>
      <c r="AI117" s="8">
</c>
      <c r="AJ117" s="8">
</c>
      <c r="AK117" s="8">
</c>
    </row>
    <row r="118" ht="76.5" customHeight="1">
      <c r="A118" s="9" t="s">
        <v>23</v>
      </c>
      <c r="B118" s="9" t="s">
        <v>63</v>
      </c>
      <c r="C118" s="12" t="s">
        <v>423</v>
      </c>
      <c r="D118" s="12" t="s">
        <v>424</v>
      </c>
      <c r="E118" s="9" t="s">
        <v>43</v>
      </c>
      <c r="F118" s="8" t="s">
        <v>425</v>
      </c>
      <c r="G118" s="13" cm="1" t="str">
        <f t="array" ref="G118">IF(F118="","",SUBSTITUTE(SUBSTITUTE(SUBSTITUTE(SUBSTITUTE(F118,"&lt;li&gt;",CHAR(10)),"&lt;/li&gt;",""),"&lt;br&gt;",CHAR(10)),"&lt;strong&gt;",""))</f>
        <v>&lt;p&gt;Aucune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identifiée.&lt;/p&gt;</v>
      </c>
      <c r="H118" s="13" cm="1" t="str">
        <f t="array" ref="H118">IF(G118="","",SUBSTITUTE(SUBSTITUTE(SUBSTITUTE(SUBSTITUTE(SUBSTITUTE(G118,"&lt;p&gt;",""),"&lt;/p&gt;",""),"&lt;ul&gt;",""),"&lt;/ul&gt;",""),"&lt;/strong&gt;",""))</f>
        <v>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v>
      </c>
      <c r="I118" s="14" cm="1" t="str">
        <f t="array" ref="I118">IF(C118="","",IF(OR(H118="",H118=0,H118=FALSE),"-",H118))</f>
        <v>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v>
      </c>
      <c r="J118" s="8">
</c>
      <c r="K118" s="8" t="s">
        <v>106</v>
      </c>
      <c r="L118" s="9" cm="1" t="str">
        <f t="array" ref="L118">IF(C118="","",IF(K118="Mort / Plus rien à faire","KO","OK"))</f>
        <v>OK</v>
      </c>
      <c r="M118" s="15">
        <v>46126.453877314816</v>
      </c>
      <c r="N118" s="15" cm="1" t="n">
        <f t="array" ref="N118">IF(OR(C118="",M118="",M118=0),"",M118)</f>
        <v>46126.453877314816</v>
      </c>
      <c r="O118" s="15">
</c>
      <c r="P118" s="15" cm="1" t="str">
        <f t="array" ref="P118">IF(C118="","",IF(OR(O118="",O118=0),"-",O118))</f>
        <v>-</v>
      </c>
      <c r="Q118" s="16">
        <v>1000000</v>
      </c>
      <c r="R118" s="16" cm="1" t="str">
        <f t="array" ref="R118">IF(C118="","",ROUND(Q118/1000000,3)&amp;" M€")</f>
        <v>1 M€</v>
      </c>
      <c r="S118" s="12" t="s">
        <v>216</v>
      </c>
      <c r="T118" s="9" cm="1" t="str">
        <f t="array" ref="T118">IF(C118="","",SUBSTITUTE(S118,"","")&amp;"%")</f>
        <v>10%</v>
      </c>
      <c r="U118" s="14" cm="1" t="str">
        <f t="array" ref="U118">IF(($N118="")*($P118=""),"",IF(($N118&lt;&gt;"")*($N118&gt;TODAY()-9)*($N118&lt;TODAY()+1)*($P118&lt;&gt;"")*($P118&gt;=TODAY())*($P118&lt;=TODAY()+13),"Semaine passée &amp; à venir",IF(($N118&lt;&gt;"")*($N118&gt;TODAY()-9)*($N118&lt;TODAY()+1),"Semaine passée",IF(($P118&lt;&gt;"")*($P118&gt;=TODAY())*($P118&lt;=TODAY()+13),"À venir","Autre"))))</f>
        <v>Autre</v>
      </c>
      <c r="V118" s="8" cm="1" t="n">
        <f t="array" ref="V118">IF(C118&lt;&gt;"",1,0)</f>
        <v>1</v>
      </c>
      <c r="W118" s="8">
</c>
      <c r="X118" s="8">
</c>
      <c r="Y118" s="8">
</c>
      <c r="Z118" s="8">
</c>
      <c r="AA118" s="8">
</c>
      <c r="AB118" s="8">
</c>
      <c r="AC118" s="8">
</c>
      <c r="AD118" s="8">
</c>
      <c r="AE118" s="8">
</c>
      <c r="AF118" s="8">
</c>
      <c r="AG118" s="8">
</c>
      <c r="AH118" s="8">
</c>
      <c r="AI118" s="8">
</c>
      <c r="AJ118" s="8">
</c>
      <c r="AK118" s="8">
</c>
    </row>
    <row r="119" ht="76.5" customHeight="1">
      <c r="A119" s="9" t="s">
        <v>23</v>
      </c>
      <c r="B119" s="9" t="s">
        <v>144</v>
      </c>
      <c r="C119" s="12" t="s">
        <v>426</v>
      </c>
      <c r="D119" s="12" t="s">
        <v>427</v>
      </c>
      <c r="E119" s="9" t="s">
        <v>27</v>
      </c>
      <c r="F119" s="8" t="s">
        <v>428</v>
      </c>
      <c r="G119" s="13" cm="1" t="str">
        <f t="array" ref="G119">IF(F119="","",SUBSTITUTE(SUBSTITUTE(SUBSTITUTE(SUBSTITUTE(F119,"&lt;li&gt;",CHAR(10)),"&lt;/li&gt;",""),"&lt;br&gt;",CHAR(10)),"&lt;strong&gt;",""))</f>
        <v>&lt;p&gt;RDV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stade.&lt;/p&gt;</v>
      </c>
      <c r="H119" s="13" cm="1" t="str">
        <f t="array" ref="H119">IF(G119="","",SUBSTITUTE(SUBSTITUTE(SUBSTITUTE(SUBSTITUTE(SUBSTITUTE(G119,"&lt;p&gt;",""),"&lt;/p&gt;",""),"&lt;ul&gt;",""),"&lt;/ul&gt;",""),"&lt;/strong&gt;",""))</f>
        <v>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v>
      </c>
      <c r="I119" s="14" cm="1" t="str">
        <f t="array" ref="I119">IF(C119="","",IF(OR(H119="",H119=0,H119=FALSE),"-",H119))</f>
        <v>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v>
      </c>
      <c r="J119" s="8" t="s">
        <v>429</v>
      </c>
      <c r="K119" s="8" t="s">
        <v>203</v>
      </c>
      <c r="L119" s="9" cm="1" t="str">
        <f t="array" ref="L119">IF(C119="","",IF(K119="Mort / Plus rien à faire","KO","OK"))</f>
        <v>OK</v>
      </c>
      <c r="M119" s="15">
        <v>46129.77217592593</v>
      </c>
      <c r="N119" s="15" cm="1" t="n">
        <f t="array" ref="N119">IF(OR(C119="",M119="",M119=0),"",M119)</f>
        <v>46129.77217592593</v>
      </c>
      <c r="O119" s="15">
</c>
      <c r="P119" s="15" cm="1" t="str">
        <f t="array" ref="P119">IF(C119="","",IF(OR(O119="",O119=0),"-",O119))</f>
        <v>-</v>
      </c>
      <c r="Q119" s="16">
        <v>0</v>
      </c>
      <c r="R119" s="16" cm="1" t="str">
        <f t="array" ref="R119">IF(C119="","",ROUND(Q119/1000000,3)&amp;" M€")</f>
        <v>0 M€</v>
      </c>
      <c r="S119" s="12" t="s">
        <v>216</v>
      </c>
      <c r="T119" s="9" cm="1" t="str">
        <f t="array" ref="T119">IF(C119="","",SUBSTITUTE(S119,"","")&amp;"%")</f>
        <v>10%</v>
      </c>
      <c r="U119" s="14" cm="1" t="str">
        <f t="array" ref="U119">IF(($N119="")*($P119=""),"",IF(($N119&lt;&gt;"")*($N119&gt;TODAY()-9)*($N119&lt;TODAY()+1)*($P119&lt;&gt;"")*($P119&gt;=TODAY())*($P119&lt;=TODAY()+13),"Semaine passée &amp; à venir",IF(($N119&lt;&gt;"")*($N119&gt;TODAY()-9)*($N119&lt;TODAY()+1),"Semaine passée",IF(($P119&lt;&gt;"")*($P119&gt;=TODAY())*($P119&lt;=TODAY()+13),"À venir","Autre"))))</f>
        <v>Autre</v>
      </c>
      <c r="V119" s="8" cm="1" t="n">
        <f t="array" ref="V119">IF(C119&lt;&gt;"",1,0)</f>
        <v>1</v>
      </c>
      <c r="W119" s="8">
</c>
      <c r="X119" s="8">
</c>
      <c r="Y119" s="8">
</c>
      <c r="Z119" s="8">
</c>
      <c r="AA119" s="8">
</c>
      <c r="AB119" s="8">
</c>
      <c r="AC119" s="8">
</c>
      <c r="AD119" s="8">
</c>
      <c r="AE119" s="8">
</c>
      <c r="AF119" s="8">
</c>
      <c r="AG119" s="8">
</c>
      <c r="AH119" s="8">
</c>
      <c r="AI119" s="8">
</c>
      <c r="AJ119" s="8">
</c>
      <c r="AK119" s="8">
</c>
    </row>
    <row r="120" ht="76.5" customHeight="1">
      <c r="A120" s="9" t="s">
        <v>23</v>
      </c>
      <c r="B120" s="9" t="s">
        <v>63</v>
      </c>
      <c r="C120" s="12" t="s">
        <v>300</v>
      </c>
      <c r="D120" s="12" t="s">
        <v>430</v>
      </c>
      <c r="E120" s="9" t="s">
        <v>27</v>
      </c>
      <c r="F120" s="8" t="s">
        <v>431</v>
      </c>
      <c r="G120" s="13" cm="1" t="str">
        <f t="array" ref="G120">IF(F120="","",SUBSTITUTE(SUBSTITUTE(SUBSTITUTE(SUBSTITUTE(F120,"&lt;li&gt;",CHAR(10)),"&lt;/li&gt;",""),"&lt;br&gt;",CHAR(10)),"&lt;strong&gt;",""))</f>
        <v>&lt;p&gt;Aucune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v>
      </c>
      <c r="H120" s="13" cm="1" t="str">
        <f t="array" ref="H120">IF(G120="","",SUBSTITUTE(SUBSTITUTE(SUBSTITUTE(SUBSTITUTE(SUBSTITUTE(G120,"&lt;p&gt;",""),"&lt;/p&gt;",""),"&lt;ul&gt;",""),"&lt;/ul&gt;",""),"&lt;/strong&gt;",""))</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I120" s="14" cm="1" t="str">
        <f t="array" ref="I120">IF(C120="","",IF(OR(H120="",H120=0,H120=FALSE),"-",H120))</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J120" s="8">
</c>
      <c r="K120" s="8" t="s">
        <v>203</v>
      </c>
      <c r="L120" s="9" cm="1" t="str">
        <f t="array" ref="L120">IF(C120="","",IF(K120="Mort / Plus rien à faire","KO","OK"))</f>
        <v>OK</v>
      </c>
      <c r="M120" s="15">
        <v>46028.562268518515</v>
      </c>
      <c r="N120" s="15" cm="1" t="n">
        <f t="array" ref="N120">IF(OR(C120="",M120="",M120=0),"",M120)</f>
        <v>46028.562268518515</v>
      </c>
      <c r="O120" s="15">
</c>
      <c r="P120" s="15" cm="1" t="str">
        <f t="array" ref="P120">IF(C120="","",IF(OR(O120="",O120=0),"-",O120))</f>
        <v>-</v>
      </c>
      <c r="Q120" s="16">
        <v>500000</v>
      </c>
      <c r="R120" s="16" cm="1" t="str">
        <f t="array" ref="R120">IF(C120="","",ROUND(Q120/1000000,3)&amp;" M€")</f>
        <v>0.5 M€</v>
      </c>
      <c r="S120" s="12" t="s">
        <v>216</v>
      </c>
      <c r="T120" s="9" cm="1" t="str">
        <f t="array" ref="T120">IF(C120="","",SUBSTITUTE(S120,"","")&amp;"%")</f>
        <v>10%</v>
      </c>
      <c r="U120" s="14" cm="1" t="str">
        <f t="array" ref="U120">IF(($N120="")*($P120=""),"",IF(($N120&lt;&gt;"")*($N120&gt;TODAY()-9)*($N120&lt;TODAY()+1)*($P120&lt;&gt;"")*($P120&gt;=TODAY())*($P120&lt;=TODAY()+13),"Semaine passée &amp; à venir",IF(($N120&lt;&gt;"")*($N120&gt;TODAY()-9)*($N120&lt;TODAY()+1),"Semaine passée",IF(($P120&lt;&gt;"")*($P120&gt;=TODAY())*($P120&lt;=TODAY()+13),"À venir","Autre"))))</f>
        <v>Autre</v>
      </c>
      <c r="V120" s="8" cm="1" t="n">
        <f t="array" ref="V120">IF(C120&lt;&gt;"",1,0)</f>
        <v>1</v>
      </c>
      <c r="W120" s="8">
</c>
      <c r="X120" s="8">
</c>
      <c r="Y120" s="8">
</c>
      <c r="Z120" s="8">
</c>
      <c r="AA120" s="8">
</c>
      <c r="AB120" s="8">
</c>
      <c r="AC120" s="8">
</c>
      <c r="AD120" s="8">
</c>
      <c r="AE120" s="8">
</c>
      <c r="AF120" s="8">
</c>
      <c r="AG120" s="8">
</c>
      <c r="AH120" s="8">
</c>
      <c r="AI120" s="8">
</c>
      <c r="AJ120" s="8">
</c>
      <c r="AK120" s="8">
</c>
    </row>
    <row r="121" ht="76.5" customHeight="1">
      <c r="A121" s="9" t="s">
        <v>23</v>
      </c>
      <c r="B121" s="9" t="s">
        <v>24</v>
      </c>
      <c r="C121" s="12" t="s">
        <v>432</v>
      </c>
      <c r="D121" s="12" t="s">
        <v>433</v>
      </c>
      <c r="E121" s="9" t="s">
        <v>27</v>
      </c>
      <c r="F121" s="8" t="s">
        <v>434</v>
      </c>
      <c r="G121" s="13" cm="1" t="str">
        <f t="array" ref="G121">IF(F121="","",SUBSTITUTE(SUBSTITUTE(SUBSTITUTE(SUBSTITUTE(F121,"&lt;li&gt;",CHAR(10)),"&lt;/li&gt;",""),"&lt;br&gt;",CHAR(10)),"&lt;strong&gt;",""))</f>
        <v>&lt;p&gt;Aucune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v>
      </c>
      <c r="H121" s="13" cm="1" t="str">
        <f t="array" ref="H121">IF(G121="","",SUBSTITUTE(SUBSTITUTE(SUBSTITUTE(SUBSTITUTE(SUBSTITUTE(G121,"&lt;p&gt;",""),"&lt;/p&gt;",""),"&lt;ul&gt;",""),"&lt;/ul&gt;",""),"&lt;/strong&gt;",""))</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I121" s="14" cm="1" t="str">
        <f t="array" ref="I121">IF(C121="","",IF(OR(H121="",H121=0,H121=FALSE),"-",H121))</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J121" s="8">
</c>
      <c r="K121" s="8" t="s">
        <v>203</v>
      </c>
      <c r="L121" s="9" cm="1" t="str">
        <f t="array" ref="L121">IF(C121="","",IF(K121="Mort / Plus rien à faire","KO","OK"))</f>
        <v>OK</v>
      </c>
      <c r="M121" s="15">
        <v>46087.71891203704</v>
      </c>
      <c r="N121" s="15" cm="1" t="n">
        <f t="array" ref="N121">IF(OR(C121="",M121="",M121=0),"",M121)</f>
        <v>46087.71891203704</v>
      </c>
      <c r="O121" s="15">
</c>
      <c r="P121" s="15" cm="1" t="str">
        <f t="array" ref="P121">IF(C121="","",IF(OR(O121="",O121=0),"-",O121))</f>
        <v>-</v>
      </c>
      <c r="Q121" s="16">
        <v>0</v>
      </c>
      <c r="R121" s="16" cm="1" t="str">
        <f t="array" ref="R121">IF(C121="","",ROUND(Q121/1000000,3)&amp;" M€")</f>
        <v>0 M€</v>
      </c>
      <c r="S121" s="12" t="s">
        <v>216</v>
      </c>
      <c r="T121" s="9" cm="1" t="str">
        <f t="array" ref="T121">IF(C121="","",SUBSTITUTE(S121,"","")&amp;"%")</f>
        <v>10%</v>
      </c>
      <c r="U121" s="14" cm="1" t="str">
        <f t="array" ref="U121">IF(($N121="")*($P121=""),"",IF(($N121&lt;&gt;"")*($N121&gt;TODAY()-9)*($N121&lt;TODAY()+1)*($P121&lt;&gt;"")*($P121&gt;=TODAY())*($P121&lt;=TODAY()+13),"Semaine passée &amp; à venir",IF(($N121&lt;&gt;"")*($N121&gt;TODAY()-9)*($N121&lt;TODAY()+1),"Semaine passée",IF(($P121&lt;&gt;"")*($P121&gt;=TODAY())*($P121&lt;=TODAY()+13),"À venir","Autre"))))</f>
        <v>Autre</v>
      </c>
      <c r="V121" s="8" cm="1" t="n">
        <f t="array" ref="V121">IF(C121&lt;&gt;"",1,0)</f>
        <v>1</v>
      </c>
      <c r="W121" s="8">
</c>
      <c r="X121" s="8">
</c>
      <c r="Y121" s="8">
</c>
      <c r="Z121" s="8">
</c>
      <c r="AA121" s="8">
</c>
      <c r="AB121" s="8">
</c>
      <c r="AC121" s="8">
</c>
      <c r="AD121" s="8">
</c>
      <c r="AE121" s="8">
</c>
      <c r="AF121" s="8">
</c>
      <c r="AG121" s="8">
</c>
      <c r="AH121" s="8">
</c>
      <c r="AI121" s="8">
</c>
      <c r="AJ121" s="8">
</c>
      <c r="AK121" s="8">
</c>
    </row>
    <row r="122" ht="76.5" customHeight="1">
      <c r="A122" s="9" t="s">
        <v>23</v>
      </c>
      <c r="B122" s="9" t="s">
        <v>76</v>
      </c>
      <c r="C122" s="12" t="s">
        <v>435</v>
      </c>
      <c r="D122" s="12" t="s">
        <v>435</v>
      </c>
      <c r="E122" s="9" t="s">
        <v>27</v>
      </c>
      <c r="F122" s="8" t="s">
        <v>436</v>
      </c>
      <c r="G122" s="13" cm="1" t="str">
        <f t="array" ref="G122">IF(F122="","",SUBSTITUTE(SUBSTITUTE(SUBSTITUTE(SUBSTITUTE(F122,"&lt;li&gt;",CHAR(10)),"&lt;/li&gt;",""),"&lt;br&gt;",CHAR(10)),"&lt;strong&gt;",""))</f>
        <v>&lt;p&gt;RDV physique 150 0 Ber &amp;lt;&amp;gt; straton et Procession réalisé, prospect n'a pas manifesté d'intérêt pour le VC. Aucun retour positif ni suite prévue à ce stade. Dernier échange le 17/04/2026. Pas d'autres activités ou prochaines étapes identifiées dans le suivi récent.&lt;/p&gt;</v>
      </c>
      <c r="H122" s="13" cm="1" t="str">
        <f t="array" ref="H122">IF(G122="","",SUBSTITUTE(SUBSTITUTE(SUBSTITUTE(SUBSTITUTE(SUBSTITUTE(G122,"&lt;p&gt;",""),"&lt;/p&gt;",""),"&lt;ul&gt;",""),"&lt;/ul&gt;",""),"&lt;/strong&gt;",""))</f>
        <v>RDV physique 150 0 Ber &amp;lt;&amp;gt; straton et Procession réalisé, prospect n'a pas manifesté d'intérêt pour le VC. Aucun retour positif ni suite prévue à ce stade. Dernier échange le 17/04/2026. Pas d'autres activités ou prochaines étapes identifiées dans le suivi récent.</v>
      </c>
      <c r="I122" s="14" cm="1" t="str">
        <f t="array" ref="I122">IF(C122="","",IF(OR(H122="",H122=0,H122=FALSE),"-",H122))</f>
        <v>RDV physique 150 0 Ber &amp;lt;&amp;gt; straton et Procession réalisé, prospect n'a pas manifesté d'intérêt pour le VC. Aucun retour positif ni suite prévue à ce stade. Dernier échange le 17/04/2026. Pas d'autres activités ou prochaines étapes identifiées dans le suivi récent.</v>
      </c>
      <c r="J122" s="8" t="s">
        <v>437</v>
      </c>
      <c r="K122" s="8" t="s">
        <v>203</v>
      </c>
      <c r="L122" s="9" cm="1" t="str">
        <f t="array" ref="L122">IF(C122="","",IF(K122="Mort / Plus rien à faire","KO","OK"))</f>
        <v>OK</v>
      </c>
      <c r="M122" s="15">
        <v>46129.76540509259</v>
      </c>
      <c r="N122" s="15" cm="1" t="n">
        <f t="array" ref="N122">IF(OR(C122="",M122="",M122=0),"",M122)</f>
        <v>46129.76540509259</v>
      </c>
      <c r="O122" s="15">
</c>
      <c r="P122" s="15" cm="1" t="str">
        <f t="array" ref="P122">IF(C122="","",IF(OR(O122="",O122=0),"-",O122))</f>
        <v>-</v>
      </c>
      <c r="Q122" s="16">
        <v>1000000</v>
      </c>
      <c r="R122" s="16" cm="1" t="str">
        <f t="array" ref="R122">IF(C122="","",ROUND(Q122/1000000,3)&amp;" M€")</f>
        <v>1 M€</v>
      </c>
      <c r="S122" s="12" t="s">
        <v>216</v>
      </c>
      <c r="T122" s="9" cm="1" t="str">
        <f t="array" ref="T122">IF(C122="","",SUBSTITUTE(S122,"","")&amp;"%")</f>
        <v>10%</v>
      </c>
      <c r="U122" s="14" cm="1" t="str">
        <f t="array" ref="U122">IF(($N122="")*($P122=""),"",IF(($N122&lt;&gt;"")*($N122&gt;TODAY()-9)*($N122&lt;TODAY()+1)*($P122&lt;&gt;"")*($P122&gt;=TODAY())*($P122&lt;=TODAY()+13),"Semaine passée &amp; à venir",IF(($N122&lt;&gt;"")*($N122&gt;TODAY()-9)*($N122&lt;TODAY()+1),"Semaine passée",IF(($P122&lt;&gt;"")*($P122&gt;=TODAY())*($P122&lt;=TODAY()+13),"À venir","Autre"))))</f>
        <v>Autre</v>
      </c>
      <c r="V122" s="8" cm="1" t="n">
        <f t="array" ref="V122">IF(C122&lt;&gt;"",1,0)</f>
        <v>1</v>
      </c>
      <c r="W122" s="8">
</c>
      <c r="X122" s="8">
</c>
      <c r="Y122" s="8">
</c>
      <c r="Z122" s="8">
</c>
      <c r="AA122" s="8">
</c>
      <c r="AB122" s="8">
</c>
      <c r="AC122" s="8">
</c>
      <c r="AD122" s="8">
</c>
      <c r="AE122" s="8">
</c>
      <c r="AF122" s="8">
</c>
      <c r="AG122" s="8">
</c>
      <c r="AH122" s="8">
</c>
      <c r="AI122" s="8">
</c>
      <c r="AJ122" s="8">
</c>
      <c r="AK122" s="8">
</c>
    </row>
    <row r="123" ht="76.5" customHeight="1">
      <c r="A123" s="9" t="s">
        <v>23</v>
      </c>
      <c r="B123" s="9" t="s">
        <v>40</v>
      </c>
      <c r="C123" s="12" t="s">
        <v>438</v>
      </c>
      <c r="D123" s="12" t="s">
        <v>439</v>
      </c>
      <c r="E123" s="9" t="s">
        <v>43</v>
      </c>
      <c r="F123" s="8" t="s">
        <v>440</v>
      </c>
      <c r="G123" s="13" cm="1" t="str">
        <f t="array" ref="G123">IF(F123="","",SUBSTITUTE(SUBSTITUTE(SUBSTITUTE(SUBSTITUTE(F123,"&lt;li&gt;",CHAR(10)),"&lt;/li&gt;",""),"&lt;br&gt;",CHAR(10)),"&lt;strong&gt;",""))</f>
        <v>&lt;p&gt;Nouvelle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v>
      </c>
      <c r="H123" s="13" cm="1" t="str">
        <f t="array" ref="H123">IF(G123="","",SUBSTITUTE(SUBSTITUTE(SUBSTITUTE(SUBSTITUTE(SUBSTITUTE(G123,"&lt;p&gt;",""),"&lt;/p&gt;",""),"&lt;ul&gt;",""),"&lt;/ul&gt;",""),"&lt;/strong&gt;",""))</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I123" s="14" cm="1" t="str">
        <f t="array" ref="I123">IF(C123="","",IF(OR(H123="",H123=0,H123=FALSE),"-",H123))</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J123" s="8">
</c>
      <c r="K123" s="8" t="s">
        <v>53</v>
      </c>
      <c r="L123" s="9" cm="1" t="str">
        <f t="array" ref="L123">IF(C123="","",IF(K123="Mort / Plus rien à faire","KO","OK"))</f>
        <v>OK</v>
      </c>
      <c r="M123" s="15">
        <v>46050.699953703705</v>
      </c>
      <c r="N123" s="15" cm="1" t="n">
        <f t="array" ref="N123">IF(OR(C123="",M123="",M123=0),"",M123)</f>
        <v>46050.699953703705</v>
      </c>
      <c r="O123" s="15">
</c>
      <c r="P123" s="15" cm="1" t="str">
        <f t="array" ref="P123">IF(C123="","",IF(OR(O123="",O123=0),"-",O123))</f>
        <v>-</v>
      </c>
      <c r="Q123" s="16">
        <v>0</v>
      </c>
      <c r="R123" s="16" cm="1" t="str">
        <f t="array" ref="R123">IF(C123="","",ROUND(Q123/1000000,3)&amp;" M€")</f>
        <v>0 M€</v>
      </c>
      <c r="S123" s="12" t="s">
        <v>216</v>
      </c>
      <c r="T123" s="9" cm="1" t="str">
        <f t="array" ref="T123">IF(C123="","",SUBSTITUTE(S123,"","")&amp;"%")</f>
        <v>10%</v>
      </c>
      <c r="U123" s="14" cm="1" t="str">
        <f t="array" ref="U123">IF(($N123="")*($P123=""),"",IF(($N123&lt;&gt;"")*($N123&gt;TODAY()-9)*($N123&lt;TODAY()+1)*($P123&lt;&gt;"")*($P123&gt;=TODAY())*($P123&lt;=TODAY()+13),"Semaine passée &amp; à venir",IF(($N123&lt;&gt;"")*($N123&gt;TODAY()-9)*($N123&lt;TODAY()+1),"Semaine passée",IF(($P123&lt;&gt;"")*($P123&gt;=TODAY())*($P123&lt;=TODAY()+13),"À venir","Autre"))))</f>
        <v>Autre</v>
      </c>
      <c r="V123" s="8" cm="1" t="n">
        <f t="array" ref="V123">IF(C123&lt;&gt;"",1,0)</f>
        <v>1</v>
      </c>
      <c r="W123" s="8">
</c>
      <c r="X123" s="8">
</c>
      <c r="Y123" s="8">
</c>
      <c r="Z123" s="8">
</c>
      <c r="AA123" s="8">
</c>
      <c r="AB123" s="8">
</c>
      <c r="AC123" s="8">
</c>
      <c r="AD123" s="8">
</c>
      <c r="AE123" s="8">
</c>
      <c r="AF123" s="8">
</c>
      <c r="AG123" s="8">
</c>
      <c r="AH123" s="8">
</c>
      <c r="AI123" s="8">
</c>
      <c r="AJ123" s="8">
</c>
      <c r="AK123" s="8">
</c>
    </row>
    <row r="124" ht="76.5" customHeight="1">
      <c r="A124" s="9" t="s">
        <v>23</v>
      </c>
      <c r="B124" s="9" t="s">
        <v>76</v>
      </c>
      <c r="C124" s="12" t="s">
        <v>441</v>
      </c>
      <c r="D124" s="12" t="s">
        <v>441</v>
      </c>
      <c r="E124" s="9" t="s">
        <v>43</v>
      </c>
      <c r="F124" s="8" t="s">
        <v>442</v>
      </c>
      <c r="G124" s="13" cm="1" t="str">
        <f t="array" ref="G124">IF(F124="","",SUBSTITUTE(SUBSTITUTE(SUBSTITUTE(SUBSTITUTE(F124,"&lt;li&gt;",CHAR(10)),"&lt;/li&gt;",""),"&lt;br&gt;",CHAR(10)),"&lt;strong&gt;",""))</f>
        <v>&lt;p&gt;Intérêt initial pour diversification/remploi (ex-CEO SDG Matjys). Café le 24/02, ticket jugé trop important par prospect. Dernier échange : prospect se consacre à l'achat de son appartement, projet mis en pause. Prochaine action : prise de news prévue le 04/01/2027.&lt;/p&gt;</v>
      </c>
      <c r="H124" s="13" cm="1" t="str">
        <f t="array" ref="H124">IF(G124="","",SUBSTITUTE(SUBSTITUTE(SUBSTITUTE(SUBSTITUTE(SUBSTITUTE(G124,"&lt;p&gt;",""),"&lt;/p&gt;",""),"&lt;ul&gt;",""),"&lt;/ul&gt;",""),"&lt;/strong&gt;",""))</f>
        <v>Intérêt initial pour diversification/remploi (ex-CEO SDG Matjys). Café le 24/02, ticket jugé trop important par prospect. Dernier échange : prospect se consacre à l'achat de son appartement, projet mis en pause. Prochaine action : prise de news prévue le 04/01/2027.</v>
      </c>
      <c r="I124" s="14" cm="1" t="str">
        <f t="array" ref="I124">IF(C124="","",IF(OR(H124="",H124=0,H124=FALSE),"-",H124))</f>
        <v>Intérêt initial pour diversification/remploi (ex-CEO SDG Matjys). Café le 24/02, ticket jugé trop important par prospect. Dernier échange : prospect se consacre à l'achat de son appartement, projet mis en pause. Prochaine action : prise de news prévue le 04/01/2027.</v>
      </c>
      <c r="J124" s="8" t="s">
        <v>443</v>
      </c>
      <c r="K124" s="8" t="s">
        <v>106</v>
      </c>
      <c r="L124" s="9" cm="1" t="str">
        <f t="array" ref="L124">IF(C124="","",IF(K124="Mort / Plus rien à faire","KO","OK"))</f>
        <v>OK</v>
      </c>
      <c r="M124" s="15">
        <v>46087.70153935185</v>
      </c>
      <c r="N124" s="15" cm="1" t="n">
        <f t="array" ref="N124">IF(OR(C124="",M124="",M124=0),"",M124)</f>
        <v>46087.70153935185</v>
      </c>
      <c r="O124" s="15">
        <v>46391.041666666664</v>
      </c>
      <c r="P124" s="15" cm="1" t="n">
        <f t="array" ref="P124">IF(C124="","",IF(OR(O124="",O124=0),"-",O124))</f>
        <v>46391.041666666664</v>
      </c>
      <c r="Q124" s="16">
        <v>0</v>
      </c>
      <c r="R124" s="16" cm="1" t="str">
        <f t="array" ref="R124">IF(C124="","",ROUND(Q124/1000000,3)&amp;" M€")</f>
        <v>0 M€</v>
      </c>
      <c r="S124" s="12" t="s">
        <v>216</v>
      </c>
      <c r="T124" s="9" cm="1" t="str">
        <f t="array" ref="T124">IF(C124="","",SUBSTITUTE(S124,"","")&amp;"%")</f>
        <v>10%</v>
      </c>
      <c r="U124" s="14" cm="1" t="str">
        <f t="array" ref="U124">IF(($N124="")*($P124=""),"",IF(($N124&lt;&gt;"")*($N124&gt;TODAY()-9)*($N124&lt;TODAY()+1)*($P124&lt;&gt;"")*($P124&gt;=TODAY())*($P124&lt;=TODAY()+13),"Semaine passée &amp; à venir",IF(($N124&lt;&gt;"")*($N124&gt;TODAY()-9)*($N124&lt;TODAY()+1),"Semaine passée",IF(($P124&lt;&gt;"")*($P124&gt;=TODAY())*($P124&lt;=TODAY()+13),"À venir","Autre"))))</f>
        <v>Autre</v>
      </c>
      <c r="V124" s="8" cm="1" t="n">
        <f t="array" ref="V124">IF(C124&lt;&gt;"",1,0)</f>
        <v>1</v>
      </c>
      <c r="W124" s="8">
</c>
      <c r="X124" s="8">
</c>
      <c r="Y124" s="8">
</c>
      <c r="Z124" s="8">
</c>
      <c r="AA124" s="8">
</c>
      <c r="AB124" s="8">
</c>
      <c r="AC124" s="8">
</c>
      <c r="AD124" s="8">
</c>
      <c r="AE124" s="8">
</c>
      <c r="AF124" s="8">
</c>
      <c r="AG124" s="8">
</c>
      <c r="AH124" s="8">
</c>
      <c r="AI124" s="8">
</c>
      <c r="AJ124" s="8">
</c>
      <c r="AK124" s="8">
</c>
    </row>
    <row r="125" ht="76.5" customHeight="1">
      <c r="A125" s="9" t="s">
        <v>23</v>
      </c>
      <c r="B125" s="9" t="s">
        <v>24</v>
      </c>
      <c r="C125" s="12" t="s">
        <v>444</v>
      </c>
      <c r="D125" s="12" t="s">
        <v>445</v>
      </c>
      <c r="E125" s="9" t="s">
        <v>27</v>
      </c>
      <c r="F125" s="8" t="s">
        <v>446</v>
      </c>
      <c r="G125" s="13" cm="1" t="str">
        <f t="array" ref="G125">IF(F125="","",SUBSTITUTE(SUBSTITUTE(SUBSTITUTE(SUBSTITUTE(F125,"&lt;li&gt;",CHAR(10)),"&lt;/li&gt;",""),"&lt;br&gt;",CHAR(10)),"&lt;strong&gt;",""))</f>
        <v>&lt;p&gt;Reprise de contact par nouveau référent, proposition d'échange sur partenariat France-Maroc, présentation du fonds Straton dédié PME La Défense. Pas de retour prospect ni d'autres actions ou retours mentionnés. Prochaines étapes non précisées, attente de réponse ou prise de contact côté prospect.&lt;/p&gt;</v>
      </c>
      <c r="H125" s="13" cm="1" t="str">
        <f t="array" ref="H125">IF(G125="","",SUBSTITUTE(SUBSTITUTE(SUBSTITUTE(SUBSTITUTE(SUBSTITUTE(G125,"&lt;p&gt;",""),"&lt;/p&gt;",""),"&lt;ul&gt;",""),"&lt;/ul&gt;",""),"&lt;/strong&gt;",""))</f>
        <v>Reprise de contact par nouveau référent, proposition d'échange sur partenariat France-Maroc, présentation du fonds Straton dédié PME La Défense. Pas de retour prospect ni d'autres actions ou retours mentionnés. Prochaines étapes non précisées, attente de réponse ou prise de contact côté prospect.</v>
      </c>
      <c r="I125" s="14" cm="1" t="str">
        <f t="array" ref="I125">IF(C125="","",IF(OR(H125="",H125=0,H125=FALSE),"-",H125))</f>
        <v>Reprise de contact par nouveau référent, proposition d'échange sur partenariat France-Maroc, présentation du fonds Straton dédié PME La Défense. Pas de retour prospect ni d'autres actions ou retours mentionnés. Prochaines étapes non précisées, attente de réponse ou prise de contact côté prospect.</v>
      </c>
      <c r="J125" s="8">
</c>
      <c r="K125" s="8" t="s">
        <v>203</v>
      </c>
      <c r="L125" s="9" cm="1" t="str">
        <f t="array" ref="L125">IF(C125="","",IF(K125="Mort / Plus rien à faire","KO","OK"))</f>
        <v>OK</v>
      </c>
      <c r="M125" s="15">
        <v>46174.7821875</v>
      </c>
      <c r="N125" s="15" cm="1" t="n">
        <f t="array" ref="N125">IF(OR(C125="",M125="",M125=0),"",M125)</f>
        <v>46174.7821875</v>
      </c>
      <c r="O125" s="15">
</c>
      <c r="P125" s="15" cm="1" t="str">
        <f t="array" ref="P125">IF(C125="","",IF(OR(O125="",O125=0),"-",O125))</f>
        <v>-</v>
      </c>
      <c r="Q125" s="16">
        <v>0</v>
      </c>
      <c r="R125" s="16" cm="1" t="str">
        <f t="array" ref="R125">IF(C125="","",ROUND(Q125/1000000,3)&amp;" M€")</f>
        <v>0 M€</v>
      </c>
      <c r="S125" s="12" t="s">
        <v>216</v>
      </c>
      <c r="T125" s="9" cm="1" t="str">
        <f t="array" ref="T125">IF(C125="","",SUBSTITUTE(S125,"","")&amp;"%")</f>
        <v>10%</v>
      </c>
      <c r="U125" s="14" cm="1" t="str">
        <f t="array" ref="U125">IF(($N125="")*($P125=""),"",IF(($N125&lt;&gt;"")*($N125&gt;TODAY()-9)*($N125&lt;TODAY()+1)*($P125&lt;&gt;"")*($P125&gt;=TODAY())*($P125&lt;=TODAY()+13),"Semaine passée &amp; à venir",IF(($N125&lt;&gt;"")*($N125&gt;TODAY()-9)*($N125&lt;TODAY()+1),"Semaine passée",IF(($P125&lt;&gt;"")*($P125&gt;=TODAY())*($P125&lt;=TODAY()+13),"À venir","Autre"))))</f>
        <v>Semaine passée</v>
      </c>
      <c r="V125" s="8" cm="1" t="n">
        <f t="array" ref="V125">IF(C125&lt;&gt;"",1,0)</f>
        <v>1</v>
      </c>
      <c r="W125" s="8">
</c>
      <c r="X125" s="8">
</c>
      <c r="Y125" s="8">
</c>
      <c r="Z125" s="8">
</c>
      <c r="AA125" s="8">
</c>
      <c r="AB125" s="8">
</c>
      <c r="AC125" s="8">
</c>
      <c r="AD125" s="8">
</c>
      <c r="AE125" s="8">
</c>
      <c r="AF125" s="8">
</c>
      <c r="AG125" s="8">
</c>
      <c r="AH125" s="8">
</c>
      <c r="AI125" s="8">
</c>
      <c r="AJ125" s="8">
</c>
      <c r="AK125" s="8">
</c>
    </row>
    <row r="126" ht="76.5" customHeight="1">
      <c r="A126" s="9" t="s">
        <v>23</v>
      </c>
      <c r="B126" s="9" t="s">
        <v>76</v>
      </c>
      <c r="C126" s="12" t="s">
        <v>447</v>
      </c>
      <c r="D126" s="12" t="s">
        <v>447</v>
      </c>
      <c r="E126" s="9" t="s">
        <v>27</v>
      </c>
      <c r="F126" s="8" t="s">
        <v>448</v>
      </c>
      <c r="G126" s="13" cm="1" t="str">
        <f t="array" ref="G126">IF(F126="","",SUBSTITUTE(SUBSTITUTE(SUBSTITUTE(SUBSTITUTE(F126,"&lt;li&gt;",CHAR(10)),"&lt;/li&gt;",""),"&lt;br&gt;",CHAR(10)),"&lt;strong&gt;",""))</f>
        <v>&lt;p&gt;Nouvelle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fonds.&lt;/p&gt;</v>
      </c>
      <c r="H126" s="13" cm="1" t="str">
        <f t="array" ref="H126">IF(G126="","",SUBSTITUTE(SUBSTITUTE(SUBSTITUTE(SUBSTITUTE(SUBSTITUTE(G126,"&lt;p&gt;",""),"&lt;/p&gt;",""),"&lt;ul&gt;",""),"&lt;/ul&gt;",""),"&lt;/strong&gt;",""))</f>
        <v>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v>
      </c>
      <c r="I126" s="14" cm="1" t="str">
        <f t="array" ref="I126">IF(C126="","",IF(OR(H126="",H126=0,H126=FALSE),"-",H126))</f>
        <v>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v>
      </c>
      <c r="J126" s="8">
</c>
      <c r="K126" s="8" t="s">
        <v>203</v>
      </c>
      <c r="L126" s="9" cm="1" t="str">
        <f t="array" ref="L126">IF(C126="","",IF(K126="Mort / Plus rien à faire","KO","OK"))</f>
        <v>OK</v>
      </c>
      <c r="M126" s="15">
        <v>46125.640069444446</v>
      </c>
      <c r="N126" s="15" cm="1" t="n">
        <f t="array" ref="N126">IF(OR(C126="",M126="",M126=0),"",M126)</f>
        <v>46125.640069444446</v>
      </c>
      <c r="O126" s="15">
</c>
      <c r="P126" s="15" cm="1" t="str">
        <f t="array" ref="P126">IF(C126="","",IF(OR(O126="",O126=0),"-",O126))</f>
        <v>-</v>
      </c>
      <c r="Q126" s="16">
        <v>0</v>
      </c>
      <c r="R126" s="16" cm="1" t="str">
        <f t="array" ref="R126">IF(C126="","",ROUND(Q126/1000000,3)&amp;" M€")</f>
        <v>0 M€</v>
      </c>
      <c r="S126" s="12" t="s">
        <v>216</v>
      </c>
      <c r="T126" s="9" cm="1" t="str">
        <f t="array" ref="T126">IF(C126="","",SUBSTITUTE(S126,"","")&amp;"%")</f>
        <v>10%</v>
      </c>
      <c r="U126" s="14" cm="1" t="str">
        <f t="array" ref="U126">IF(($N126="")*($P126=""),"",IF(($N126&lt;&gt;"")*($N126&gt;TODAY()-9)*($N126&lt;TODAY()+1)*($P126&lt;&gt;"")*($P126&gt;=TODAY())*($P126&lt;=TODAY()+13),"Semaine passée &amp; à venir",IF(($N126&lt;&gt;"")*($N126&gt;TODAY()-9)*($N126&lt;TODAY()+1),"Semaine passée",IF(($P126&lt;&gt;"")*($P126&gt;=TODAY())*($P126&lt;=TODAY()+13),"À venir","Autre"))))</f>
        <v>Autre</v>
      </c>
      <c r="V126" s="8" cm="1" t="n">
        <f t="array" ref="V126">IF(C126&lt;&gt;"",1,0)</f>
        <v>1</v>
      </c>
      <c r="W126" s="8">
</c>
      <c r="X126" s="8">
</c>
      <c r="Y126" s="8">
</c>
      <c r="Z126" s="8">
</c>
      <c r="AA126" s="8">
</c>
      <c r="AB126" s="8">
</c>
      <c r="AC126" s="8">
</c>
      <c r="AD126" s="8">
</c>
      <c r="AE126" s="8">
</c>
      <c r="AF126" s="8">
</c>
      <c r="AG126" s="8">
</c>
      <c r="AH126" s="8">
</c>
      <c r="AI126" s="8">
</c>
      <c r="AJ126" s="8">
</c>
      <c r="AK126" s="8">
</c>
    </row>
    <row r="127" ht="76.5" customHeight="1">
      <c r="A127" s="9" t="s">
        <v>23</v>
      </c>
      <c r="B127" s="9" t="s">
        <v>63</v>
      </c>
      <c r="C127" s="12" t="s">
        <v>449</v>
      </c>
      <c r="D127" s="12" t="s">
        <v>450</v>
      </c>
      <c r="E127" s="9" t="s">
        <v>43</v>
      </c>
      <c r="F127" s="8" t="s">
        <v>451</v>
      </c>
      <c r="G127" s="13" cm="1" t="str">
        <f t="array" ref="G127">IF(F127="","",SUBSTITUTE(SUBSTITUTE(SUBSTITUTE(SUBSTITUTE(F127,"&lt;li&gt;",CHAR(10)),"&lt;/li&gt;",""),"&lt;br&gt;",CHAR(10)),"&lt;strong&gt;",""))</f>
        <v>&lt;p data-oe-version="2.0"&gt;Pas de retour aux messages.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v>
      </c>
      <c r="H127" s="13" cm="1" t="str">
        <f t="array" ref="H127">IF(G127="","",SUBSTITUTE(SUBSTITUTE(SUBSTITUTE(SUBSTITUTE(SUBSTITUTE(G127,"&lt;p&gt;",""),"&lt;/p&gt;",""),"&lt;ul&gt;",""),"&lt;/ul&gt;",""),"&lt;/strong&gt;",""))</f>
        <v>&lt;p data-oe-version="2.0"&gt;Pas de retour aux messages.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I127" s="14" cm="1" t="str">
        <f t="array" ref="I127">IF(C127="","",IF(OR(H127="",H127=0,H127=FALSE),"-",H127))</f>
        <v>&lt;p data-oe-version="2.0"&gt;Pas de retour aux messages.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J127" s="8">
</c>
      <c r="K127" s="8" t="s">
        <v>106</v>
      </c>
      <c r="L127" s="9" cm="1" t="str">
        <f t="array" ref="L127">IF(C127="","",IF(K127="Mort / Plus rien à faire","KO","OK"))</f>
        <v>OK</v>
      </c>
      <c r="M127" s="15">
        <v>46161.74619212963</v>
      </c>
      <c r="N127" s="15" cm="1" t="n">
        <f t="array" ref="N127">IF(OR(C127="",M127="",M127=0),"",M127)</f>
        <v>46161.74619212963</v>
      </c>
      <c r="O127" s="15">
</c>
      <c r="P127" s="15" cm="1" t="str">
        <f t="array" ref="P127">IF(C127="","",IF(OR(O127="",O127=0),"-",O127))</f>
        <v>-</v>
      </c>
      <c r="Q127" s="16">
        <v>0</v>
      </c>
      <c r="R127" s="16" cm="1" t="str">
        <f t="array" ref="R127">IF(C127="","",ROUND(Q127/1000000,3)&amp;" M€")</f>
        <v>0 M€</v>
      </c>
      <c r="S127" s="12" t="s">
        <v>216</v>
      </c>
      <c r="T127" s="9" cm="1" t="str">
        <f t="array" ref="T127">IF(C127="","",SUBSTITUTE(S127,"","")&amp;"%")</f>
        <v>10%</v>
      </c>
      <c r="U127" s="14" cm="1" t="str">
        <f t="array" ref="U127">IF(($N127="")*($P127=""),"",IF(($N127&lt;&gt;"")*($N127&gt;TODAY()-9)*($N127&lt;TODAY()+1)*($P127&lt;&gt;"")*($P127&gt;=TODAY())*($P127&lt;=TODAY()+13),"Semaine passée &amp; à venir",IF(($N127&lt;&gt;"")*($N127&gt;TODAY()-9)*($N127&lt;TODAY()+1),"Semaine passée",IF(($P127&lt;&gt;"")*($P127&gt;=TODAY())*($P127&lt;=TODAY()+13),"À venir","Autre"))))</f>
        <v>Autre</v>
      </c>
      <c r="V127" s="8" cm="1" t="n">
        <f t="array" ref="V127">IF(C127&lt;&gt;"",1,0)</f>
        <v>1</v>
      </c>
      <c r="W127" s="8">
</c>
      <c r="X127" s="8">
</c>
      <c r="Y127" s="8">
</c>
      <c r="Z127" s="8">
</c>
      <c r="AA127" s="8">
</c>
      <c r="AB127" s="8">
</c>
      <c r="AC127" s="8">
</c>
      <c r="AD127" s="8">
</c>
      <c r="AE127" s="8">
</c>
      <c r="AF127" s="8">
</c>
      <c r="AG127" s="8">
</c>
      <c r="AH127" s="8">
</c>
      <c r="AI127" s="8">
</c>
      <c r="AJ127" s="8">
</c>
      <c r="AK127" s="8">
</c>
    </row>
    <row r="128" ht="76.5" customHeight="1">
      <c r="A128" s="9" t="s">
        <v>23</v>
      </c>
      <c r="B128" s="9" t="s">
        <v>144</v>
      </c>
      <c r="C128" s="12" t="s">
        <v>452</v>
      </c>
      <c r="D128" s="12" t="s">
        <v>453</v>
      </c>
      <c r="E128" s="9" t="s">
        <v>27</v>
      </c>
      <c r="F128" s="8" t="s">
        <v>454</v>
      </c>
      <c r="G128" s="13" cm="1" t="str">
        <f t="array" ref="G128">IF(F128="","",SUBSTITUTE(SUBSTITUTE(SUBSTITUTE(SUBSTITUTE(F128,"&lt;li&gt;",CHAR(10)),"&lt;/li&gt;",""),"&lt;br&gt;",CHAR(10)),"&lt;strong&gt;",""))</f>
        <v>&lt;p&gt;Aucune activité ni échange recensé sur cette opportunité. Crédit Agricole Centre Loire : entité régionale du groupe Crédit Agricole, acteur majeur bancaire et assurantiel couvrant Cher, Loiret, Nièvre. Aucun suivi, action ou retour prospect enregistré à ce jour.&lt;/p&gt;</v>
      </c>
      <c r="H128" s="13" cm="1" t="str">
        <f t="array" ref="H128">IF(G128="","",SUBSTITUTE(SUBSTITUTE(SUBSTITUTE(SUBSTITUTE(SUBSTITUTE(G128,"&lt;p&gt;",""),"&lt;/p&gt;",""),"&lt;ul&gt;",""),"&lt;/ul&gt;",""),"&lt;/strong&gt;",""))</f>
        <v>Aucune activité ni échange recensé sur cette opportunité. Crédit Agricole Centre Loire : entité régionale du groupe Crédit Agricole, acteur majeur bancaire et assurantiel couvrant Cher, Loiret, Nièvre. Aucun suivi, action ou retour prospect enregistré à ce jour.</v>
      </c>
      <c r="I128" s="14" cm="1" t="str">
        <f t="array" ref="I128">IF(C128="","",IF(OR(H128="",H128=0,H128=FALSE),"-",H128))</f>
        <v>Aucune activité ni échange recensé sur cette opportunité. Crédit Agricole Centre Loire : entité régionale du groupe Crédit Agricole, acteur majeur bancaire et assurantiel couvrant Cher, Loiret, Nièvre. Aucun suivi, action ou retour prospect enregistré à ce jour.</v>
      </c>
      <c r="J128" s="8" t="s">
        <v>455</v>
      </c>
      <c r="K128" s="8" t="s">
        <v>53</v>
      </c>
      <c r="L128" s="9" cm="1" t="str">
        <f t="array" ref="L128">IF(C128="","",IF(K128="Mort / Plus rien à faire","KO","OK"))</f>
        <v>OK</v>
      </c>
      <c r="M128" s="15">
        <v>46175.666030092594</v>
      </c>
      <c r="N128" s="15" cm="1" t="n">
        <f t="array" ref="N128">IF(OR(C128="",M128="",M128=0),"",M128)</f>
        <v>46175.666030092594</v>
      </c>
      <c r="O128" s="15">
        <v>46325.041666666664</v>
      </c>
      <c r="P128" s="15" cm="1" t="n">
        <f t="array" ref="P128">IF(C128="","",IF(OR(O128="",O128=0),"-",O128))</f>
        <v>46325.041666666664</v>
      </c>
      <c r="Q128" s="16">
        <v>3000000</v>
      </c>
      <c r="R128" s="16" cm="1" t="str">
        <f t="array" ref="R128">IF(C128="","",ROUND(Q128/1000000,3)&amp;" M€")</f>
        <v>3 M€</v>
      </c>
      <c r="S128" s="12" t="s">
        <v>216</v>
      </c>
      <c r="T128" s="9" cm="1" t="str">
        <f t="array" ref="T128">IF(C128="","",SUBSTITUTE(S128,"","")&amp;"%")</f>
        <v>10%</v>
      </c>
      <c r="U128" s="14" cm="1" t="str">
        <f t="array" ref="U128">IF(($N128="")*($P128=""),"",IF(($N128&lt;&gt;"")*($N128&gt;TODAY()-9)*($N128&lt;TODAY()+1)*($P128&lt;&gt;"")*($P128&gt;=TODAY())*($P128&lt;=TODAY()+13),"Semaine passée &amp; à venir",IF(($N128&lt;&gt;"")*($N128&gt;TODAY()-9)*($N128&lt;TODAY()+1),"Semaine passée",IF(($P128&lt;&gt;"")*($P128&gt;=TODAY())*($P128&lt;=TODAY()+13),"À venir","Autre"))))</f>
        <v>Semaine passée</v>
      </c>
      <c r="V128" s="8" cm="1" t="n">
        <f t="array" ref="V128">IF(C128&lt;&gt;"",1,0)</f>
        <v>1</v>
      </c>
      <c r="W128" s="8">
</c>
      <c r="X128" s="8">
</c>
      <c r="Y128" s="8">
</c>
      <c r="Z128" s="8">
</c>
      <c r="AA128" s="8">
</c>
      <c r="AB128" s="8">
</c>
      <c r="AC128" s="8">
</c>
      <c r="AD128" s="8">
</c>
      <c r="AE128" s="8">
</c>
      <c r="AF128" s="8">
</c>
      <c r="AG128" s="8">
</c>
      <c r="AH128" s="8">
</c>
      <c r="AI128" s="8">
</c>
      <c r="AJ128" s="8">
</c>
      <c r="AK128" s="8">
</c>
    </row>
    <row r="129" ht="76.5" customHeight="1">
      <c r="A129" s="9" t="s">
        <v>23</v>
      </c>
      <c r="B129" s="9" t="s">
        <v>76</v>
      </c>
      <c r="C129" s="12" t="s">
        <v>456</v>
      </c>
      <c r="D129" s="12" t="s">
        <v>457</v>
      </c>
      <c r="E129" s="9" t="s">
        <v>27</v>
      </c>
      <c r="F129" s="8" t="s">
        <v>458</v>
      </c>
      <c r="G129" s="13" cm="1" t="str">
        <f t="array" ref="G129">IF(F129="","",SUBSTITUTE(SUBSTITUTE(SUBSTITUTE(SUBSTITUTE(F129,"&lt;li&gt;",CHAR(10)),"&lt;/li&gt;",""),"&lt;br&gt;",CHAR(10)),"&lt;strong&gt;",""))</f>
        <v>&lt;p&gt;Nouvelle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contact.&lt;/p&gt;</v>
      </c>
      <c r="H129" s="13" cm="1" t="str">
        <f t="array" ref="H129">IF(G129="","",SUBSTITUTE(SUBSTITUTE(SUBSTITUTE(SUBSTITUTE(SUBSTITUTE(G129,"&lt;p&gt;",""),"&lt;/p&gt;",""),"&lt;ul&gt;",""),"&lt;/ul&gt;",""),"&lt;/strong&gt;",""))</f>
        <v>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v>
      </c>
      <c r="I129" s="14" cm="1" t="str">
        <f t="array" ref="I129">IF(C129="","",IF(OR(H129="",H129=0,H129=FALSE),"-",H129))</f>
        <v>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v>
      </c>
      <c r="J129" s="8" t="s">
        <v>459</v>
      </c>
      <c r="K129" s="8" t="s">
        <v>203</v>
      </c>
      <c r="L129" s="9" cm="1" t="str">
        <f t="array" ref="L129">IF(C129="","",IF(K129="Mort / Plus rien à faire","KO","OK"))</f>
        <v>OK</v>
      </c>
      <c r="M129" s="15">
        <v>46106.639074074075</v>
      </c>
      <c r="N129" s="15" cm="1" t="n">
        <f t="array" ref="N129">IF(OR(C129="",M129="",M129=0),"",M129)</f>
        <v>46106.639074074075</v>
      </c>
      <c r="O129" s="15">
</c>
      <c r="P129" s="15" cm="1" t="str">
        <f t="array" ref="P129">IF(C129="","",IF(OR(O129="",O129=0),"-",O129))</f>
        <v>-</v>
      </c>
      <c r="Q129" s="16">
        <v>0</v>
      </c>
      <c r="R129" s="16" cm="1" t="str">
        <f t="array" ref="R129">IF(C129="","",ROUND(Q129/1000000,3)&amp;" M€")</f>
        <v>0 M€</v>
      </c>
      <c r="S129" s="12" t="s">
        <v>216</v>
      </c>
      <c r="T129" s="9" cm="1" t="str">
        <f t="array" ref="T129">IF(C129="","",SUBSTITUTE(S129,"","")&amp;"%")</f>
        <v>10%</v>
      </c>
      <c r="U129" s="14" cm="1" t="str">
        <f t="array" ref="U129">IF(($N129="")*($P129=""),"",IF(($N129&lt;&gt;"")*($N129&gt;TODAY()-9)*($N129&lt;TODAY()+1)*($P129&lt;&gt;"")*($P129&gt;=TODAY())*($P129&lt;=TODAY()+13),"Semaine passée &amp; à venir",IF(($N129&lt;&gt;"")*($N129&gt;TODAY()-9)*($N129&lt;TODAY()+1),"Semaine passée",IF(($P129&lt;&gt;"")*($P129&gt;=TODAY())*($P129&lt;=TODAY()+13),"À venir","Autre"))))</f>
        <v>Autre</v>
      </c>
      <c r="V129" s="8" cm="1" t="n">
        <f t="array" ref="V129">IF(C129&lt;&gt;"",1,0)</f>
        <v>1</v>
      </c>
      <c r="W129" s="8">
</c>
      <c r="X129" s="8">
</c>
      <c r="Y129" s="8">
</c>
      <c r="Z129" s="8">
</c>
      <c r="AA129" s="8">
</c>
      <c r="AB129" s="8">
</c>
      <c r="AC129" s="8">
</c>
      <c r="AD129" s="8">
</c>
      <c r="AE129" s="8">
</c>
      <c r="AF129" s="8">
</c>
      <c r="AG129" s="8">
</c>
      <c r="AH129" s="8">
</c>
      <c r="AI129" s="8">
</c>
      <c r="AJ129" s="8">
</c>
      <c r="AK129" s="8">
</c>
    </row>
    <row r="130" ht="76.5" customHeight="1">
      <c r="A130" s="9" t="s">
        <v>23</v>
      </c>
      <c r="B130" s="9" t="s">
        <v>31</v>
      </c>
      <c r="C130" s="12" t="s">
        <v>460</v>
      </c>
      <c r="D130" s="12" t="s">
        <v>461</v>
      </c>
      <c r="E130" s="9" t="s">
        <v>43</v>
      </c>
      <c r="F130" s="8" t="s">
        <v>462</v>
      </c>
      <c r="G130" s="13" cm="1" t="str">
        <f t="array" ref="G130">IF(F130="","",SUBSTITUTE(SUBSTITUTE(SUBSTITUTE(SUBSTITUTE(F130,"&lt;li&gt;",CHAR(10)),"&lt;/li&gt;",""),"&lt;br&gt;",CHAR(10)),"&lt;strong&gt;",""))</f>
        <v>&lt;p&gt;Point sur fonds deeptech, docs à envoyer pour alimenter. Enrichissement lead impossible (email non valide). Nouvelle piste créée pour équipe Ventes. Pas d'autres activités ni retours prospects. Prochaine étape : envoi de documentation, attente retour sur fonds présentés.&lt;/p&gt;</v>
      </c>
      <c r="H130" s="13" cm="1" t="str">
        <f t="array" ref="H130">IF(G130="","",SUBSTITUTE(SUBSTITUTE(SUBSTITUTE(SUBSTITUTE(SUBSTITUTE(G130,"&lt;p&gt;",""),"&lt;/p&gt;",""),"&lt;ul&gt;",""),"&lt;/ul&gt;",""),"&lt;/strong&gt;",""))</f>
        <v>Point sur fonds deeptech, docs à envoyer pour alimenter. Enrichissement lead impossible (email non valide). Nouvelle piste créée pour équipe Ventes. Pas d'autres activités ni retours prospects. Prochaine étape : envoi de documentation, attente retour sur fonds présentés.</v>
      </c>
      <c r="I130" s="14" cm="1" t="str">
        <f t="array" ref="I130">IF(C130="","",IF(OR(H130="",H130=0,H130=FALSE),"-",H130))</f>
        <v>Point sur fonds deeptech, docs à envoyer pour alimenter. Enrichissement lead impossible (email non valide). Nouvelle piste créée pour équipe Ventes. Pas d'autres activités ni retours prospects. Prochaine étape : envoi de documentation, attente retour sur fonds présentés.</v>
      </c>
      <c r="J130" s="8">
</c>
      <c r="K130" s="8" t="s">
        <v>53</v>
      </c>
      <c r="L130" s="9" cm="1" t="str">
        <f t="array" ref="L130">IF(C130="","",IF(K130="Mort / Plus rien à faire","KO","OK"))</f>
        <v>OK</v>
      </c>
      <c r="M130" s="15">
        <v>46050.69390046296</v>
      </c>
      <c r="N130" s="15" cm="1" t="n">
        <f t="array" ref="N130">IF(OR(C130="",M130="",M130=0),"",M130)</f>
        <v>46050.69390046296</v>
      </c>
      <c r="O130" s="15">
</c>
      <c r="P130" s="15" cm="1" t="str">
        <f t="array" ref="P130">IF(C130="","",IF(OR(O130="",O130=0),"-",O130))</f>
        <v>-</v>
      </c>
      <c r="Q130" s="16">
        <v>0</v>
      </c>
      <c r="R130" s="16" cm="1" t="str">
        <f t="array" ref="R130">IF(C130="","",ROUND(Q130/1000000,3)&amp;" M€")</f>
        <v>0 M€</v>
      </c>
      <c r="S130" s="12" t="s">
        <v>216</v>
      </c>
      <c r="T130" s="9" cm="1" t="str">
        <f t="array" ref="T130">IF(C130="","",SUBSTITUTE(S130,"","")&amp;"%")</f>
        <v>10%</v>
      </c>
      <c r="U130" s="14" cm="1" t="str">
        <f t="array" ref="U130">IF(($N130="")*($P130=""),"",IF(($N130&lt;&gt;"")*($N130&gt;TODAY()-9)*($N130&lt;TODAY()+1)*($P130&lt;&gt;"")*($P130&gt;=TODAY())*($P130&lt;=TODAY()+13),"Semaine passée &amp; à venir",IF(($N130&lt;&gt;"")*($N130&gt;TODAY()-9)*($N130&lt;TODAY()+1),"Semaine passée",IF(($P130&lt;&gt;"")*($P130&gt;=TODAY())*($P130&lt;=TODAY()+13),"À venir","Autre"))))</f>
        <v>Autre</v>
      </c>
      <c r="V130" s="8" cm="1" t="n">
        <f t="array" ref="V130">IF(C130&lt;&gt;"",1,0)</f>
        <v>1</v>
      </c>
      <c r="W130" s="8">
</c>
      <c r="X130" s="8">
</c>
      <c r="Y130" s="8">
</c>
      <c r="Z130" s="8">
</c>
      <c r="AA130" s="8">
</c>
      <c r="AB130" s="8">
</c>
      <c r="AC130" s="8">
</c>
      <c r="AD130" s="8">
</c>
      <c r="AE130" s="8">
</c>
      <c r="AF130" s="8">
</c>
      <c r="AG130" s="8">
</c>
      <c r="AH130" s="8">
</c>
      <c r="AI130" s="8">
</c>
      <c r="AJ130" s="8">
</c>
      <c r="AK130" s="8">
</c>
    </row>
    <row r="131" ht="76.5" customHeight="1">
      <c r="A131" s="9" t="s">
        <v>23</v>
      </c>
      <c r="B131" s="9" t="s">
        <v>40</v>
      </c>
      <c r="C131" s="12" t="s">
        <v>463</v>
      </c>
      <c r="D131" s="12" t="s">
        <v>464</v>
      </c>
      <c r="E131" s="9" t="s">
        <v>43</v>
      </c>
      <c r="F131" s="8" t="s">
        <v>465</v>
      </c>
      <c r="G131" s="13" cm="1" t="str">
        <f t="array" ref="G131">IF(F131="","",SUBSTITUTE(SUBSTITUTE(SUBSTITUTE(SUBSTITUTE(F131,"&lt;li&gt;",CHAR(10)),"&lt;/li&gt;",""),"&lt;br&gt;",CHAR(10)),"&lt;strong&gt;",""))</f>
        <v>&lt;p&gt;25/02/2026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stade.&lt;/p&gt;</v>
      </c>
      <c r="H131" s="13" cm="1" t="str">
        <f t="array" ref="H131">IF(G131="","",SUBSTITUTE(SUBSTITUTE(SUBSTITUTE(SUBSTITUTE(SUBSTITUTE(G131,"&lt;p&gt;",""),"&lt;/p&gt;",""),"&lt;ul&gt;",""),"&lt;/ul&gt;",""),"&lt;/strong&gt;",""))</f>
        <v>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v>
      </c>
      <c r="I131" s="14" cm="1" t="str">
        <f t="array" ref="I131">IF(C131="","",IF(OR(H131="",H131=0,H131=FALSE),"-",H131))</f>
        <v>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v>
      </c>
      <c r="J131" s="8">
</c>
      <c r="K131" s="8" t="s">
        <v>106</v>
      </c>
      <c r="L131" s="9" cm="1" t="str">
        <f t="array" ref="L131">IF(C131="","",IF(K131="Mort / Plus rien à faire","KO","OK"))</f>
        <v>OK</v>
      </c>
      <c r="M131" s="15">
        <v>46132.63866898148</v>
      </c>
      <c r="N131" s="15" cm="1" t="n">
        <f t="array" ref="N131">IF(OR(C131="",M131="",M131=0),"",M131)</f>
        <v>46132.63866898148</v>
      </c>
      <c r="O131" s="15">
</c>
      <c r="P131" s="15" cm="1" t="str">
        <f t="array" ref="P131">IF(C131="","",IF(OR(O131="",O131=0),"-",O131))</f>
        <v>-</v>
      </c>
      <c r="Q131" s="16">
        <v>0</v>
      </c>
      <c r="R131" s="16" cm="1" t="str">
        <f t="array" ref="R131">IF(C131="","",ROUND(Q131/1000000,3)&amp;" M€")</f>
        <v>0 M€</v>
      </c>
      <c r="S131" s="12" t="s">
        <v>216</v>
      </c>
      <c r="T131" s="9" cm="1" t="str">
        <f t="array" ref="T131">IF(C131="","",SUBSTITUTE(S131,"","")&amp;"%")</f>
        <v>10%</v>
      </c>
      <c r="U131" s="14" cm="1" t="str">
        <f t="array" ref="U131">IF(($N131="")*($P131=""),"",IF(($N131&lt;&gt;"")*($N131&gt;TODAY()-9)*($N131&lt;TODAY()+1)*($P131&lt;&gt;"")*($P131&gt;=TODAY())*($P131&lt;=TODAY()+13),"Semaine passée &amp; à venir",IF(($N131&lt;&gt;"")*($N131&gt;TODAY()-9)*($N131&lt;TODAY()+1),"Semaine passée",IF(($P131&lt;&gt;"")*($P131&gt;=TODAY())*($P131&lt;=TODAY()+13),"À venir","Autre"))))</f>
        <v>Autre</v>
      </c>
      <c r="V131" s="8" cm="1" t="n">
        <f t="array" ref="V131">IF(C131&lt;&gt;"",1,0)</f>
        <v>1</v>
      </c>
      <c r="W131" s="8">
</c>
      <c r="X131" s="8">
</c>
      <c r="Y131" s="8">
</c>
      <c r="Z131" s="8">
</c>
      <c r="AA131" s="8">
</c>
      <c r="AB131" s="8">
</c>
      <c r="AC131" s="8">
</c>
      <c r="AD131" s="8">
</c>
      <c r="AE131" s="8">
</c>
      <c r="AF131" s="8">
</c>
      <c r="AG131" s="8">
</c>
      <c r="AH131" s="8">
</c>
      <c r="AI131" s="8">
</c>
      <c r="AJ131" s="8">
</c>
      <c r="AK131" s="8">
</c>
    </row>
    <row r="132" ht="76.5" customHeight="1">
      <c r="A132" s="9" t="s">
        <v>23</v>
      </c>
      <c r="B132" s="9" t="s">
        <v>466</v>
      </c>
      <c r="C132" s="12" t="s">
        <v>467</v>
      </c>
      <c r="D132" s="12" t="s">
        <v>468</v>
      </c>
      <c r="E132" s="9" t="s">
        <v>27</v>
      </c>
      <c r="F132" s="8" t="s">
        <v>469</v>
      </c>
      <c r="G132" s="13" cm="1" t="str">
        <f t="array" ref="G132">IF(F132="","",SUBSTITUTE(SUBSTITUTE(SUBSTITUTE(SUBSTITUTE(F132,"&lt;li&gt;",CHAR(10)),"&lt;/li&gt;",""),"&lt;br&gt;",CHAR(10)),"&lt;strong&gt;",""))</f>
        <v>&lt;p&gt;Relance effectuée, attente retour prospect. Dernière action : relance le 02/06/2026, prochaine échéance fixée au 05/06/2026. Aucun retour reçu à ce jour, pas d'autres actions ou retours mentionnés dans les échanges. Suivi en attente, aucune conclusion prospect sur fonds présentés.&lt;/p&gt;</v>
      </c>
      <c r="H132" s="13" cm="1" t="str">
        <f t="array" ref="H132">IF(G132="","",SUBSTITUTE(SUBSTITUTE(SUBSTITUTE(SUBSTITUTE(SUBSTITUTE(G132,"&lt;p&gt;",""),"&lt;/p&gt;",""),"&lt;ul&gt;",""),"&lt;/ul&gt;",""),"&lt;/strong&gt;",""))</f>
        <v>Relance effectuée, attente retour prospect. Dernière action : relance le 02/06/2026, prochaine échéance fixée au 05/06/2026. Aucun retour reçu à ce jour, pas d'autres actions ou retours mentionnés dans les échanges. Suivi en attente, aucune conclusion prospect sur fonds présentés.</v>
      </c>
      <c r="I132" s="14" cm="1" t="str">
        <f t="array" ref="I132">IF(C132="","",IF(OR(H132="",H132=0,H132=FALSE),"-",H132))</f>
        <v>Relance effectuée, attente retour prospect. Dernière action : relance le 02/06/2026, prochaine échéance fixée au 05/06/2026. Aucun retour reçu à ce jour, pas d'autres actions ou retours mentionnés dans les échanges. Suivi en attente, aucune conclusion prospect sur fonds présentés.</v>
      </c>
      <c r="J132" s="8" t="s">
        <v>470</v>
      </c>
      <c r="K132" s="8" t="s">
        <v>53</v>
      </c>
      <c r="L132" s="9" cm="1" t="str">
        <f t="array" ref="L132">IF(C132="","",IF(K132="Mort / Plus rien à faire","KO","OK"))</f>
        <v>OK</v>
      </c>
      <c r="M132" s="15">
        <v>46175.88905092593</v>
      </c>
      <c r="N132" s="15" cm="1" t="n">
        <f t="array" ref="N132">IF(OR(C132="",M132="",M132=0),"",M132)</f>
        <v>46175.88905092593</v>
      </c>
      <c r="O132" s="15">
        <v>46178.083333333336</v>
      </c>
      <c r="P132" s="15" cm="1" t="n">
        <f t="array" ref="P132">IF(C132="","",IF(OR(O132="",O132=0),"-",O132))</f>
        <v>46178.083333333336</v>
      </c>
      <c r="Q132" s="16">
        <v>10000000</v>
      </c>
      <c r="R132" s="16" cm="1" t="str">
        <f t="array" ref="R132">IF(C132="","",ROUND(Q132/1000000,3)&amp;" M€")</f>
        <v>10 M€</v>
      </c>
      <c r="S132" s="12" t="s">
        <v>216</v>
      </c>
      <c r="T132" s="9" cm="1" t="str">
        <f t="array" ref="T132">IF(C132="","",SUBSTITUTE(S132,"","")&amp;"%")</f>
        <v>10%</v>
      </c>
      <c r="U132" s="14" cm="1" t="str">
        <f t="array" ref="U132">IF(($N132="")*($P132=""),"",IF(($N132&lt;&gt;"")*($N132&gt;TODAY()-9)*($N132&lt;TODAY()+1)*($P132&lt;&gt;"")*($P132&gt;=TODAY())*($P132&lt;=TODAY()+13),"Semaine passée &amp; à venir",IF(($N132&lt;&gt;"")*($N132&gt;TODAY()-9)*($N132&lt;TODAY()+1),"Semaine passée",IF(($P132&lt;&gt;"")*($P132&gt;=TODAY())*($P132&lt;=TODAY()+13),"À venir","Autre"))))</f>
        <v>Semaine passée &amp; à venir</v>
      </c>
      <c r="V132" s="8" cm="1" t="n">
        <f t="array" ref="V132">IF(C132&lt;&gt;"",1,0)</f>
        <v>1</v>
      </c>
      <c r="W132" s="8">
</c>
      <c r="X132" s="8">
</c>
      <c r="Y132" s="8">
</c>
      <c r="Z132" s="8">
</c>
      <c r="AA132" s="8">
</c>
      <c r="AB132" s="8">
</c>
      <c r="AC132" s="8">
</c>
      <c r="AD132" s="8">
</c>
      <c r="AE132" s="8">
</c>
      <c r="AF132" s="8">
</c>
      <c r="AG132" s="8">
</c>
      <c r="AH132" s="8">
</c>
      <c r="AI132" s="8">
</c>
      <c r="AJ132" s="8">
</c>
      <c r="AK132" s="8">
</c>
    </row>
    <row r="133" ht="76.5" customHeight="1">
      <c r="A133" s="9" t="s">
        <v>23</v>
      </c>
      <c r="B133" s="9" t="s">
        <v>40</v>
      </c>
      <c r="C133" s="12" t="s">
        <v>471</v>
      </c>
      <c r="D133" s="12" t="s">
        <v>472</v>
      </c>
      <c r="E133" s="9" t="s">
        <v>43</v>
      </c>
      <c r="F133" s="8" t="s">
        <v>473</v>
      </c>
      <c r="G133" s="13" cm="1" t="str">
        <f t="array" ref="G133">IF(F133="","",SUBSTITUTE(SUBSTITUTE(SUBSTITUTE(SUBSTITUTE(F133,"&lt;li&gt;",CHAR(10)),"&lt;/li&gt;",""),"&lt;br&gt;",CHAR(10)),"&lt;strong&gt;",""))</f>
        <v>&lt;p&gt;Intérêt souverain noté le 28/01, création piste pour équipe Ventes. Tentative d'enrichissement lead échouée (email invalide). Aucune activité ou action supplémentaire enregistrée, pas de prochaine étape identifiée à ce jour.&lt;/p&gt;</v>
      </c>
      <c r="H133" s="13" cm="1" t="str">
        <f t="array" ref="H133">IF(G133="","",SUBSTITUTE(SUBSTITUTE(SUBSTITUTE(SUBSTITUTE(SUBSTITUTE(G133,"&lt;p&gt;",""),"&lt;/p&gt;",""),"&lt;ul&gt;",""),"&lt;/ul&gt;",""),"&lt;/strong&gt;",""))</f>
        <v>Intérêt souverain noté le 28/01, création piste pour équipe Ventes. Tentative d'enrichissement lead échouée (email invalide). Aucune activité ou action supplémentaire enregistrée, pas de prochaine étape identifiée à ce jour.</v>
      </c>
      <c r="I133" s="14" cm="1" t="str">
        <f t="array" ref="I133">IF(C133="","",IF(OR(H133="",H133=0,H133=FALSE),"-",H133))</f>
        <v>Intérêt souverain noté le 28/01, création piste pour équipe Ventes. Tentative d'enrichissement lead échouée (email invalide). Aucune activité ou action supplémentaire enregistrée, pas de prochaine étape identifiée à ce jour.</v>
      </c>
      <c r="J133" s="8">
</c>
      <c r="K133" s="8" t="s">
        <v>53</v>
      </c>
      <c r="L133" s="9" cm="1" t="str">
        <f t="array" ref="L133">IF(C133="","",IF(K133="Mort / Plus rien à faire","KO","OK"))</f>
        <v>OK</v>
      </c>
      <c r="M133" s="15">
        <v>46050.68548611111</v>
      </c>
      <c r="N133" s="15" cm="1" t="n">
        <f t="array" ref="N133">IF(OR(C133="",M133="",M133=0),"",M133)</f>
        <v>46050.68548611111</v>
      </c>
      <c r="O133" s="15">
</c>
      <c r="P133" s="15" cm="1" t="str">
        <f t="array" ref="P133">IF(C133="","",IF(OR(O133="",O133=0),"-",O133))</f>
        <v>-</v>
      </c>
      <c r="Q133" s="16">
        <v>0</v>
      </c>
      <c r="R133" s="16" cm="1" t="str">
        <f t="array" ref="R133">IF(C133="","",ROUND(Q133/1000000,3)&amp;" M€")</f>
        <v>0 M€</v>
      </c>
      <c r="S133" s="12" t="s">
        <v>216</v>
      </c>
      <c r="T133" s="9" cm="1" t="str">
        <f t="array" ref="T133">IF(C133="","",SUBSTITUTE(S133,"","")&amp;"%")</f>
        <v>10%</v>
      </c>
      <c r="U133" s="14" cm="1" t="str">
        <f t="array" ref="U133">IF(($N133="")*($P133=""),"",IF(($N133&lt;&gt;"")*($N133&gt;TODAY()-9)*($N133&lt;TODAY()+1)*($P133&lt;&gt;"")*($P133&gt;=TODAY())*($P133&lt;=TODAY()+13),"Semaine passée &amp; à venir",IF(($N133&lt;&gt;"")*($N133&gt;TODAY()-9)*($N133&lt;TODAY()+1),"Semaine passée",IF(($P133&lt;&gt;"")*($P133&gt;=TODAY())*($P133&lt;=TODAY()+13),"À venir","Autre"))))</f>
        <v>Autre</v>
      </c>
      <c r="V133" s="8" cm="1" t="n">
        <f t="array" ref="V133">IF(C133&lt;&gt;"",1,0)</f>
        <v>1</v>
      </c>
      <c r="W133" s="8">
</c>
      <c r="X133" s="8">
</c>
      <c r="Y133" s="8">
</c>
      <c r="Z133" s="8">
</c>
      <c r="AA133" s="8">
</c>
      <c r="AB133" s="8">
</c>
      <c r="AC133" s="8">
</c>
      <c r="AD133" s="8">
</c>
      <c r="AE133" s="8">
</c>
      <c r="AF133" s="8">
</c>
      <c r="AG133" s="8">
</c>
      <c r="AH133" s="8">
</c>
      <c r="AI133" s="8">
</c>
      <c r="AJ133" s="8">
</c>
      <c r="AK133" s="8">
</c>
    </row>
    <row r="134" ht="76.5" customHeight="1">
      <c r="A134" s="9" t="s">
        <v>23</v>
      </c>
      <c r="B134" s="9" t="s">
        <v>76</v>
      </c>
      <c r="C134" s="12" t="s">
        <v>474</v>
      </c>
      <c r="D134" s="12" t="s">
        <v>474</v>
      </c>
      <c r="E134" s="9" t="s">
        <v>43</v>
      </c>
      <c r="F134" s="8" t="s">
        <v>475</v>
      </c>
      <c r="G134" s="13" cm="1" t="str">
        <f t="array" ref="G134">IF(F134="","",SUBSTITUTE(SUBSTITUTE(SUBSTITUTE(SUBSTITUTE(F134,"&lt;li&gt;",CHAR(10)),"&lt;/li&gt;",""),"&lt;br&gt;",CHAR(10)),"&lt;strong&gt;",""))</f>
        <v>&lt;p&gt;RDV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gérant.&lt;/p&gt;</v>
      </c>
      <c r="H134" s="13" cm="1" t="str">
        <f t="array" ref="H134">IF(G134="","",SUBSTITUTE(SUBSTITUTE(SUBSTITUTE(SUBSTITUTE(SUBSTITUTE(G134,"&lt;p&gt;",""),"&lt;/p&gt;",""),"&lt;ul&gt;",""),"&lt;/ul&gt;",""),"&lt;/strong&gt;",""))</f>
        <v>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v>
      </c>
      <c r="I134" s="14" cm="1" t="str">
        <f t="array" ref="I134">IF(C134="","",IF(OR(H134="",H134=0,H134=FALSE),"-",H134))</f>
        <v>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v>
      </c>
      <c r="J134" s="8">
</c>
      <c r="K134" s="8" t="s">
        <v>235</v>
      </c>
      <c r="L134" s="9" cm="1" t="str">
        <f t="array" ref="L134">IF(C134="","",IF(K134="Mort / Plus rien à faire","KO","OK"))</f>
        <v>OK</v>
      </c>
      <c r="M134" s="15">
        <v>46126.527280092596</v>
      </c>
      <c r="N134" s="15" cm="1" t="n">
        <f t="array" ref="N134">IF(OR(C134="",M134="",M134=0),"",M134)</f>
        <v>46126.527280092596</v>
      </c>
      <c r="O134" s="15">
</c>
      <c r="P134" s="15" cm="1" t="str">
        <f t="array" ref="P134">IF(C134="","",IF(OR(O134="",O134=0),"-",O134))</f>
        <v>-</v>
      </c>
      <c r="Q134" s="16">
        <v>150000</v>
      </c>
      <c r="R134" s="16" cm="1" t="str">
        <f t="array" ref="R134">IF(C134="","",ROUND(Q134/1000000,3)&amp;" M€")</f>
        <v>0.15 M€</v>
      </c>
      <c r="S134" s="12" t="s">
        <v>216</v>
      </c>
      <c r="T134" s="9" cm="1" t="str">
        <f t="array" ref="T134">IF(C134="","",SUBSTITUTE(S134,"","")&amp;"%")</f>
        <v>10%</v>
      </c>
      <c r="U134" s="14" cm="1" t="str">
        <f t="array" ref="U134">IF(($N134="")*($P134=""),"",IF(($N134&lt;&gt;"")*($N134&gt;TODAY()-9)*($N134&lt;TODAY()+1)*($P134&lt;&gt;"")*($P134&gt;=TODAY())*($P134&lt;=TODAY()+13),"Semaine passée &amp; à venir",IF(($N134&lt;&gt;"")*($N134&gt;TODAY()-9)*($N134&lt;TODAY()+1),"Semaine passée",IF(($P134&lt;&gt;"")*($P134&gt;=TODAY())*($P134&lt;=TODAY()+13),"À venir","Autre"))))</f>
        <v>Autre</v>
      </c>
      <c r="V134" s="8" cm="1" t="n">
        <f t="array" ref="V134">IF(C134&lt;&gt;"",1,0)</f>
        <v>1</v>
      </c>
      <c r="W134" s="8">
</c>
      <c r="X134" s="8">
</c>
      <c r="Y134" s="8">
</c>
      <c r="Z134" s="8">
</c>
      <c r="AA134" s="8">
</c>
      <c r="AB134" s="8">
</c>
      <c r="AC134" s="8">
</c>
      <c r="AD134" s="8">
</c>
      <c r="AE134" s="8">
</c>
      <c r="AF134" s="8">
</c>
      <c r="AG134" s="8">
</c>
      <c r="AH134" s="8">
</c>
      <c r="AI134" s="8">
</c>
      <c r="AJ134" s="8">
</c>
      <c r="AK134" s="8">
</c>
    </row>
    <row r="135" ht="76.5" customHeight="1">
      <c r="A135" s="9" t="s">
        <v>23</v>
      </c>
      <c r="B135" s="9" t="s">
        <v>31</v>
      </c>
      <c r="C135" s="12" t="s">
        <v>476</v>
      </c>
      <c r="D135" s="12" t="s">
        <v>476</v>
      </c>
      <c r="E135" s="9" t="s">
        <v>27</v>
      </c>
      <c r="F135" s="8" t="s">
        <v>477</v>
      </c>
      <c r="G135" s="13" cm="1" t="str">
        <f t="array" ref="G135">IF(F135="","",SUBSTITUTE(SUBSTITUTE(SUBSTITUTE(SUBSTITUTE(F135,"&lt;li&gt;",CHAR(10)),"&lt;/li&gt;",""),"&lt;br&gt;",CHAR(10)),"&lt;strong&gt;",""))</f>
        <v>&lt;p&gt;Aucune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v>
      </c>
      <c r="H135" s="13" cm="1" t="str">
        <f t="array" ref="H135">IF(G135="","",SUBSTITUTE(SUBSTITUTE(SUBSTITUTE(SUBSTITUTE(SUBSTITUTE(G135,"&lt;p&gt;",""),"&lt;/p&gt;",""),"&lt;ul&gt;",""),"&lt;/ul&gt;",""),"&lt;/strong&gt;",""))</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I135" s="14" cm="1" t="str">
        <f t="array" ref="I135">IF(C135="","",IF(OR(H135="",H135=0,H135=FALSE),"-",H135))</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J135" s="8">
</c>
      <c r="K135" s="8" t="s">
        <v>203</v>
      </c>
      <c r="L135" s="9" cm="1" t="str">
        <f t="array" ref="L135">IF(C135="","",IF(K135="Mort / Plus rien à faire","KO","OK"))</f>
        <v>OK</v>
      </c>
      <c r="M135" s="15">
        <v>46028.549733796295</v>
      </c>
      <c r="N135" s="15" cm="1" t="n">
        <f t="array" ref="N135">IF(OR(C135="",M135="",M135=0),"",M135)</f>
        <v>46028.549733796295</v>
      </c>
      <c r="O135" s="15">
</c>
      <c r="P135" s="15" cm="1" t="str">
        <f t="array" ref="P135">IF(C135="","",IF(OR(O135="",O135=0),"-",O135))</f>
        <v>-</v>
      </c>
      <c r="Q135" s="16">
        <v>100000</v>
      </c>
      <c r="R135" s="16" cm="1" t="str">
        <f t="array" ref="R135">IF(C135="","",ROUND(Q135/1000000,3)&amp;" M€")</f>
        <v>0.1 M€</v>
      </c>
      <c r="S135" s="12" t="s">
        <v>216</v>
      </c>
      <c r="T135" s="9" cm="1" t="str">
        <f t="array" ref="T135">IF(C135="","",SUBSTITUTE(S135,"","")&amp;"%")</f>
        <v>10%</v>
      </c>
      <c r="U135" s="14" cm="1" t="str">
        <f t="array" ref="U135">IF(($N135="")*($P135=""),"",IF(($N135&lt;&gt;"")*($N135&gt;TODAY()-9)*($N135&lt;TODAY()+1)*($P135&lt;&gt;"")*($P135&gt;=TODAY())*($P135&lt;=TODAY()+13),"Semaine passée &amp; à venir",IF(($N135&lt;&gt;"")*($N135&gt;TODAY()-9)*($N135&lt;TODAY()+1),"Semaine passée",IF(($P135&lt;&gt;"")*($P135&gt;=TODAY())*($P135&lt;=TODAY()+13),"À venir","Autre"))))</f>
        <v>Autre</v>
      </c>
      <c r="V135" s="8" cm="1" t="n">
        <f t="array" ref="V135">IF(C135&lt;&gt;"",1,0)</f>
        <v>1</v>
      </c>
      <c r="W135" s="8">
</c>
      <c r="X135" s="8">
</c>
      <c r="Y135" s="8">
</c>
      <c r="Z135" s="8">
</c>
      <c r="AA135" s="8">
</c>
      <c r="AB135" s="8">
</c>
      <c r="AC135" s="8">
</c>
      <c r="AD135" s="8">
</c>
      <c r="AE135" s="8">
</c>
      <c r="AF135" s="8">
</c>
      <c r="AG135" s="8">
</c>
      <c r="AH135" s="8">
</c>
      <c r="AI135" s="8">
</c>
      <c r="AJ135" s="8">
</c>
      <c r="AK135" s="8">
</c>
    </row>
    <row r="136" ht="76.5" customHeight="1">
      <c r="A136" s="9" t="s">
        <v>23</v>
      </c>
      <c r="B136" s="9" t="s">
        <v>264</v>
      </c>
      <c r="C136" s="12" t="s">
        <v>478</v>
      </c>
      <c r="D136" s="12" t="s">
        <v>479</v>
      </c>
      <c r="E136" s="9" t="s">
        <v>27</v>
      </c>
      <c r="F136" s="8" t="s">
        <v>480</v>
      </c>
      <c r="G136" s="13" cm="1" t="str">
        <f t="array" ref="G136">IF(F136="","",SUBSTITUTE(SUBSTITUTE(SUBSTITUTE(SUBSTITUTE(F136,"&lt;li&gt;",CHAR(10)),"&lt;/li&gt;",""),"&lt;br&gt;",CHAR(10)),"&lt;strong&gt;",""))</f>
        <v>&lt;p&gt;RDV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core.&lt;/p&gt;</v>
      </c>
      <c r="H136" s="13" cm="1" t="str">
        <f t="array" ref="H136">IF(G136="","",SUBSTITUTE(SUBSTITUTE(SUBSTITUTE(SUBSTITUTE(SUBSTITUTE(G136,"&lt;p&gt;",""),"&lt;/p&gt;",""),"&lt;ul&gt;",""),"&lt;/ul&gt;",""),"&lt;/strong&gt;",""))</f>
        <v>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v>
      </c>
      <c r="I136" s="14" cm="1" t="str">
        <f t="array" ref="I136">IF(C136="","",IF(OR(H136="",H136=0,H136=FALSE),"-",H136))</f>
        <v>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v>
      </c>
      <c r="J136" s="8" t="s">
        <v>481</v>
      </c>
      <c r="K136" s="8" t="s">
        <v>106</v>
      </c>
      <c r="L136" s="9" cm="1" t="str">
        <f t="array" ref="L136">IF(C136="","",IF(K136="Mort / Plus rien à faire","KO","OK"))</f>
        <v>OK</v>
      </c>
      <c r="M136" s="15">
        <v>46125.78155092592</v>
      </c>
      <c r="N136" s="15" cm="1" t="n">
        <f t="array" ref="N136">IF(OR(C136="",M136="",M136=0),"",M136)</f>
        <v>46125.78155092592</v>
      </c>
      <c r="O136" s="15">
        <v>46290.083333333336</v>
      </c>
      <c r="P136" s="15" cm="1" t="n">
        <f t="array" ref="P136">IF(C136="","",IF(OR(O136="",O136=0),"-",O136))</f>
        <v>46290.083333333336</v>
      </c>
      <c r="Q136" s="16">
        <v>0</v>
      </c>
      <c r="R136" s="16" cm="1" t="str">
        <f t="array" ref="R136">IF(C136="","",ROUND(Q136/1000000,3)&amp;" M€")</f>
        <v>0 M€</v>
      </c>
      <c r="S136" s="12" t="s">
        <v>216</v>
      </c>
      <c r="T136" s="9" cm="1" t="str">
        <f t="array" ref="T136">IF(C136="","",SUBSTITUTE(S136,"","")&amp;"%")</f>
        <v>10%</v>
      </c>
      <c r="U136" s="14" cm="1" t="str">
        <f t="array" ref="U136">IF(($N136="")*($P136=""),"",IF(($N136&lt;&gt;"")*($N136&gt;TODAY()-9)*($N136&lt;TODAY()+1)*($P136&lt;&gt;"")*($P136&gt;=TODAY())*($P136&lt;=TODAY()+13),"Semaine passée &amp; à venir",IF(($N136&lt;&gt;"")*($N136&gt;TODAY()-9)*($N136&lt;TODAY()+1),"Semaine passée",IF(($P136&lt;&gt;"")*($P136&gt;=TODAY())*($P136&lt;=TODAY()+13),"À venir","Autre"))))</f>
        <v>Autre</v>
      </c>
      <c r="V136" s="8" cm="1" t="n">
        <f t="array" ref="V136">IF(C136&lt;&gt;"",1,0)</f>
        <v>1</v>
      </c>
      <c r="W136" s="8">
</c>
      <c r="X136" s="8">
</c>
      <c r="Y136" s="8">
</c>
      <c r="Z136" s="8">
</c>
      <c r="AA136" s="8">
</c>
      <c r="AB136" s="8">
</c>
      <c r="AC136" s="8">
</c>
      <c r="AD136" s="8">
</c>
      <c r="AE136" s="8">
</c>
      <c r="AF136" s="8">
</c>
      <c r="AG136" s="8">
</c>
      <c r="AH136" s="8">
</c>
      <c r="AI136" s="8">
</c>
      <c r="AJ136" s="8">
</c>
      <c r="AK136" s="8">
</c>
    </row>
    <row r="137" ht="76.5" customHeight="1">
      <c r="A137" s="9" t="s">
        <v>23</v>
      </c>
      <c r="B137" s="9" t="s">
        <v>144</v>
      </c>
      <c r="C137" s="12" t="s">
        <v>482</v>
      </c>
      <c r="D137" s="12" t="s">
        <v>483</v>
      </c>
      <c r="E137" s="9" t="s">
        <v>27</v>
      </c>
      <c r="F137" s="8" t="s">
        <v>484</v>
      </c>
      <c r="G137" s="13" cm="1" t="str">
        <f t="array" ref="G137">IF(F137="","",SUBSTITUTE(SUBSTITUTE(SUBSTITUTE(SUBSTITUTE(F137,"&lt;li&gt;",CHAR(10)),"&lt;/li&gt;",""),"&lt;br&gt;",CHAR(10)),"&lt;strong&gt;",""))</f>
        <v>&lt;p&gt;Aucune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v>
      </c>
      <c r="H137" s="13" cm="1" t="str">
        <f t="array" ref="H137">IF(G137="","",SUBSTITUTE(SUBSTITUTE(SUBSTITUTE(SUBSTITUTE(SUBSTITUTE(G137,"&lt;p&gt;",""),"&lt;/p&gt;",""),"&lt;ul&gt;",""),"&lt;/ul&gt;",""),"&lt;/strong&gt;",""))</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I137" s="14" cm="1" t="str">
        <f t="array" ref="I137">IF(C137="","",IF(OR(H137="",H137=0,H137=FALSE),"-",H137))</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J137" s="8">
</c>
      <c r="K137" s="8" t="s">
        <v>203</v>
      </c>
      <c r="L137" s="9" cm="1" t="str">
        <f t="array" ref="L137">IF(C137="","",IF(K137="Mort / Plus rien à faire","KO","OK"))</f>
        <v>OK</v>
      </c>
      <c r="M137" s="15">
        <v>45992.44721064815</v>
      </c>
      <c r="N137" s="15" cm="1" t="n">
        <f t="array" ref="N137">IF(OR(C137="",M137="",M137=0),"",M137)</f>
        <v>45992.44721064815</v>
      </c>
      <c r="O137" s="15">
</c>
      <c r="P137" s="15" cm="1" t="str">
        <f t="array" ref="P137">IF(C137="","",IF(OR(O137="",O137=0),"-",O137))</f>
        <v>-</v>
      </c>
      <c r="Q137" s="16">
        <v>0</v>
      </c>
      <c r="R137" s="16" cm="1" t="str">
        <f t="array" ref="R137">IF(C137="","",ROUND(Q137/1000000,3)&amp;" M€")</f>
        <v>0 M€</v>
      </c>
      <c r="S137" s="12" t="s">
        <v>216</v>
      </c>
      <c r="T137" s="9" cm="1" t="str">
        <f t="array" ref="T137">IF(C137="","",SUBSTITUTE(S137,"","")&amp;"%")</f>
        <v>10%</v>
      </c>
      <c r="U137" s="14" cm="1" t="str">
        <f t="array" ref="U137">IF(($N137="")*($P137=""),"",IF(($N137&lt;&gt;"")*($N137&gt;TODAY()-9)*($N137&lt;TODAY()+1)*($P137&lt;&gt;"")*($P137&gt;=TODAY())*($P137&lt;=TODAY()+13),"Semaine passée &amp; à venir",IF(($N137&lt;&gt;"")*($N137&gt;TODAY()-9)*($N137&lt;TODAY()+1),"Semaine passée",IF(($P137&lt;&gt;"")*($P137&gt;=TODAY())*($P137&lt;=TODAY()+13),"À venir","Autre"))))</f>
        <v>Autre</v>
      </c>
      <c r="V137" s="8" cm="1" t="n">
        <f t="array" ref="V137">IF(C137&lt;&gt;"",1,0)</f>
        <v>1</v>
      </c>
      <c r="W137" s="8">
</c>
      <c r="X137" s="8">
</c>
      <c r="Y137" s="8">
</c>
      <c r="Z137" s="8">
</c>
      <c r="AA137" s="8">
</c>
      <c r="AB137" s="8">
</c>
      <c r="AC137" s="8">
</c>
      <c r="AD137" s="8">
</c>
      <c r="AE137" s="8">
</c>
      <c r="AF137" s="8">
</c>
      <c r="AG137" s="8">
</c>
      <c r="AH137" s="8">
</c>
      <c r="AI137" s="8">
</c>
      <c r="AJ137" s="8">
</c>
      <c r="AK137" s="8">
</c>
    </row>
    <row r="138" ht="76.5" customHeight="1">
      <c r="A138" s="9" t="s">
        <v>23</v>
      </c>
      <c r="B138" s="9" t="s">
        <v>144</v>
      </c>
      <c r="C138" s="12" t="s">
        <v>485</v>
      </c>
      <c r="D138" s="12" t="s">
        <v>486</v>
      </c>
      <c r="E138" s="9" t="s">
        <v>27</v>
      </c>
      <c r="F138" s="8" t="s">
        <v>487</v>
      </c>
      <c r="G138" s="13" cm="1" t="str">
        <f t="array" ref="G138">IF(F138="","",SUBSTITUTE(SUBSTITUTE(SUBSTITUTE(SUBSTITUTE(F138,"&lt;li&gt;",CHAR(10)),"&lt;/li&gt;",""),"&lt;br&gt;",CHAR(10)),"&lt;strong&gt;",""))</f>
        <v>&lt;p&gt;RDV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v>
      </c>
      <c r="H138" s="13" cm="1" t="str">
        <f t="array" ref="H138">IF(G138="","",SUBSTITUTE(SUBSTITUTE(SUBSTITUTE(SUBSTITUTE(SUBSTITUTE(G138,"&lt;p&gt;",""),"&lt;/p&gt;",""),"&lt;ul&gt;",""),"&lt;/ul&gt;",""),"&lt;/strong&gt;",""))</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I138" s="14" cm="1" t="str">
        <f t="array" ref="I138">IF(C138="","",IF(OR(H138="",H138=0,H138=FALSE),"-",H138))</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J138" s="8" t="s">
        <v>488</v>
      </c>
      <c r="K138" s="8" t="s">
        <v>106</v>
      </c>
      <c r="L138" s="9" cm="1" t="str">
        <f t="array" ref="L138">IF(C138="","",IF(K138="Mort / Plus rien à faire","KO","OK"))</f>
        <v>OK</v>
      </c>
      <c r="M138" s="15">
        <v>46028.52925925926</v>
      </c>
      <c r="N138" s="15" cm="1" t="n">
        <f t="array" ref="N138">IF(OR(C138="",M138="",M138=0),"",M138)</f>
        <v>46028.52925925926</v>
      </c>
      <c r="O138" s="15">
        <v>46203.083333333336</v>
      </c>
      <c r="P138" s="15" cm="1" t="n">
        <f t="array" ref="P138">IF(C138="","",IF(OR(O138="",O138=0),"-",O138))</f>
        <v>46203.083333333336</v>
      </c>
      <c r="Q138" s="16">
        <v>0</v>
      </c>
      <c r="R138" s="16" cm="1" t="str">
        <f t="array" ref="R138">IF(C138="","",ROUND(Q138/1000000,3)&amp;" M€")</f>
        <v>0 M€</v>
      </c>
      <c r="S138" s="12" t="s">
        <v>216</v>
      </c>
      <c r="T138" s="9" cm="1" t="str">
        <f t="array" ref="T138">IF(C138="","",SUBSTITUTE(S138,"","")&amp;"%")</f>
        <v>10%</v>
      </c>
      <c r="U138" s="14" cm="1" t="str">
        <f t="array" ref="U138">IF(($N138="")*($P138=""),"",IF(($N138&lt;&gt;"")*($N138&gt;TODAY()-9)*($N138&lt;TODAY()+1)*($P138&lt;&gt;"")*($P138&gt;=TODAY())*($P138&lt;=TODAY()+13),"Semaine passée &amp; à venir",IF(($N138&lt;&gt;"")*($N138&gt;TODAY()-9)*($N138&lt;TODAY()+1),"Semaine passée",IF(($P138&lt;&gt;"")*($P138&gt;=TODAY())*($P138&lt;=TODAY()+13),"À venir","Autre"))))</f>
        <v>Autre</v>
      </c>
      <c r="V138" s="8" cm="1" t="n">
        <f t="array" ref="V138">IF(C138&lt;&gt;"",1,0)</f>
        <v>1</v>
      </c>
      <c r="W138" s="8">
</c>
      <c r="X138" s="8">
</c>
      <c r="Y138" s="8">
</c>
      <c r="Z138" s="8">
</c>
      <c r="AA138" s="8">
</c>
      <c r="AB138" s="8">
</c>
      <c r="AC138" s="8">
</c>
      <c r="AD138" s="8">
</c>
      <c r="AE138" s="8">
</c>
      <c r="AF138" s="8">
</c>
      <c r="AG138" s="8">
</c>
      <c r="AH138" s="8">
</c>
      <c r="AI138" s="8">
</c>
      <c r="AJ138" s="8">
</c>
      <c r="AK138" s="8">
</c>
    </row>
    <row r="139" ht="76.5" customHeight="1">
      <c r="A139" s="9" t="s">
        <v>23</v>
      </c>
      <c r="B139" s="9" t="s">
        <v>48</v>
      </c>
      <c r="C139" s="12" t="s">
        <v>489</v>
      </c>
      <c r="D139" s="12" t="s">
        <v>490</v>
      </c>
      <c r="E139" s="9" t="s">
        <v>27</v>
      </c>
      <c r="F139" s="8" t="s">
        <v>491</v>
      </c>
      <c r="G139" s="13" cm="1" t="str">
        <f t="array" ref="G139">IF(F139="","",SUBSTITUTE(SUBSTITUTE(SUBSTITUTE(SUBSTITUTE(F139,"&lt;li&gt;",CHAR(10)),"&lt;/li&gt;",""),"&lt;br&gt;",CHAR(10)),"&lt;strong&gt;",""))</f>
        <v>&lt;p&gt;RDV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v>
      </c>
      <c r="H139" s="13" cm="1" t="str">
        <f t="array" ref="H139">IF(G139="","",SUBSTITUTE(SUBSTITUTE(SUBSTITUTE(SUBSTITUTE(SUBSTITUTE(G139,"&lt;p&gt;",""),"&lt;/p&gt;",""),"&lt;ul&gt;",""),"&lt;/ul&gt;",""),"&lt;/strong&gt;",""))</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I139" s="14" cm="1" t="str">
        <f t="array" ref="I139">IF(C139="","",IF(OR(H139="",H139=0,H139=FALSE),"-",H139))</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J139" s="8" t="s">
        <v>492</v>
      </c>
      <c r="K139" s="8" t="s">
        <v>53</v>
      </c>
      <c r="L139" s="9" cm="1" t="str">
        <f t="array" ref="L139">IF(C139="","",IF(K139="Mort / Plus rien à faire","KO","OK"))</f>
        <v>OK</v>
      </c>
      <c r="M139" s="15">
        <v>46092.77395833333</v>
      </c>
      <c r="N139" s="15" cm="1" t="n">
        <f t="array" ref="N139">IF(OR(C139="",M139="",M139=0),"",M139)</f>
        <v>46092.77395833333</v>
      </c>
      <c r="O139" s="15">
</c>
      <c r="P139" s="15" cm="1" t="str">
        <f t="array" ref="P139">IF(C139="","",IF(OR(O139="",O139=0),"-",O139))</f>
        <v>-</v>
      </c>
      <c r="Q139" s="16">
        <v>0</v>
      </c>
      <c r="R139" s="16" cm="1" t="str">
        <f t="array" ref="R139">IF(C139="","",ROUND(Q139/1000000,3)&amp;" M€")</f>
        <v>0 M€</v>
      </c>
      <c r="S139" s="12" t="s">
        <v>216</v>
      </c>
      <c r="T139" s="9" cm="1" t="str">
        <f t="array" ref="T139">IF(C139="","",SUBSTITUTE(S139,"","")&amp;"%")</f>
        <v>10%</v>
      </c>
      <c r="U139" s="14" cm="1" t="str">
        <f t="array" ref="U139">IF(($N139="")*($P139=""),"",IF(($N139&lt;&gt;"")*($N139&gt;TODAY()-9)*($N139&lt;TODAY()+1)*($P139&lt;&gt;"")*($P139&gt;=TODAY())*($P139&lt;=TODAY()+13),"Semaine passée &amp; à venir",IF(($N139&lt;&gt;"")*($N139&gt;TODAY()-9)*($N139&lt;TODAY()+1),"Semaine passée",IF(($P139&lt;&gt;"")*($P139&gt;=TODAY())*($P139&lt;=TODAY()+13),"À venir","Autre"))))</f>
        <v>Autre</v>
      </c>
      <c r="V139" s="8" cm="1" t="n">
        <f t="array" ref="V139">IF(C139&lt;&gt;"",1,0)</f>
        <v>1</v>
      </c>
      <c r="W139" s="8">
</c>
      <c r="X139" s="8">
</c>
      <c r="Y139" s="8">
</c>
      <c r="Z139" s="8">
</c>
      <c r="AA139" s="8">
</c>
      <c r="AB139" s="8">
</c>
      <c r="AC139" s="8">
</c>
      <c r="AD139" s="8">
</c>
      <c r="AE139" s="8">
</c>
      <c r="AF139" s="8">
</c>
      <c r="AG139" s="8">
</c>
      <c r="AH139" s="8">
</c>
      <c r="AI139" s="8">
</c>
      <c r="AJ139" s="8">
</c>
      <c r="AK139" s="8">
</c>
    </row>
    <row r="140" ht="76.5" customHeight="1">
      <c r="A140" s="9" t="s">
        <v>23</v>
      </c>
      <c r="B140" s="9" t="s">
        <v>260</v>
      </c>
      <c r="C140" s="12" t="s">
        <v>493</v>
      </c>
      <c r="D140" s="12" t="s">
        <v>494</v>
      </c>
      <c r="E140" s="9" t="s">
        <v>27</v>
      </c>
      <c r="F140" s="8" t="s">
        <v>495</v>
      </c>
      <c r="G140" s="13" cm="1" t="str">
        <f t="array" ref="G140">IF(F140="","",SUBSTITUTE(SUBSTITUTE(SUBSTITUTE(SUBSTITUTE(F140,"&lt;li&gt;",CHAR(10)),"&lt;/li&gt;",""),"&lt;br&gt;",CHAR(10)),"&lt;strong&gt;",""))</f>
        <v>&lt;p&gt;Mail présentation Straton envoyé 10/02, attribution initiale Romain Andrieu. Enrichissement lead impossible (email non valide). Nouvelle piste créée pour équipe Ventes. Pas d'activité ou retour prospect, prochaines étapes non définies. Suivi à relancer si besoin.&lt;/p&gt;</v>
      </c>
      <c r="H140" s="13" cm="1" t="str">
        <f t="array" ref="H140">IF(G140="","",SUBSTITUTE(SUBSTITUTE(SUBSTITUTE(SUBSTITUTE(SUBSTITUTE(G140,"&lt;p&gt;",""),"&lt;/p&gt;",""),"&lt;ul&gt;",""),"&lt;/ul&gt;",""),"&lt;/strong&gt;",""))</f>
        <v>Mail présentation Straton envoyé 10/02, attribution initiale Romain Andrieu. Enrichissement lead impossible (email non valide). Nouvelle piste créée pour équipe Ventes. Pas d'activité ou retour prospect, prochaines étapes non définies. Suivi à relancer si besoin.</v>
      </c>
      <c r="I140" s="14" cm="1" t="str">
        <f t="array" ref="I140">IF(C140="","",IF(OR(H140="",H140=0,H140=FALSE),"-",H140))</f>
        <v>Mail présentation Straton envoyé 10/02, attribution initiale Romain Andrieu. Enrichissement lead impossible (email non valide). Nouvelle piste créée pour équipe Ventes. Pas d'activité ou retour prospect, prochaines étapes non définies. Suivi à relancer si besoin.</v>
      </c>
      <c r="J140" s="8">
</c>
      <c r="K140" s="8" t="s">
        <v>203</v>
      </c>
      <c r="L140" s="9" cm="1" t="str">
        <f t="array" ref="L140">IF(C140="","",IF(K140="Mort / Plus rien à faire","KO","OK"))</f>
        <v>OK</v>
      </c>
      <c r="M140" s="15">
        <v>46063.629016203704</v>
      </c>
      <c r="N140" s="15" cm="1" t="n">
        <f t="array" ref="N140">IF(OR(C140="",M140="",M140=0),"",M140)</f>
        <v>46063.629016203704</v>
      </c>
      <c r="O140" s="15">
</c>
      <c r="P140" s="15" cm="1" t="str">
        <f t="array" ref="P140">IF(C140="","",IF(OR(O140="",O140=0),"-",O140))</f>
        <v>-</v>
      </c>
      <c r="Q140" s="16">
        <v>0</v>
      </c>
      <c r="R140" s="16" cm="1" t="str">
        <f t="array" ref="R140">IF(C140="","",ROUND(Q140/1000000,3)&amp;" M€")</f>
        <v>0 M€</v>
      </c>
      <c r="S140" s="12" t="s">
        <v>216</v>
      </c>
      <c r="T140" s="9" cm="1" t="str">
        <f t="array" ref="T140">IF(C140="","",SUBSTITUTE(S140,"","")&amp;"%")</f>
        <v>10%</v>
      </c>
      <c r="U140" s="14" cm="1" t="str">
        <f t="array" ref="U140">IF(($N140="")*($P140=""),"",IF(($N140&lt;&gt;"")*($N140&gt;TODAY()-9)*($N140&lt;TODAY()+1)*($P140&lt;&gt;"")*($P140&gt;=TODAY())*($P140&lt;=TODAY()+13),"Semaine passée &amp; à venir",IF(($N140&lt;&gt;"")*($N140&gt;TODAY()-9)*($N140&lt;TODAY()+1),"Semaine passée",IF(($P140&lt;&gt;"")*($P140&gt;=TODAY())*($P140&lt;=TODAY()+13),"À venir","Autre"))))</f>
        <v>Autre</v>
      </c>
      <c r="V140" s="8" cm="1" t="n">
        <f t="array" ref="V140">IF(C140&lt;&gt;"",1,0)</f>
        <v>1</v>
      </c>
      <c r="W140" s="8">
</c>
      <c r="X140" s="8">
</c>
      <c r="Y140" s="8">
</c>
      <c r="Z140" s="8">
</c>
      <c r="AA140" s="8">
</c>
      <c r="AB140" s="8">
</c>
      <c r="AC140" s="8">
</c>
      <c r="AD140" s="8">
</c>
      <c r="AE140" s="8">
</c>
      <c r="AF140" s="8">
</c>
      <c r="AG140" s="8">
</c>
      <c r="AH140" s="8">
</c>
      <c r="AI140" s="8">
</c>
      <c r="AJ140" s="8">
</c>
      <c r="AK140" s="8">
</c>
    </row>
    <row r="141" ht="76.5" customHeight="1">
      <c r="A141" s="9" t="s">
        <v>23</v>
      </c>
      <c r="B141" s="9" t="s">
        <v>40</v>
      </c>
      <c r="C141" s="12" t="s">
        <v>496</v>
      </c>
      <c r="D141" s="12" t="s">
        <v>497</v>
      </c>
      <c r="E141" s="9" t="s">
        <v>43</v>
      </c>
      <c r="F141" s="8" t="s">
        <v>498</v>
      </c>
      <c r="G141" s="13" cm="1" t="str">
        <f t="array" ref="G141">IF(F141="","",SUBSTITUTE(SUBSTITUTE(SUBSTITUTE(SUBSTITUTE(F141,"&lt;li&gt;",CHAR(10)),"&lt;/li&gt;",""),"&lt;br&gt;",CHAR(10)),"&lt;strong&gt;",""))</f>
        <v>&lt;p&gt;Présentation fonds Audacia au prospect pour étudier un partenariat et envoi de dossiers. Aucun retour du prospect sur l'intérêt ou les suites à donner. Tentative d'enrichissement lead échouée (email invalide). Pas d'autres actions ou activités planifiées à ce jour.&lt;/p&gt;</v>
      </c>
      <c r="H141" s="13" cm="1" t="str">
        <f t="array" ref="H141">IF(G141="","",SUBSTITUTE(SUBSTITUTE(SUBSTITUTE(SUBSTITUTE(SUBSTITUTE(G141,"&lt;p&gt;",""),"&lt;/p&gt;",""),"&lt;ul&gt;",""),"&lt;/ul&gt;",""),"&lt;/strong&gt;",""))</f>
        <v>Présentation fonds Audacia au prospect pour étudier un partenariat et envoi de dossiers. Aucun retour du prospect sur l'intérêt ou les suites à donner. Tentative d'enrichissement lead échouée (email invalide). Pas d'autres actions ou activités planifiées à ce jour.</v>
      </c>
      <c r="I141" s="14" cm="1" t="str">
        <f t="array" ref="I141">IF(C141="","",IF(OR(H141="",H141=0,H141=FALSE),"-",H141))</f>
        <v>Présentation fonds Audacia au prospect pour étudier un partenariat et envoi de dossiers. Aucun retour du prospect sur l'intérêt ou les suites à donner. Tentative d'enrichissement lead échouée (email invalide). Pas d'autres actions ou activités planifiées à ce jour.</v>
      </c>
      <c r="J141" s="8">
</c>
      <c r="K141" s="8" t="s">
        <v>53</v>
      </c>
      <c r="L141" s="9" cm="1" t="str">
        <f t="array" ref="L141">IF(C141="","",IF(K141="Mort / Plus rien à faire","KO","OK"))</f>
        <v>OK</v>
      </c>
      <c r="M141" s="15">
        <v>46050.736030092594</v>
      </c>
      <c r="N141" s="15" cm="1" t="n">
        <f t="array" ref="N141">IF(OR(C141="",M141="",M141=0),"",M141)</f>
        <v>46050.736030092594</v>
      </c>
      <c r="O141" s="15">
</c>
      <c r="P141" s="15" cm="1" t="str">
        <f t="array" ref="P141">IF(C141="","",IF(OR(O141="",O141=0),"-",O141))</f>
        <v>-</v>
      </c>
      <c r="Q141" s="16">
        <v>0</v>
      </c>
      <c r="R141" s="16" cm="1" t="str">
        <f t="array" ref="R141">IF(C141="","",ROUND(Q141/1000000,3)&amp;" M€")</f>
        <v>0 M€</v>
      </c>
      <c r="S141" s="12" t="s">
        <v>216</v>
      </c>
      <c r="T141" s="9" cm="1" t="str">
        <f t="array" ref="T141">IF(C141="","",SUBSTITUTE(S141,"","")&amp;"%")</f>
        <v>10%</v>
      </c>
      <c r="U141" s="14" cm="1" t="str">
        <f t="array" ref="U141">IF(($N141="")*($P141=""),"",IF(($N141&lt;&gt;"")*($N141&gt;TODAY()-9)*($N141&lt;TODAY()+1)*($P141&lt;&gt;"")*($P141&gt;=TODAY())*($P141&lt;=TODAY()+13),"Semaine passée &amp; à venir",IF(($N141&lt;&gt;"")*($N141&gt;TODAY()-9)*($N141&lt;TODAY()+1),"Semaine passée",IF(($P141&lt;&gt;"")*($P141&gt;=TODAY())*($P141&lt;=TODAY()+13),"À venir","Autre"))))</f>
        <v>Autre</v>
      </c>
      <c r="V141" s="8" cm="1" t="n">
        <f t="array" ref="V141">IF(C141&lt;&gt;"",1,0)</f>
        <v>1</v>
      </c>
      <c r="W141" s="8">
</c>
      <c r="X141" s="8">
</c>
      <c r="Y141" s="8">
</c>
      <c r="Z141" s="8">
</c>
      <c r="AA141" s="8">
</c>
      <c r="AB141" s="8">
</c>
      <c r="AC141" s="8">
</c>
      <c r="AD141" s="8">
</c>
      <c r="AE141" s="8">
</c>
      <c r="AF141" s="8">
</c>
      <c r="AG141" s="8">
</c>
      <c r="AH141" s="8">
</c>
      <c r="AI141" s="8">
</c>
      <c r="AJ141" s="8">
</c>
      <c r="AK141" s="8">
</c>
    </row>
    <row r="142" ht="76.5" customHeight="1">
      <c r="A142" s="9" t="s">
        <v>23</v>
      </c>
      <c r="B142" s="9" t="s">
        <v>24</v>
      </c>
      <c r="C142" s="12" t="s">
        <v>499</v>
      </c>
      <c r="D142" s="12" t="s">
        <v>500</v>
      </c>
      <c r="E142" s="9" t="s">
        <v>27</v>
      </c>
      <c r="F142" s="8">
</c>
      <c r="G142" s="13" cm="1" t="str">
        <f t="array" ref="G142">IF(F142="","",SUBSTITUTE(SUBSTITUTE(SUBSTITUTE(SUBSTITUTE(F142,"&lt;li&gt;",CHAR(10)),"&lt;/li&gt;",""),"&lt;br&gt;",CHAR(10)),"&lt;strong&gt;",""))</f>
        <v/>
      </c>
      <c r="H142" s="13" cm="1" t="str">
        <f t="array" ref="H142">IF(G142="","",SUBSTITUTE(SUBSTITUTE(SUBSTITUTE(SUBSTITUTE(SUBSTITUTE(G142,"&lt;p&gt;",""),"&lt;/p&gt;",""),"&lt;ul&gt;",""),"&lt;/ul&gt;",""),"&lt;/strong&gt;",""))</f>
        <v/>
      </c>
      <c r="I142" s="14" cm="1" t="str">
        <f t="array" ref="I142">IF(C142="","",IF(OR(H142="",H142=0,H142=FALSE),"-",H142))</f>
        <v>-</v>
      </c>
      <c r="J142" s="8" t="s">
        <v>501</v>
      </c>
      <c r="K142" s="8" t="s">
        <v>106</v>
      </c>
      <c r="L142" s="9" cm="1" t="str">
        <f t="array" ref="L142">IF(C142="","",IF(K142="Mort / Plus rien à faire","KO","OK"))</f>
        <v>OK</v>
      </c>
      <c r="M142" s="15">
        <v>46114.68157407407</v>
      </c>
      <c r="N142" s="15" cm="1" t="n">
        <f t="array" ref="N142">IF(OR(C142="",M142="",M142=0),"",M142)</f>
        <v>46114.68157407407</v>
      </c>
      <c r="O142" s="15">
</c>
      <c r="P142" s="15" cm="1" t="str">
        <f t="array" ref="P142">IF(C142="","",IF(OR(O142="",O142=0),"-",O142))</f>
        <v>-</v>
      </c>
      <c r="Q142" s="16">
        <v>5000000</v>
      </c>
      <c r="R142" s="16" cm="1" t="str">
        <f t="array" ref="R142">IF(C142="","",ROUND(Q142/1000000,3)&amp;" M€")</f>
        <v>5 M€</v>
      </c>
      <c r="S142" s="12" t="s">
        <v>216</v>
      </c>
      <c r="T142" s="9" cm="1" t="str">
        <f t="array" ref="T142">IF(C142="","",SUBSTITUTE(S142,"","")&amp;"%")</f>
        <v>10%</v>
      </c>
      <c r="U142" s="14" cm="1" t="str">
        <f t="array" ref="U142">IF(($N142="")*($P142=""),"",IF(($N142&lt;&gt;"")*($N142&gt;TODAY()-9)*($N142&lt;TODAY()+1)*($P142&lt;&gt;"")*($P142&gt;=TODAY())*($P142&lt;=TODAY()+13),"Semaine passée &amp; à venir",IF(($N142&lt;&gt;"")*($N142&gt;TODAY()-9)*($N142&lt;TODAY()+1),"Semaine passée",IF(($P142&lt;&gt;"")*($P142&gt;=TODAY())*($P142&lt;=TODAY()+13),"À venir","Autre"))))</f>
        <v>Autre</v>
      </c>
      <c r="V142" s="8" cm="1" t="n">
        <f t="array" ref="V142">IF(C142&lt;&gt;"",1,0)</f>
        <v>1</v>
      </c>
      <c r="W142" s="8">
</c>
      <c r="X142" s="8">
</c>
      <c r="Y142" s="8">
</c>
      <c r="Z142" s="8">
</c>
      <c r="AA142" s="8">
</c>
      <c r="AB142" s="8">
</c>
      <c r="AC142" s="8">
</c>
      <c r="AD142" s="8">
</c>
      <c r="AE142" s="8">
</c>
      <c r="AF142" s="8">
</c>
      <c r="AG142" s="8">
</c>
      <c r="AH142" s="8">
</c>
      <c r="AI142" s="8">
</c>
      <c r="AJ142" s="8">
</c>
      <c r="AK142" s="8">
</c>
    </row>
    <row r="143" ht="76.5" customHeight="1">
      <c r="A143" s="9" t="s">
        <v>23</v>
      </c>
      <c r="B143" s="9" t="s">
        <v>55</v>
      </c>
      <c r="C143" s="12" t="s">
        <v>502</v>
      </c>
      <c r="D143" s="12" t="s">
        <v>503</v>
      </c>
      <c r="E143" s="9" t="s">
        <v>27</v>
      </c>
      <c r="F143" s="8" t="s">
        <v>504</v>
      </c>
      <c r="G143" s="13" cm="1" t="str">
        <f t="array" ref="G143">IF(F143="","",SUBSTITUTE(SUBSTITUTE(SUBSTITUTE(SUBSTITUTE(F143,"&lt;li&gt;",CHAR(10)),"&lt;/li&gt;",""),"&lt;br&gt;",CHAR(10)),"&lt;strong&gt;",""))</f>
        <v>&lt;p&gt;RDV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v>
      </c>
      <c r="H143" s="13" cm="1" t="str">
        <f t="array" ref="H143">IF(G143="","",SUBSTITUTE(SUBSTITUTE(SUBSTITUTE(SUBSTITUTE(SUBSTITUTE(G143,"&lt;p&gt;",""),"&lt;/p&gt;",""),"&lt;ul&gt;",""),"&lt;/ul&gt;",""),"&lt;/strong&gt;",""))</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I143" s="14" cm="1" t="str">
        <f t="array" ref="I143">IF(C143="","",IF(OR(H143="",H143=0,H143=FALSE),"-",H143))</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J143" s="8" t="s">
        <v>505</v>
      </c>
      <c r="K143" s="8" t="s">
        <v>53</v>
      </c>
      <c r="L143" s="9" cm="1" t="str">
        <f t="array" ref="L143">IF(C143="","",IF(K143="Mort / Plus rien à faire","KO","OK"))</f>
        <v>OK</v>
      </c>
      <c r="M143" s="15">
        <v>46114.70804398148</v>
      </c>
      <c r="N143" s="15" cm="1" t="n">
        <f t="array" ref="N143">IF(OR(C143="",M143="",M143=0),"",M143)</f>
        <v>46114.70804398148</v>
      </c>
      <c r="O143" s="15">
</c>
      <c r="P143" s="15" cm="1" t="str">
        <f t="array" ref="P143">IF(C143="","",IF(OR(O143="",O143=0),"-",O143))</f>
        <v>-</v>
      </c>
      <c r="Q143" s="16">
        <v>0</v>
      </c>
      <c r="R143" s="16" cm="1" t="str">
        <f t="array" ref="R143">IF(C143="","",ROUND(Q143/1000000,3)&amp;" M€")</f>
        <v>0 M€</v>
      </c>
      <c r="S143" s="12" t="s">
        <v>216</v>
      </c>
      <c r="T143" s="9" cm="1" t="str">
        <f t="array" ref="T143">IF(C143="","",SUBSTITUTE(S143,"","")&amp;"%")</f>
        <v>10%</v>
      </c>
      <c r="U143" s="14" cm="1" t="str">
        <f t="array" ref="U143">IF(($N143="")*($P143=""),"",IF(($N143&lt;&gt;"")*($N143&gt;TODAY()-9)*($N143&lt;TODAY()+1)*($P143&lt;&gt;"")*($P143&gt;=TODAY())*($P143&lt;=TODAY()+13),"Semaine passée &amp; à venir",IF(($N143&lt;&gt;"")*($N143&gt;TODAY()-9)*($N143&lt;TODAY()+1),"Semaine passée",IF(($P143&lt;&gt;"")*($P143&gt;=TODAY())*($P143&lt;=TODAY()+13),"À venir","Autre"))))</f>
        <v>Autre</v>
      </c>
      <c r="V143" s="8" cm="1" t="n">
        <f t="array" ref="V143">IF(C143&lt;&gt;"",1,0)</f>
        <v>1</v>
      </c>
      <c r="W143" s="8">
</c>
      <c r="X143" s="8">
</c>
      <c r="Y143" s="8">
</c>
      <c r="Z143" s="8">
</c>
      <c r="AA143" s="8">
</c>
      <c r="AB143" s="8">
</c>
      <c r="AC143" s="8">
</c>
      <c r="AD143" s="8">
</c>
      <c r="AE143" s="8">
</c>
      <c r="AF143" s="8">
</c>
      <c r="AG143" s="8">
</c>
      <c r="AH143" s="8">
</c>
      <c r="AI143" s="8">
</c>
      <c r="AJ143" s="8">
</c>
      <c r="AK143" s="8">
</c>
    </row>
    <row r="144" ht="76.5" customHeight="1">
      <c r="A144" s="9" t="s">
        <v>23</v>
      </c>
      <c r="B144" s="9" t="s">
        <v>506</v>
      </c>
      <c r="C144" s="12" t="s">
        <v>507</v>
      </c>
      <c r="D144" s="12" t="s">
        <v>508</v>
      </c>
      <c r="E144" s="9" t="s">
        <v>43</v>
      </c>
      <c r="F144" s="8" t="s">
        <v>509</v>
      </c>
      <c r="G144" s="13" cm="1" t="str">
        <f t="array" ref="G144">IF(F144="","",SUBSTITUTE(SUBSTITUTE(SUBSTITUTE(SUBSTITUTE(F144,"&lt;li&gt;",CHAR(10)),"&lt;/li&gt;",""),"&lt;br&gt;",CHAR(10)),"&lt;strong&gt;",""))</f>
        <v>&lt;p&gt;25/02/26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v>
      </c>
      <c r="H144" s="13" cm="1" t="str">
        <f t="array" ref="H144">IF(G144="","",SUBSTITUTE(SUBSTITUTE(SUBSTITUTE(SUBSTITUTE(SUBSTITUTE(G144,"&lt;p&gt;",""),"&lt;/p&gt;",""),"&lt;ul&gt;",""),"&lt;/ul&gt;",""),"&lt;/strong&gt;",""))</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I144" s="14" cm="1" t="str">
        <f t="array" ref="I144">IF(C144="","",IF(OR(H144="",H144=0,H144=FALSE),"-",H144))</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J144" s="8" t="s">
        <v>510</v>
      </c>
      <c r="K144" s="8" t="s">
        <v>53</v>
      </c>
      <c r="L144" s="9" cm="1" t="str">
        <f t="array" ref="L144">IF(C144="","",IF(K144="Mort / Plus rien à faire","KO","OK"))</f>
        <v>OK</v>
      </c>
      <c r="M144" s="15">
        <v>46086.70446759259</v>
      </c>
      <c r="N144" s="15" cm="1" t="n">
        <f t="array" ref="N144">IF(OR(C144="",M144="",M144=0),"",M144)</f>
        <v>46086.70446759259</v>
      </c>
      <c r="O144" s="15">
</c>
      <c r="P144" s="15" cm="1" t="str">
        <f t="array" ref="P144">IF(C144="","",IF(OR(O144="",O144=0),"-",O144))</f>
        <v>-</v>
      </c>
      <c r="Q144" s="16">
        <v>0</v>
      </c>
      <c r="R144" s="16" cm="1" t="str">
        <f t="array" ref="R144">IF(C144="","",ROUND(Q144/1000000,3)&amp;" M€")</f>
        <v>0 M€</v>
      </c>
      <c r="S144" s="12" t="s">
        <v>216</v>
      </c>
      <c r="T144" s="9" cm="1" t="str">
        <f t="array" ref="T144">IF(C144="","",SUBSTITUTE(S144,"","")&amp;"%")</f>
        <v>10%</v>
      </c>
      <c r="U144" s="14" cm="1" t="str">
        <f t="array" ref="U144">IF(($N144="")*($P144=""),"",IF(($N144&lt;&gt;"")*($N144&gt;TODAY()-9)*($N144&lt;TODAY()+1)*($P144&lt;&gt;"")*($P144&gt;=TODAY())*($P144&lt;=TODAY()+13),"Semaine passée &amp; à venir",IF(($N144&lt;&gt;"")*($N144&gt;TODAY()-9)*($N144&lt;TODAY()+1),"Semaine passée",IF(($P144&lt;&gt;"")*($P144&gt;=TODAY())*($P144&lt;=TODAY()+13),"À venir","Autre"))))</f>
        <v>Autre</v>
      </c>
      <c r="V144" s="8" cm="1" t="n">
        <f t="array" ref="V144">IF(C144&lt;&gt;"",1,0)</f>
        <v>1</v>
      </c>
      <c r="W144" s="8">
</c>
      <c r="X144" s="8">
</c>
      <c r="Y144" s="8">
</c>
      <c r="Z144" s="8">
</c>
      <c r="AA144" s="8">
</c>
      <c r="AB144" s="8">
</c>
      <c r="AC144" s="8">
</c>
      <c r="AD144" s="8">
</c>
      <c r="AE144" s="8">
</c>
      <c r="AF144" s="8">
</c>
      <c r="AG144" s="8">
</c>
      <c r="AH144" s="8">
</c>
      <c r="AI144" s="8">
</c>
      <c r="AJ144" s="8">
</c>
      <c r="AK144" s="8">
</c>
    </row>
    <row r="145" ht="76.5" customHeight="1">
      <c r="A145" s="9" t="s">
        <v>23</v>
      </c>
      <c r="B145" s="9" t="s">
        <v>31</v>
      </c>
      <c r="C145" s="12" t="s">
        <v>511</v>
      </c>
      <c r="D145" s="12" t="s">
        <v>512</v>
      </c>
      <c r="E145" s="9" t="s">
        <v>51</v>
      </c>
      <c r="F145" s="8" t="s">
        <v>513</v>
      </c>
      <c r="G145" s="13" cm="1" t="str">
        <f t="array" ref="G145">IF(F145="","",SUBSTITUTE(SUBSTITUTE(SUBSTITUTE(SUBSTITUTE(F145,"&lt;li&gt;",CHAR(10)),"&lt;/li&gt;",""),"&lt;br&gt;",CHAR(10)),"&lt;strong&gt;",""))</f>
        <v>&lt;p&gt;Café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v>
      </c>
      <c r="H145" s="13" cm="1" t="str">
        <f t="array" ref="H145">IF(G145="","",SUBSTITUTE(SUBSTITUTE(SUBSTITUTE(SUBSTITUTE(SUBSTITUTE(G145,"&lt;p&gt;",""),"&lt;/p&gt;",""),"&lt;ul&gt;",""),"&lt;/ul&gt;",""),"&lt;/strong&gt;",""))</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I145" s="14" cm="1" t="str">
        <f t="array" ref="I145">IF(C145="","",IF(OR(H145="",H145=0,H145=FALSE),"-",H145))</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J145" s="8">
</c>
      <c r="K145" s="8" t="s">
        <v>106</v>
      </c>
      <c r="L145" s="9" cm="1" t="str">
        <f t="array" ref="L145">IF(C145="","",IF(K145="Mort / Plus rien à faire","KO","OK"))</f>
        <v>OK</v>
      </c>
      <c r="M145" s="15">
        <v>46112.48369212963</v>
      </c>
      <c r="N145" s="15" cm="1" t="n">
        <f t="array" ref="N145">IF(OR(C145="",M145="",M145=0),"",M145)</f>
        <v>46112.48369212963</v>
      </c>
      <c r="O145" s="15">
</c>
      <c r="P145" s="15" cm="1" t="str">
        <f t="array" ref="P145">IF(C145="","",IF(OR(O145="",O145=0),"-",O145))</f>
        <v>-</v>
      </c>
      <c r="Q145" s="16">
        <v>0</v>
      </c>
      <c r="R145" s="16" cm="1" t="str">
        <f t="array" ref="R145">IF(C145="","",ROUND(Q145/1000000,3)&amp;" M€")</f>
        <v>0 M€</v>
      </c>
      <c r="S145" s="12" t="s">
        <v>216</v>
      </c>
      <c r="T145" s="9" cm="1" t="str">
        <f t="array" ref="T145">IF(C145="","",SUBSTITUTE(S145,"","")&amp;"%")</f>
        <v>10%</v>
      </c>
      <c r="U145" s="14" cm="1" t="str">
        <f t="array" ref="U145">IF(($N145="")*($P145=""),"",IF(($N145&lt;&gt;"")*($N145&gt;TODAY()-9)*($N145&lt;TODAY()+1)*($P145&lt;&gt;"")*($P145&gt;=TODAY())*($P145&lt;=TODAY()+13),"Semaine passée &amp; à venir",IF(($N145&lt;&gt;"")*($N145&gt;TODAY()-9)*($N145&lt;TODAY()+1),"Semaine passée",IF(($P145&lt;&gt;"")*($P145&gt;=TODAY())*($P145&lt;=TODAY()+13),"À venir","Autre"))))</f>
        <v>Autre</v>
      </c>
      <c r="V145" s="8" cm="1" t="n">
        <f t="array" ref="V145">IF(C145&lt;&gt;"",1,0)</f>
        <v>1</v>
      </c>
      <c r="W145" s="8">
</c>
      <c r="X145" s="8">
</c>
      <c r="Y145" s="8">
</c>
      <c r="Z145" s="8">
</c>
      <c r="AA145" s="8">
</c>
      <c r="AB145" s="8">
</c>
      <c r="AC145" s="8">
</c>
      <c r="AD145" s="8">
</c>
      <c r="AE145" s="8">
</c>
      <c r="AF145" s="8">
</c>
      <c r="AG145" s="8">
</c>
      <c r="AH145" s="8">
</c>
      <c r="AI145" s="8">
</c>
      <c r="AJ145" s="8">
</c>
      <c r="AK145" s="8">
</c>
    </row>
    <row r="146" ht="76.5" customHeight="1">
      <c r="A146" s="9" t="s">
        <v>23</v>
      </c>
      <c r="B146" s="9" t="s">
        <v>55</v>
      </c>
      <c r="C146" s="12" t="s">
        <v>514</v>
      </c>
      <c r="D146" s="12" t="s">
        <v>515</v>
      </c>
      <c r="E146" s="9" t="s">
        <v>27</v>
      </c>
      <c r="F146" s="8" t="s">
        <v>516</v>
      </c>
      <c r="G146" s="13" cm="1" t="str">
        <f t="array" ref="G146">IF(F146="","",SUBSTITUTE(SUBSTITUTE(SUBSTITUTE(SUBSTITUTE(F146,"&lt;li&gt;",CHAR(10)),"&lt;/li&gt;",""),"&lt;br&gt;",CHAR(10)),"&lt;strong&gt;",""))</f>
        <v>&lt;p&gt;Aucune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v>
      </c>
      <c r="H146" s="13" cm="1" t="str">
        <f t="array" ref="H146">IF(G146="","",SUBSTITUTE(SUBSTITUTE(SUBSTITUTE(SUBSTITUTE(SUBSTITUTE(G146,"&lt;p&gt;",""),"&lt;/p&gt;",""),"&lt;ul&gt;",""),"&lt;/ul&gt;",""),"&lt;/strong&gt;",""))</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I146" s="14" cm="1" t="str">
        <f t="array" ref="I146">IF(C146="","",IF(OR(H146="",H146=0,H146=FALSE),"-",H146))</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J146" s="8">
</c>
      <c r="K146" s="8" t="s">
        <v>203</v>
      </c>
      <c r="L146" s="9" cm="1" t="str">
        <f t="array" ref="L146">IF(C146="","",IF(K146="Mort / Plus rien à faire","KO","OK"))</f>
        <v>OK</v>
      </c>
      <c r="M146" s="15">
        <v>46090.85857638889</v>
      </c>
      <c r="N146" s="15" cm="1" t="n">
        <f t="array" ref="N146">IF(OR(C146="",M146="",M146=0),"",M146)</f>
        <v>46090.85857638889</v>
      </c>
      <c r="O146" s="15">
</c>
      <c r="P146" s="15" cm="1" t="str">
        <f t="array" ref="P146">IF(C146="","",IF(OR(O146="",O146=0),"-",O146))</f>
        <v>-</v>
      </c>
      <c r="Q146" s="16">
        <v>0</v>
      </c>
      <c r="R146" s="16" cm="1" t="str">
        <f t="array" ref="R146">IF(C146="","",ROUND(Q146/1000000,3)&amp;" M€")</f>
        <v>0 M€</v>
      </c>
      <c r="S146" s="12" t="s">
        <v>216</v>
      </c>
      <c r="T146" s="9" cm="1" t="str">
        <f t="array" ref="T146">IF(C146="","",SUBSTITUTE(S146,"","")&amp;"%")</f>
        <v>10%</v>
      </c>
      <c r="U146" s="14" cm="1" t="str">
        <f t="array" ref="U146">IF(($N146="")*($P146=""),"",IF(($N146&lt;&gt;"")*($N146&gt;TODAY()-9)*($N146&lt;TODAY()+1)*($P146&lt;&gt;"")*($P146&gt;=TODAY())*($P146&lt;=TODAY()+13),"Semaine passée &amp; à venir",IF(($N146&lt;&gt;"")*($N146&gt;TODAY()-9)*($N146&lt;TODAY()+1),"Semaine passée",IF(($P146&lt;&gt;"")*($P146&gt;=TODAY())*($P146&lt;=TODAY()+13),"À venir","Autre"))))</f>
        <v>Autre</v>
      </c>
      <c r="V146" s="8" cm="1" t="n">
        <f t="array" ref="V146">IF(C146&lt;&gt;"",1,0)</f>
        <v>1</v>
      </c>
      <c r="W146" s="8">
</c>
      <c r="X146" s="8">
</c>
      <c r="Y146" s="8">
</c>
      <c r="Z146" s="8">
</c>
      <c r="AA146" s="8">
</c>
      <c r="AB146" s="8">
</c>
      <c r="AC146" s="8">
</c>
      <c r="AD146" s="8">
</c>
      <c r="AE146" s="8">
</c>
      <c r="AF146" s="8">
</c>
      <c r="AG146" s="8">
</c>
      <c r="AH146" s="8">
</c>
      <c r="AI146" s="8">
</c>
      <c r="AJ146" s="8">
</c>
      <c r="AK146" s="8">
</c>
    </row>
    <row r="147" ht="76.5" customHeight="1">
      <c r="A147" s="9" t="s">
        <v>23</v>
      </c>
      <c r="B147" s="9" t="s">
        <v>217</v>
      </c>
      <c r="C147" s="12" t="s">
        <v>517</v>
      </c>
      <c r="D147" s="12" t="s">
        <v>518</v>
      </c>
      <c r="E147" s="9" t="s">
        <v>27</v>
      </c>
      <c r="F147" s="8" t="s">
        <v>519</v>
      </c>
      <c r="G147" s="13" cm="1" t="str">
        <f t="array" ref="G147">IF(F147="","",SUBSTITUTE(SUBSTITUTE(SUBSTITUTE(SUBSTITUTE(F147,"&lt;li&gt;",CHAR(10)),"&lt;/li&gt;",""),"&lt;br&gt;",CHAR(10)),"&lt;strong&gt;",""))</f>
        <v>&lt;p&gt;Prospect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v>
      </c>
      <c r="H147" s="13" cm="1" t="str">
        <f t="array" ref="H147">IF(G147="","",SUBSTITUTE(SUBSTITUTE(SUBSTITUTE(SUBSTITUTE(SUBSTITUTE(G147,"&lt;p&gt;",""),"&lt;/p&gt;",""),"&lt;ul&gt;",""),"&lt;/ul&gt;",""),"&lt;/strong&gt;",""))</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I147" s="14" cm="1" t="str">
        <f t="array" ref="I147">IF(C147="","",IF(OR(H147="",H147=0,H147=FALSE),"-",H147))</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J147" s="8">
</c>
      <c r="K147" s="8" t="s">
        <v>53</v>
      </c>
      <c r="L147" s="9" cm="1" t="str">
        <f t="array" ref="L147">IF(C147="","",IF(K147="Mort / Plus rien à faire","KO","OK"))</f>
        <v>OK</v>
      </c>
      <c r="M147" s="15">
        <v>46090.555081018516</v>
      </c>
      <c r="N147" s="15" cm="1" t="n">
        <f t="array" ref="N147">IF(OR(C147="",M147="",M147=0),"",M147)</f>
        <v>46090.555081018516</v>
      </c>
      <c r="O147" s="15">
</c>
      <c r="P147" s="15" cm="1" t="str">
        <f t="array" ref="P147">IF(C147="","",IF(OR(O147="",O147=0),"-",O147))</f>
        <v>-</v>
      </c>
      <c r="Q147" s="16">
        <v>1000000</v>
      </c>
      <c r="R147" s="16" cm="1" t="str">
        <f t="array" ref="R147">IF(C147="","",ROUND(Q147/1000000,3)&amp;" M€")</f>
        <v>1 M€</v>
      </c>
      <c r="S147" s="12" t="s">
        <v>216</v>
      </c>
      <c r="T147" s="9" cm="1" t="str">
        <f t="array" ref="T147">IF(C147="","",SUBSTITUTE(S147,"","")&amp;"%")</f>
        <v>10%</v>
      </c>
      <c r="U147" s="14" cm="1" t="str">
        <f t="array" ref="U147">IF(($N147="")*($P147=""),"",IF(($N147&lt;&gt;"")*($N147&gt;TODAY()-9)*($N147&lt;TODAY()+1)*($P147&lt;&gt;"")*($P147&gt;=TODAY())*($P147&lt;=TODAY()+13),"Semaine passée &amp; à venir",IF(($N147&lt;&gt;"")*($N147&gt;TODAY()-9)*($N147&lt;TODAY()+1),"Semaine passée",IF(($P147&lt;&gt;"")*($P147&gt;=TODAY())*($P147&lt;=TODAY()+13),"À venir","Autre"))))</f>
        <v>Autre</v>
      </c>
      <c r="V147" s="8" cm="1" t="n">
        <f t="array" ref="V147">IF(C147&lt;&gt;"",1,0)</f>
        <v>1</v>
      </c>
      <c r="W147" s="8">
</c>
      <c r="X147" s="8">
</c>
      <c r="Y147" s="8">
</c>
      <c r="Z147" s="8">
</c>
      <c r="AA147" s="8">
</c>
      <c r="AB147" s="8">
</c>
      <c r="AC147" s="8">
</c>
      <c r="AD147" s="8">
</c>
      <c r="AE147" s="8">
</c>
      <c r="AF147" s="8">
</c>
      <c r="AG147" s="8">
</c>
      <c r="AH147" s="8">
</c>
      <c r="AI147" s="8">
</c>
      <c r="AJ147" s="8">
</c>
      <c r="AK147" s="8">
</c>
    </row>
    <row r="148" ht="76.5" customHeight="1">
      <c r="A148" s="9" t="s">
        <v>23</v>
      </c>
      <c r="B148" s="9" t="s">
        <v>24</v>
      </c>
      <c r="C148" s="12" t="s">
        <v>520</v>
      </c>
      <c r="D148" s="12" t="s">
        <v>521</v>
      </c>
      <c r="E148" s="9" t="s">
        <v>27</v>
      </c>
      <c r="F148" s="8" t="s">
        <v>522</v>
      </c>
      <c r="G148" s="13" cm="1" t="str">
        <f t="array" ref="G148">IF(F148="","",SUBSTITUTE(SUBSTITUTE(SUBSTITUTE(SUBSTITUTE(F148,"&lt;li&gt;",CHAR(10)),"&lt;/li&gt;",""),"&lt;br&gt;",CHAR(10)),"&lt;strong&gt;",""))</f>
        <v>&lt;p&gt;Présence Eurosatory 01/06, échanges récents sans détails, pas d'activité structurée ni de compte-rendu sur fonds présentés ou retours prospects. Aucune action planifiée, pas de suivi ou prochaine étape identifiée. Aucun contexte de création de piste mentionné. Pas d'activité menée sur le prospect.&lt;/p&gt;</v>
      </c>
      <c r="H148" s="13" cm="1" t="str">
        <f t="array" ref="H148">IF(G148="","",SUBSTITUTE(SUBSTITUTE(SUBSTITUTE(SUBSTITUTE(SUBSTITUTE(G148,"&lt;p&gt;",""),"&lt;/p&gt;",""),"&lt;ul&gt;",""),"&lt;/ul&gt;",""),"&lt;/strong&gt;",""))</f>
        <v>Présence Eurosatory 01/06, échanges récents sans détails, pas d'activité structurée ni de compte-rendu sur fonds présentés ou retours prospects. Aucune action planifiée, pas de suivi ou prochaine étape identifiée. Aucun contexte de création de piste mentionné. Pas d'activité menée sur le prospect.</v>
      </c>
      <c r="I148" s="14" cm="1" t="str">
        <f t="array" ref="I148">IF(C148="","",IF(OR(H148="",H148=0,H148=FALSE),"-",H148))</f>
        <v>Présence Eurosatory 01/06, échanges récents sans détails, pas d'activité structurée ni de compte-rendu sur fonds présentés ou retours prospects. Aucune action planifiée, pas de suivi ou prochaine étape identifiée. Aucun contexte de création de piste mentionné. Pas d'activité menée sur le prospect.</v>
      </c>
      <c r="J148" s="8">
</c>
      <c r="K148" s="8" t="s">
        <v>203</v>
      </c>
      <c r="L148" s="9" cm="1" t="str">
        <f t="array" ref="L148">IF(C148="","",IF(K148="Mort / Plus rien à faire","KO","OK"))</f>
        <v>OK</v>
      </c>
      <c r="M148" s="15">
        <v>46174.52354166667</v>
      </c>
      <c r="N148" s="15" cm="1" t="n">
        <f t="array" ref="N148">IF(OR(C148="",M148="",M148=0),"",M148)</f>
        <v>46174.52354166667</v>
      </c>
      <c r="O148" s="15">
</c>
      <c r="P148" s="15" cm="1" t="str">
        <f t="array" ref="P148">IF(C148="","",IF(OR(O148="",O148=0),"-",O148))</f>
        <v>-</v>
      </c>
      <c r="Q148" s="16">
        <v>0</v>
      </c>
      <c r="R148" s="16" cm="1" t="str">
        <f t="array" ref="R148">IF(C148="","",ROUND(Q148/1000000,3)&amp;" M€")</f>
        <v>0 M€</v>
      </c>
      <c r="S148" s="12" t="s">
        <v>216</v>
      </c>
      <c r="T148" s="9" cm="1" t="str">
        <f t="array" ref="T148">IF(C148="","",SUBSTITUTE(S148,"","")&amp;"%")</f>
        <v>10%</v>
      </c>
      <c r="U148" s="14" cm="1" t="str">
        <f t="array" ref="U148">IF(($N148="")*($P148=""),"",IF(($N148&lt;&gt;"")*($N148&gt;TODAY()-9)*($N148&lt;TODAY()+1)*($P148&lt;&gt;"")*($P148&gt;=TODAY())*($P148&lt;=TODAY()+13),"Semaine passée &amp; à venir",IF(($N148&lt;&gt;"")*($N148&gt;TODAY()-9)*($N148&lt;TODAY()+1),"Semaine passée",IF(($P148&lt;&gt;"")*($P148&gt;=TODAY())*($P148&lt;=TODAY()+13),"À venir","Autre"))))</f>
        <v>Semaine passée</v>
      </c>
      <c r="V148" s="8" cm="1" t="n">
        <f t="array" ref="V148">IF(C148&lt;&gt;"",1,0)</f>
        <v>1</v>
      </c>
      <c r="W148" s="8">
</c>
      <c r="X148" s="8">
</c>
      <c r="Y148" s="8">
</c>
      <c r="Z148" s="8">
</c>
      <c r="AA148" s="8">
</c>
      <c r="AB148" s="8">
</c>
      <c r="AC148" s="8">
</c>
      <c r="AD148" s="8">
</c>
      <c r="AE148" s="8">
</c>
      <c r="AF148" s="8">
</c>
      <c r="AG148" s="8">
</c>
      <c r="AH148" s="8">
</c>
      <c r="AI148" s="8">
</c>
      <c r="AJ148" s="8">
</c>
      <c r="AK148" s="8">
</c>
    </row>
    <row r="149" ht="76.5" customHeight="1">
      <c r="A149" s="9" t="s">
        <v>23</v>
      </c>
      <c r="B149" s="9" t="s">
        <v>260</v>
      </c>
      <c r="C149" s="12" t="s">
        <v>523</v>
      </c>
      <c r="D149" s="12" t="s">
        <v>524</v>
      </c>
      <c r="E149" s="9" t="s">
        <v>78</v>
      </c>
      <c r="F149" s="8" t="s">
        <v>525</v>
      </c>
      <c r="G149" s="13" cm="1" t="str">
        <f t="array" ref="G149">IF(F149="","",SUBSTITUTE(SUBSTITUTE(SUBSTITUTE(SUBSTITUTE(F149,"&lt;li&gt;",CHAR(10)),"&lt;/li&gt;",""),"&lt;br&gt;",CHAR(10)),"&lt;strong&gt;",""))</f>
        <v>&lt;p&gt;Lead créé pour équipe Ventes, origine OdP, présence prévue à Eurosatory. Aucun échange, action ou retour prospect enregistré à ce jour. Pas de suivi ni d'activité complémentaire identifiée. Prochaines étapes non planifiées, attente d'actions ou retours futurs.&lt;/p&gt;</v>
      </c>
      <c r="H149" s="13" cm="1" t="str">
        <f t="array" ref="H149">IF(G149="","",SUBSTITUTE(SUBSTITUTE(SUBSTITUTE(SUBSTITUTE(SUBSTITUTE(G149,"&lt;p&gt;",""),"&lt;/p&gt;",""),"&lt;ul&gt;",""),"&lt;/ul&gt;",""),"&lt;/strong&gt;",""))</f>
        <v>Lead créé pour équipe Ventes, origine OdP, présence prévue à Eurosatory. Aucun échange, action ou retour prospect enregistré à ce jour. Pas de suivi ni d'activité complémentaire identifiée. Prochaines étapes non planifiées, attente d'actions ou retours futurs.</v>
      </c>
      <c r="I149" s="14" cm="1" t="str">
        <f t="array" ref="I149">IF(C149="","",IF(OR(H149="",H149=0,H149=FALSE),"-",H149))</f>
        <v>Lead créé pour équipe Ventes, origine OdP, présence prévue à Eurosatory. Aucun échange, action ou retour prospect enregistré à ce jour. Pas de suivi ni d'activité complémentaire identifiée. Prochaines étapes non planifiées, attente d'actions ou retours futurs.</v>
      </c>
      <c r="J149" s="8">
</c>
      <c r="K149" s="8" t="s">
        <v>203</v>
      </c>
      <c r="L149" s="9" cm="1" t="str">
        <f t="array" ref="L149">IF(C149="","",IF(K149="Mort / Plus rien à faire","KO","OK"))</f>
        <v>OK</v>
      </c>
      <c r="M149" s="15">
        <v>46174.527453703704</v>
      </c>
      <c r="N149" s="15" cm="1" t="n">
        <f t="array" ref="N149">IF(OR(C149="",M149="",M149=0),"",M149)</f>
        <v>46174.527453703704</v>
      </c>
      <c r="O149" s="15">
</c>
      <c r="P149" s="15" cm="1" t="str">
        <f t="array" ref="P149">IF(C149="","",IF(OR(O149="",O149=0),"-",O149))</f>
        <v>-</v>
      </c>
      <c r="Q149" s="16">
        <v>0</v>
      </c>
      <c r="R149" s="16" cm="1" t="str">
        <f t="array" ref="R149">IF(C149="","",ROUND(Q149/1000000,3)&amp;" M€")</f>
        <v>0 M€</v>
      </c>
      <c r="S149" s="12" t="s">
        <v>216</v>
      </c>
      <c r="T149" s="9" cm="1" t="str">
        <f t="array" ref="T149">IF(C149="","",SUBSTITUTE(S149,"","")&amp;"%")</f>
        <v>10%</v>
      </c>
      <c r="U149" s="14" cm="1" t="str">
        <f t="array" ref="U149">IF(($N149="")*($P149=""),"",IF(($N149&lt;&gt;"")*($N149&gt;TODAY()-9)*($N149&lt;TODAY()+1)*($P149&lt;&gt;"")*($P149&gt;=TODAY())*($P149&lt;=TODAY()+13),"Semaine passée &amp; à venir",IF(($N149&lt;&gt;"")*($N149&gt;TODAY()-9)*($N149&lt;TODAY()+1),"Semaine passée",IF(($P149&lt;&gt;"")*($P149&gt;=TODAY())*($P149&lt;=TODAY()+13),"À venir","Autre"))))</f>
        <v>Semaine passée</v>
      </c>
      <c r="V149" s="8" cm="1" t="n">
        <f t="array" ref="V149">IF(C149&lt;&gt;"",1,0)</f>
        <v>1</v>
      </c>
      <c r="W149" s="8">
</c>
      <c r="X149" s="8">
</c>
      <c r="Y149" s="8">
</c>
      <c r="Z149" s="8">
</c>
      <c r="AA149" s="8">
</c>
      <c r="AB149" s="8">
</c>
      <c r="AC149" s="8">
</c>
      <c r="AD149" s="8">
</c>
      <c r="AE149" s="8">
</c>
      <c r="AF149" s="8">
</c>
      <c r="AG149" s="8">
</c>
      <c r="AH149" s="8">
</c>
      <c r="AI149" s="8">
</c>
      <c r="AJ149" s="8">
</c>
      <c r="AK149" s="8">
</c>
    </row>
    <row r="150" ht="76.5" customHeight="1">
      <c r="A150" s="9" t="s">
        <v>23</v>
      </c>
      <c r="B150" s="9" t="s">
        <v>24</v>
      </c>
      <c r="C150" s="12" t="s">
        <v>526</v>
      </c>
      <c r="D150" s="12" t="s">
        <v>527</v>
      </c>
      <c r="E150" s="9" t="s">
        <v>27</v>
      </c>
      <c r="F150" s="8" t="s">
        <v>528</v>
      </c>
      <c r="G150" s="13" cm="1" t="str">
        <f t="array" ref="G150">IF(F150="","",SUBSTITUTE(SUBSTITUTE(SUBSTITUTE(SUBSTITUTE(F150,"&lt;li&gt;",CHAR(10)),"&lt;/li&gt;",""),"&lt;br&gt;",CHAR(10)),"&lt;strong&gt;",""))</f>
        <v>&lt;p&gt;15M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allocation.&lt;/p&gt;</v>
      </c>
      <c r="H150" s="13" cm="1" t="str">
        <f t="array" ref="H150">IF(G150="","",SUBSTITUTE(SUBSTITUTE(SUBSTITUTE(SUBSTITUTE(SUBSTITUTE(G150,"&lt;p&gt;",""),"&lt;/p&gt;",""),"&lt;ul&gt;",""),"&lt;/ul&gt;",""),"&lt;/strong&gt;",""))</f>
        <v>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v>
      </c>
      <c r="I150" s="14" cm="1" t="str">
        <f t="array" ref="I150">IF(C150="","",IF(OR(H150="",H150=0,H150=FALSE),"-",H150))</f>
        <v>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v>
      </c>
      <c r="J150" s="8">
</c>
      <c r="K150" s="8" t="s">
        <v>53</v>
      </c>
      <c r="L150" s="9" cm="1" t="str">
        <f t="array" ref="L150">IF(C150="","",IF(K150="Mort / Plus rien à faire","KO","OK"))</f>
        <v>OK</v>
      </c>
      <c r="M150" s="15">
        <v>46132.7316087963</v>
      </c>
      <c r="N150" s="15" cm="1" t="n">
        <f t="array" ref="N150">IF(OR(C150="",M150="",M150=0),"",M150)</f>
        <v>46132.7316087963</v>
      </c>
      <c r="O150" s="15">
</c>
      <c r="P150" s="15" cm="1" t="str">
        <f t="array" ref="P150">IF(C150="","",IF(OR(O150="",O150=0),"-",O150))</f>
        <v>-</v>
      </c>
      <c r="Q150" s="16">
        <v>5000000</v>
      </c>
      <c r="R150" s="16" cm="1" t="str">
        <f t="array" ref="R150">IF(C150="","",ROUND(Q150/1000000,3)&amp;" M€")</f>
        <v>5 M€</v>
      </c>
      <c r="S150" s="12" t="s">
        <v>216</v>
      </c>
      <c r="T150" s="9" cm="1" t="str">
        <f t="array" ref="T150">IF(C150="","",SUBSTITUTE(S150,"","")&amp;"%")</f>
        <v>10%</v>
      </c>
      <c r="U150" s="14" cm="1" t="str">
        <f t="array" ref="U150">IF(($N150="")*($P150=""),"",IF(($N150&lt;&gt;"")*($N150&gt;TODAY()-9)*($N150&lt;TODAY()+1)*($P150&lt;&gt;"")*($P150&gt;=TODAY())*($P150&lt;=TODAY()+13),"Semaine passée &amp; à venir",IF(($N150&lt;&gt;"")*($N150&gt;TODAY()-9)*($N150&lt;TODAY()+1),"Semaine passée",IF(($P150&lt;&gt;"")*($P150&gt;=TODAY())*($P150&lt;=TODAY()+13),"À venir","Autre"))))</f>
        <v>Autre</v>
      </c>
      <c r="V150" s="8" cm="1" t="n">
        <f t="array" ref="V150">IF(C150&lt;&gt;"",1,0)</f>
        <v>1</v>
      </c>
      <c r="W150" s="8">
</c>
      <c r="X150" s="8">
</c>
      <c r="Y150" s="8">
</c>
      <c r="Z150" s="8">
</c>
      <c r="AA150" s="8">
</c>
      <c r="AB150" s="8">
</c>
      <c r="AC150" s="8">
</c>
      <c r="AD150" s="8">
</c>
      <c r="AE150" s="8">
</c>
      <c r="AF150" s="8">
</c>
      <c r="AG150" s="8">
</c>
      <c r="AH150" s="8">
</c>
      <c r="AI150" s="8">
</c>
      <c r="AJ150" s="8">
</c>
      <c r="AK150" s="8">
</c>
    </row>
    <row r="151" ht="76.5" customHeight="1">
      <c r="A151" s="9" t="s">
        <v>23</v>
      </c>
      <c r="B151" s="9" t="s">
        <v>48</v>
      </c>
      <c r="C151" s="12" t="s">
        <v>529</v>
      </c>
      <c r="D151" s="12" t="s">
        <v>530</v>
      </c>
      <c r="E151" s="9" t="s">
        <v>43</v>
      </c>
      <c r="F151" s="8" t="s">
        <v>531</v>
      </c>
      <c r="G151" s="13" cm="1" t="str">
        <f t="array" ref="G151">IF(F151="","",SUBSTITUTE(SUBSTITUTE(SUBSTITUTE(SUBSTITUTE(F151,"&lt;li&gt;",CHAR(10)),"&lt;/li&gt;",""),"&lt;br&gt;",CHAR(10)),"&lt;strong&gt;",""))</f>
        <v>&lt;p&gt;Nouvelle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v>
      </c>
      <c r="H151" s="13" cm="1" t="str">
        <f t="array" ref="H151">IF(G151="","",SUBSTITUTE(SUBSTITUTE(SUBSTITUTE(SUBSTITUTE(SUBSTITUTE(G151,"&lt;p&gt;",""),"&lt;/p&gt;",""),"&lt;ul&gt;",""),"&lt;/ul&gt;",""),"&lt;/strong&gt;",""))</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I151" s="14" cm="1" t="str">
        <f t="array" ref="I151">IF(C151="","",IF(OR(H151="",H151=0,H151=FALSE),"-",H151))</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J151" s="8" t="s">
        <v>532</v>
      </c>
      <c r="K151" s="8" t="s">
        <v>203</v>
      </c>
      <c r="L151" s="9" cm="1" t="str">
        <f t="array" ref="L151">IF(C151="","",IF(K151="Mort / Plus rien à faire","KO","OK"))</f>
        <v>OK</v>
      </c>
      <c r="M151" s="15">
        <v>46094.40490740741</v>
      </c>
      <c r="N151" s="15" cm="1" t="n">
        <f t="array" ref="N151">IF(OR(C151="",M151="",M151=0),"",M151)</f>
        <v>46094.40490740741</v>
      </c>
      <c r="O151" s="15">
</c>
      <c r="P151" s="15" cm="1" t="str">
        <f t="array" ref="P151">IF(C151="","",IF(OR(O151="",O151=0),"-",O151))</f>
        <v>-</v>
      </c>
      <c r="Q151" s="16">
        <v>0</v>
      </c>
      <c r="R151" s="16" cm="1" t="str">
        <f t="array" ref="R151">IF(C151="","",ROUND(Q151/1000000,3)&amp;" M€")</f>
        <v>0 M€</v>
      </c>
      <c r="S151" s="12" t="s">
        <v>216</v>
      </c>
      <c r="T151" s="9" cm="1" t="str">
        <f t="array" ref="T151">IF(C151="","",SUBSTITUTE(S151,"","")&amp;"%")</f>
        <v>10%</v>
      </c>
      <c r="U151" s="14" cm="1" t="str">
        <f t="array" ref="U151">IF(($N151="")*($P151=""),"",IF(($N151&lt;&gt;"")*($N151&gt;TODAY()-9)*($N151&lt;TODAY()+1)*($P151&lt;&gt;"")*($P151&gt;=TODAY())*($P151&lt;=TODAY()+13),"Semaine passée &amp; à venir",IF(($N151&lt;&gt;"")*($N151&gt;TODAY()-9)*($N151&lt;TODAY()+1),"Semaine passée",IF(($P151&lt;&gt;"")*($P151&gt;=TODAY())*($P151&lt;=TODAY()+13),"À venir","Autre"))))</f>
        <v>Autre</v>
      </c>
      <c r="V151" s="8" cm="1" t="n">
        <f t="array" ref="V151">IF(C151&lt;&gt;"",1,0)</f>
        <v>1</v>
      </c>
      <c r="W151" s="8">
</c>
      <c r="X151" s="8">
</c>
      <c r="Y151" s="8">
</c>
      <c r="Z151" s="8">
</c>
      <c r="AA151" s="8">
</c>
      <c r="AB151" s="8">
</c>
      <c r="AC151" s="8">
</c>
      <c r="AD151" s="8">
</c>
      <c r="AE151" s="8">
</c>
      <c r="AF151" s="8">
</c>
      <c r="AG151" s="8">
</c>
      <c r="AH151" s="8">
</c>
      <c r="AI151" s="8">
</c>
      <c r="AJ151" s="8">
</c>
      <c r="AK151" s="8">
</c>
    </row>
    <row r="152" ht="76.5" customHeight="1">
      <c r="A152" s="9" t="s">
        <v>23</v>
      </c>
      <c r="B152" s="9" t="s">
        <v>24</v>
      </c>
      <c r="C152" s="12" t="s">
        <v>533</v>
      </c>
      <c r="D152" s="12" t="s">
        <v>534</v>
      </c>
      <c r="E152" s="9" t="s">
        <v>27</v>
      </c>
      <c r="F152" s="8" t="s">
        <v>535</v>
      </c>
      <c r="G152" s="13" cm="1" t="str">
        <f t="array" ref="G152">IF(F152="","",SUBSTITUTE(SUBSTITUTE(SUBSTITUTE(SUBSTITUTE(F152,"&lt;li&gt;",CHAR(10)),"&lt;/li&gt;",""),"&lt;br&gt;",CHAR(10)),"&lt;strong&gt;",""))</f>
        <v>&lt;p&gt;RDV physique avec Jean-Luc, orientation vers Yann Cotrel, demande de RDV faite. Pas d’investissement possible actuellement : allocation globale non votée, politique non coté non arrêtée. Prochain RDV prévu le 10 juin avec Yves Cotrel. Pas d'autres actions prévues à ce stade.&lt;/p&gt;</v>
      </c>
      <c r="H152" s="13" cm="1" t="str">
        <f t="array" ref="H152">IF(G152="","",SUBSTITUTE(SUBSTITUTE(SUBSTITUTE(SUBSTITUTE(SUBSTITUTE(G152,"&lt;p&gt;",""),"&lt;/p&gt;",""),"&lt;ul&gt;",""),"&lt;/ul&gt;",""),"&lt;/strong&gt;",""))</f>
        <v>RDV physique avec Jean-Luc, orientation vers Yann Cotrel, demande de RDV faite. Pas d’investissement possible actuellement : allocation globale non votée, politique non coté non arrêtée. Prochain RDV prévu le 10 juin avec Yves Cotrel. Pas d'autres actions prévues à ce stade.</v>
      </c>
      <c r="I152" s="14" cm="1" t="str">
        <f t="array" ref="I152">IF(C152="","",IF(OR(H152="",H152=0,H152=FALSE),"-",H152))</f>
        <v>RDV physique avec Jean-Luc, orientation vers Yann Cotrel, demande de RDV faite. Pas d’investissement possible actuellement : allocation globale non votée, politique non coté non arrêtée. Prochain RDV prévu le 10 juin avec Yves Cotrel. Pas d'autres actions prévues à ce stade.</v>
      </c>
      <c r="J152" s="8" t="s">
        <v>536</v>
      </c>
      <c r="K152" s="8" t="s">
        <v>203</v>
      </c>
      <c r="L152" s="9" cm="1" t="str">
        <f t="array" ref="L152">IF(C152="","",IF(K152="Mort / Plus rien à faire","KO","OK"))</f>
        <v>OK</v>
      </c>
      <c r="M152" s="15">
        <v>46176.62061342593</v>
      </c>
      <c r="N152" s="15" cm="1" t="n">
        <f t="array" ref="N152">IF(OR(C152="",M152="",M152=0),"",M152)</f>
        <v>46176.62061342593</v>
      </c>
      <c r="O152" s="15">
        <v>46183.083333333336</v>
      </c>
      <c r="P152" s="15" cm="1" t="n">
        <f t="array" ref="P152">IF(C152="","",IF(OR(O152="",O152=0),"-",O152))</f>
        <v>46183.083333333336</v>
      </c>
      <c r="Q152" s="16">
        <v>0</v>
      </c>
      <c r="R152" s="16" cm="1" t="str">
        <f t="array" ref="R152">IF(C152="","",ROUND(Q152/1000000,3)&amp;" M€")</f>
        <v>0 M€</v>
      </c>
      <c r="S152" s="12" t="s">
        <v>216</v>
      </c>
      <c r="T152" s="9" cm="1" t="str">
        <f t="array" ref="T152">IF(C152="","",SUBSTITUTE(S152,"","")&amp;"%")</f>
        <v>10%</v>
      </c>
      <c r="U152" s="14" cm="1" t="str">
        <f t="array" ref="U152">IF(($N152="")*($P152=""),"",IF(($N152&lt;&gt;"")*($N152&gt;TODAY()-9)*($N152&lt;TODAY()+1)*($P152&lt;&gt;"")*($P152&gt;=TODAY())*($P152&lt;=TODAY()+13),"Semaine passée &amp; à venir",IF(($N152&lt;&gt;"")*($N152&gt;TODAY()-9)*($N152&lt;TODAY()+1),"Semaine passée",IF(($P152&lt;&gt;"")*($P152&gt;=TODAY())*($P152&lt;=TODAY()+13),"À venir","Autre"))))</f>
        <v>Semaine passée &amp; à venir</v>
      </c>
      <c r="V152" s="8" cm="1" t="n">
        <f t="array" ref="V152">IF(C152&lt;&gt;"",1,0)</f>
        <v>1</v>
      </c>
      <c r="W152" s="8">
</c>
      <c r="X152" s="8">
</c>
      <c r="Y152" s="8">
</c>
      <c r="Z152" s="8">
</c>
      <c r="AA152" s="8">
</c>
      <c r="AB152" s="8">
</c>
      <c r="AC152" s="8">
</c>
      <c r="AD152" s="8">
</c>
      <c r="AE152" s="8">
</c>
      <c r="AF152" s="8">
</c>
      <c r="AG152" s="8">
</c>
      <c r="AH152" s="8">
</c>
      <c r="AI152" s="8">
</c>
      <c r="AJ152" s="8">
</c>
      <c r="AK152" s="8">
</c>
    </row>
    <row r="153" ht="76.5" customHeight="1">
      <c r="A153" s="9" t="s">
        <v>23</v>
      </c>
      <c r="B153" s="9" t="s">
        <v>31</v>
      </c>
      <c r="C153" s="12" t="s">
        <v>537</v>
      </c>
      <c r="D153" s="12" t="s">
        <v>538</v>
      </c>
      <c r="E153" s="9" t="s">
        <v>27</v>
      </c>
      <c r="F153" s="8" t="s">
        <v>539</v>
      </c>
      <c r="G153" s="13" cm="1" t="str">
        <f t="array" ref="G153">IF(F153="","",SUBSTITUTE(SUBSTITUTE(SUBSTITUTE(SUBSTITUTE(F153,"&lt;li&gt;",CHAR(10)),"&lt;/li&gt;",""),"&lt;br&gt;",CHAR(10)),"&lt;strong&gt;",""))</f>
        <v>&lt;p&gt;Nouvelle piste créée équipe Ventes 20/04, enrichissement email sans résultat, contact TS 27/04, relance effectuée sans retour, lead TS 29/05. Aucun retour du prospect, pas d'activité ou d'échange significatif depuis la relance. Prochaine étape : attendre un retour ou relancer à nouveau.&lt;/p&gt;</v>
      </c>
      <c r="H153" s="13" cm="1" t="str">
        <f t="array" ref="H153">IF(G153="","",SUBSTITUTE(SUBSTITUTE(SUBSTITUTE(SUBSTITUTE(SUBSTITUTE(G153,"&lt;p&gt;",""),"&lt;/p&gt;",""),"&lt;ul&gt;",""),"&lt;/ul&gt;",""),"&lt;/strong&gt;",""))</f>
        <v>Nouvelle piste créée équipe Ventes 20/04, enrichissement email sans résultat, contact TS 27/04, relance effectuée sans retour, lead TS 29/05. Aucun retour du prospect, pas d'activité ou d'échange significatif depuis la relance. Prochaine étape : attendre un retour ou relancer à nouveau.</v>
      </c>
      <c r="I153" s="14" cm="1" t="str">
        <f t="array" ref="I153">IF(C153="","",IF(OR(H153="",H153=0,H153=FALSE),"-",H153))</f>
        <v>Nouvelle piste créée équipe Ventes 20/04, enrichissement email sans résultat, contact TS 27/04, relance effectuée sans retour, lead TS 29/05. Aucun retour du prospect, pas d'activité ou d'échange significatif depuis la relance. Prochaine étape : attendre un retour ou relancer à nouveau.</v>
      </c>
      <c r="J153" s="8">
</c>
      <c r="K153" s="8" t="s">
        <v>235</v>
      </c>
      <c r="L153" s="9" cm="1" t="str">
        <f t="array" ref="L153">IF(C153="","",IF(K153="Mort / Plus rien à faire","KO","OK"))</f>
        <v>OK</v>
      </c>
      <c r="M153" s="15">
        <v>46171.538356481484</v>
      </c>
      <c r="N153" s="15" cm="1" t="n">
        <f t="array" ref="N153">IF(OR(C153="",M153="",M153=0),"",M153)</f>
        <v>46171.538356481484</v>
      </c>
      <c r="O153" s="15">
</c>
      <c r="P153" s="15" cm="1" t="str">
        <f t="array" ref="P153">IF(C153="","",IF(OR(O153="",O153=0),"-",O153))</f>
        <v>-</v>
      </c>
      <c r="Q153" s="16">
        <v>0</v>
      </c>
      <c r="R153" s="16" cm="1" t="str">
        <f t="array" ref="R153">IF(C153="","",ROUND(Q153/1000000,3)&amp;" M€")</f>
        <v>0 M€</v>
      </c>
      <c r="S153" s="12" t="s">
        <v>540</v>
      </c>
      <c r="T153" s="9" cm="1" t="str">
        <f t="array" ref="T153">IF(C153="","",SUBSTITUTE(S153,"","")&amp;"%")</f>
        <v>0%</v>
      </c>
      <c r="U153" s="14" cm="1" t="str">
        <f t="array" ref="U153">IF(($N153="")*($P153=""),"",IF(($N153&lt;&gt;"")*($N153&gt;TODAY()-9)*($N153&lt;TODAY()+1)*($P153&lt;&gt;"")*($P153&gt;=TODAY())*($P153&lt;=TODAY()+13),"Semaine passée &amp; à venir",IF(($N153&lt;&gt;"")*($N153&gt;TODAY()-9)*($N153&lt;TODAY()+1),"Semaine passée",IF(($P153&lt;&gt;"")*($P153&gt;=TODAY())*($P153&lt;=TODAY()+13),"À venir","Autre"))))</f>
        <v>Semaine passée</v>
      </c>
      <c r="V153" s="8" cm="1" t="n">
        <f t="array" ref="V153">IF(C153&lt;&gt;"",1,0)</f>
        <v>1</v>
      </c>
      <c r="W153" s="8">
</c>
      <c r="X153" s="8">
</c>
      <c r="Y153" s="8">
</c>
      <c r="Z153" s="8">
</c>
      <c r="AA153" s="8">
</c>
      <c r="AB153" s="8">
</c>
      <c r="AC153" s="8">
</c>
      <c r="AD153" s="8">
</c>
      <c r="AE153" s="8">
</c>
      <c r="AF153" s="8">
</c>
      <c r="AG153" s="8">
</c>
      <c r="AH153" s="8">
</c>
      <c r="AI153" s="8">
</c>
      <c r="AJ153" s="8">
</c>
      <c r="AK153" s="8">
</c>
    </row>
    <row r="154" ht="76.5" customHeight="1">
      <c r="A154" s="9" t="s">
        <v>23</v>
      </c>
      <c r="B154" s="9" t="s">
        <v>24</v>
      </c>
      <c r="C154" s="12" t="s">
        <v>541</v>
      </c>
      <c r="D154" s="12" t="s">
        <v>542</v>
      </c>
      <c r="E154" s="9" t="s">
        <v>27</v>
      </c>
      <c r="F154" s="8">
</c>
      <c r="G154" s="13" cm="1" t="str">
        <f t="array" ref="G154">IF(F154="","",SUBSTITUTE(SUBSTITUTE(SUBSTITUTE(SUBSTITUTE(F154,"&lt;li&gt;",CHAR(10)),"&lt;/li&gt;",""),"&lt;br&gt;",CHAR(10)),"&lt;strong&gt;",""))</f>
        <v/>
      </c>
      <c r="H154" s="13" cm="1" t="str">
        <f t="array" ref="H154">IF(G154="","",SUBSTITUTE(SUBSTITUTE(SUBSTITUTE(SUBSTITUTE(SUBSTITUTE(G154,"&lt;p&gt;",""),"&lt;/p&gt;",""),"&lt;ul&gt;",""),"&lt;/ul&gt;",""),"&lt;/strong&gt;",""))</f>
        <v/>
      </c>
      <c r="I154" s="14" cm="1" t="str">
        <f t="array" ref="I154">IF(C154="","",IF(OR(H154="",H154=0,H154=FALSE),"-",H154))</f>
        <v>-</v>
      </c>
      <c r="J154" s="8">
</c>
      <c r="K154" s="8" t="s">
        <v>203</v>
      </c>
      <c r="L154" s="9" cm="1" t="str">
        <f t="array" ref="L154">IF(C154="","",IF(K154="Mort / Plus rien à faire","KO","OK"))</f>
        <v>OK</v>
      </c>
      <c r="M154" s="15">
        <v>45992.5122337963</v>
      </c>
      <c r="N154" s="15" cm="1" t="n">
        <f t="array" ref="N154">IF(OR(C154="",M154="",M154=0),"",M154)</f>
        <v>45992.5122337963</v>
      </c>
      <c r="O154" s="15">
</c>
      <c r="P154" s="15" cm="1" t="str">
        <f t="array" ref="P154">IF(C154="","",IF(OR(O154="",O154=0),"-",O154))</f>
        <v>-</v>
      </c>
      <c r="Q154" s="16">
        <v>0</v>
      </c>
      <c r="R154" s="16" cm="1" t="str">
        <f t="array" ref="R154">IF(C154="","",ROUND(Q154/1000000,3)&amp;" M€")</f>
        <v>0 M€</v>
      </c>
      <c r="S154" s="12" t="s">
        <v>540</v>
      </c>
      <c r="T154" s="9" cm="1" t="str">
        <f t="array" ref="T154">IF(C154="","",SUBSTITUTE(S154,"","")&amp;"%")</f>
        <v>0%</v>
      </c>
      <c r="U154" s="14" cm="1" t="str">
        <f t="array" ref="U154">IF(($N154="")*($P154=""),"",IF(($N154&lt;&gt;"")*($N154&gt;TODAY()-9)*($N154&lt;TODAY()+1)*($P154&lt;&gt;"")*($P154&gt;=TODAY())*($P154&lt;=TODAY()+13),"Semaine passée &amp; à venir",IF(($N154&lt;&gt;"")*($N154&gt;TODAY()-9)*($N154&lt;TODAY()+1),"Semaine passée",IF(($P154&lt;&gt;"")*($P154&gt;=TODAY())*($P154&lt;=TODAY()+13),"À venir","Autre"))))</f>
        <v>Autre</v>
      </c>
      <c r="V154" s="8" cm="1" t="n">
        <f t="array" ref="V154">IF(C154&lt;&gt;"",1,0)</f>
        <v>1</v>
      </c>
      <c r="W154" s="8">
</c>
      <c r="X154" s="8">
</c>
      <c r="Y154" s="8">
</c>
      <c r="Z154" s="8">
</c>
      <c r="AA154" s="8">
</c>
      <c r="AB154" s="8">
</c>
      <c r="AC154" s="8">
</c>
      <c r="AD154" s="8">
</c>
      <c r="AE154" s="8">
</c>
      <c r="AF154" s="8">
</c>
      <c r="AG154" s="8">
</c>
      <c r="AH154" s="8">
</c>
      <c r="AI154" s="8">
</c>
      <c r="AJ154" s="8">
</c>
      <c r="AK154" s="8">
</c>
    </row>
    <row r="155" ht="76.5" customHeight="1">
      <c r="A155" s="9" t="s">
        <v>23</v>
      </c>
      <c r="B155" s="9" t="s">
        <v>144</v>
      </c>
      <c r="C155" s="12" t="s">
        <v>543</v>
      </c>
      <c r="D155" s="12" t="s">
        <v>544</v>
      </c>
      <c r="E155" s="9" t="s">
        <v>27</v>
      </c>
      <c r="F155" s="8" t="s">
        <v>545</v>
      </c>
      <c r="G155" s="13" cm="1" t="str">
        <f t="array" ref="G155">IF(F155="","",SUBSTITUTE(SUBSTITUTE(SUBSTITUTE(SUBSTITUTE(F155,"&lt;li&gt;",CHAR(10)),"&lt;/li&gt;",""),"&lt;br&gt;",CHAR(10)),"&lt;strong&gt;",""))</f>
        <v>&lt;p&gt;RDV physiques multiples avec CRCA Centre France (Didier Ramond). Présentation fonds dédié 6/3, attente retour qualifié CRCA depuis 17/3. Relances faites 30/1, 2/4, 7/4. CRCA veut co-investir, focus défense, intérêt pour fonds ancrage. Prochaine étape : RDV 2, approfondir dealflow et positionnement fonds de fonds.&lt;/p&gt;</v>
      </c>
      <c r="H155" s="13" cm="1" t="str">
        <f t="array" ref="H155">IF(G155="","",SUBSTITUTE(SUBSTITUTE(SUBSTITUTE(SUBSTITUTE(SUBSTITUTE(G155,"&lt;p&gt;",""),"&lt;/p&gt;",""),"&lt;ul&gt;",""),"&lt;/ul&gt;",""),"&lt;/strong&gt;",""))</f>
        <v>RDV physiques multiples avec CRCA Centre France (Didier Ramond). Présentation fonds dédié 6/3, attente retour qualifié CRCA depuis 17/3. Relances faites 30/1, 2/4, 7/4. CRCA veut co-investir, focus défense, intérêt pour fonds ancrage. Prochaine étape : RDV 2, approfondir dealflow et positionnement fonds de fonds.</v>
      </c>
      <c r="I155" s="14" cm="1" t="str">
        <f t="array" ref="I155">IF(C155="","",IF(OR(H155="",H155=0,H155=FALSE),"-",H155))</f>
        <v>RDV physiques multiples avec CRCA Centre France (Didier Ramond). Présentation fonds dédié 6/3, attente retour qualifié CRCA depuis 17/3. Relances faites 30/1, 2/4, 7/4. CRCA veut co-investir, focus défense, intérêt pour fonds ancrage. Prochaine étape : RDV 2, approfondir dealflow et positionnement fonds de fonds.</v>
      </c>
      <c r="J155" s="8" t="s">
        <v>546</v>
      </c>
      <c r="K155" s="8" t="s">
        <v>235</v>
      </c>
      <c r="L155" s="9" cm="1" t="str">
        <f t="array" ref="L155">IF(C155="","",IF(K155="Mort / Plus rien à faire","KO","OK"))</f>
        <v>OK</v>
      </c>
      <c r="M155" s="15">
        <v>46161.70046296297</v>
      </c>
      <c r="N155" s="15" cm="1" t="n">
        <f t="array" ref="N155">IF(OR(C155="",M155="",M155=0),"",M155)</f>
        <v>46161.70046296297</v>
      </c>
      <c r="O155" s="15">
</c>
      <c r="P155" s="15" cm="1" t="str">
        <f t="array" ref="P155">IF(C155="","",IF(OR(O155="",O155=0),"-",O155))</f>
        <v>-</v>
      </c>
      <c r="Q155" s="16">
        <v>5000000</v>
      </c>
      <c r="R155" s="16" cm="1" t="str">
        <f t="array" ref="R155">IF(C155="","",ROUND(Q155/1000000,3)&amp;" M€")</f>
        <v>5 M€</v>
      </c>
      <c r="S155" s="12" t="s">
        <v>540</v>
      </c>
      <c r="T155" s="9" cm="1" t="str">
        <f t="array" ref="T155">IF(C155="","",SUBSTITUTE(S155,"","")&amp;"%")</f>
        <v>0%</v>
      </c>
      <c r="U155" s="14" cm="1" t="str">
        <f t="array" ref="U155">IF(($N155="")*($P155=""),"",IF(($N155&lt;&gt;"")*($N155&gt;TODAY()-9)*($N155&lt;TODAY()+1)*($P155&lt;&gt;"")*($P155&gt;=TODAY())*($P155&lt;=TODAY()+13),"Semaine passée &amp; à venir",IF(($N155&lt;&gt;"")*($N155&gt;TODAY()-9)*($N155&lt;TODAY()+1),"Semaine passée",IF(($P155&lt;&gt;"")*($P155&gt;=TODAY())*($P155&lt;=TODAY()+13),"À venir","Autre"))))</f>
        <v>Autre</v>
      </c>
      <c r="V155" s="8" cm="1" t="n">
        <f t="array" ref="V155">IF(C155&lt;&gt;"",1,0)</f>
        <v>1</v>
      </c>
      <c r="W155" s="8">
</c>
      <c r="X155" s="8">
</c>
      <c r="Y155" s="8">
</c>
      <c r="Z155" s="8">
</c>
      <c r="AA155" s="8">
</c>
      <c r="AB155" s="8">
</c>
      <c r="AC155" s="8">
</c>
      <c r="AD155" s="8">
</c>
      <c r="AE155" s="8">
</c>
      <c r="AF155" s="8">
</c>
      <c r="AG155" s="8">
</c>
      <c r="AH155" s="8">
</c>
      <c r="AI155" s="8">
</c>
      <c r="AJ155" s="8">
</c>
      <c r="AK155" s="8">
</c>
    </row>
    <row r="156" ht="76.5" customHeight="1">
      <c r="A156" s="9" t="s">
        <v>23</v>
      </c>
      <c r="B156" s="9" t="s">
        <v>466</v>
      </c>
      <c r="C156" s="12" t="s">
        <v>547</v>
      </c>
      <c r="D156" s="12" t="s">
        <v>548</v>
      </c>
      <c r="E156" s="9" t="s">
        <v>27</v>
      </c>
      <c r="F156" s="8" t="s">
        <v>549</v>
      </c>
      <c r="G156" s="13" cm="1" t="str">
        <f t="array" ref="G156">IF(F156="","",SUBSTITUTE(SUBSTITUTE(SUBSTITUTE(SUBSTITUTE(F156,"&lt;li&gt;",CHAR(10)),"&lt;/li&gt;",""),"&lt;br&gt;",CHAR(10)),"&lt;strong&gt;",""))</f>
        <v>&lt;p&gt;RDV physique réalisé avec STRATON, discussion sur mécénat doctorant, conseil dealflow/fonds. OK financement Doctorat, introduction France Mutualiste. Aucune action de levée prévue. Pas de prochaines étapes identifiées à ce stade. Dernière activité 17/03/2026.&lt;/p&gt;</v>
      </c>
      <c r="H156" s="13" cm="1" t="str">
        <f t="array" ref="H156">IF(G156="","",SUBSTITUTE(SUBSTITUTE(SUBSTITUTE(SUBSTITUTE(SUBSTITUTE(G156,"&lt;p&gt;",""),"&lt;/p&gt;",""),"&lt;ul&gt;",""),"&lt;/ul&gt;",""),"&lt;/strong&gt;",""))</f>
        <v>RDV physique réalisé avec STRATON, discussion sur mécénat doctorant, conseil dealflow/fonds. OK financement Doctorat, introduction France Mutualiste. Aucune action de levée prévue. Pas de prochaines étapes identifiées à ce stade. Dernière activité 17/03/2026.</v>
      </c>
      <c r="I156" s="14" cm="1" t="str">
        <f t="array" ref="I156">IF(C156="","",IF(OR(H156="",H156=0,H156=FALSE),"-",H156))</f>
        <v>RDV physique réalisé avec STRATON, discussion sur mécénat doctorant, conseil dealflow/fonds. OK financement Doctorat, introduction France Mutualiste. Aucune action de levée prévue. Pas de prochaines étapes identifiées à ce stade. Dernière activité 17/03/2026.</v>
      </c>
      <c r="J156" s="8" t="s">
        <v>550</v>
      </c>
      <c r="K156" s="8" t="s">
        <v>551</v>
      </c>
      <c r="L156" s="9" cm="1" t="str">
        <f t="array" ref="L156">IF(C156="","",IF(K156="Mort / Plus rien à faire","KO","OK"))</f>
        <v>KO</v>
      </c>
      <c r="M156" s="15">
        <v>46136.529016203705</v>
      </c>
      <c r="N156" s="15" cm="1" t="n">
        <f t="array" ref="N156">IF(OR(C156="",M156="",M156=0),"",M156)</f>
        <v>46136.529016203705</v>
      </c>
      <c r="O156" s="15">
</c>
      <c r="P156" s="15" cm="1" t="str">
        <f t="array" ref="P156">IF(C156="","",IF(OR(O156="",O156=0),"-",O156))</f>
        <v>-</v>
      </c>
      <c r="Q156" s="16">
        <v>0</v>
      </c>
      <c r="R156" s="16" cm="1" t="str">
        <f t="array" ref="R156">IF(C156="","",ROUND(Q156/1000000,3)&amp;" M€")</f>
        <v>0 M€</v>
      </c>
      <c r="S156" s="12" t="s">
        <v>540</v>
      </c>
      <c r="T156" s="9" cm="1" t="str">
        <f t="array" ref="T156">IF(C156="","",SUBSTITUTE(S156,"","")&amp;"%")</f>
        <v>0%</v>
      </c>
      <c r="U156" s="14" cm="1" t="str">
        <f t="array" ref="U156">IF(($N156="")*($P156=""),"",IF(($N156&lt;&gt;"")*($N156&gt;TODAY()-9)*($N156&lt;TODAY()+1)*($P156&lt;&gt;"")*($P156&gt;=TODAY())*($P156&lt;=TODAY()+13),"Semaine passée &amp; à venir",IF(($N156&lt;&gt;"")*($N156&gt;TODAY()-9)*($N156&lt;TODAY()+1),"Semaine passée",IF(($P156&lt;&gt;"")*($P156&gt;=TODAY())*($P156&lt;=TODAY()+13),"À venir","Autre"))))</f>
        <v>Autre</v>
      </c>
      <c r="V156" s="8" cm="1" t="n">
        <f t="array" ref="V156">IF(C156&lt;&gt;"",1,0)</f>
        <v>1</v>
      </c>
      <c r="W156" s="8">
</c>
      <c r="X156" s="8">
</c>
      <c r="Y156" s="8">
</c>
      <c r="Z156" s="8">
</c>
      <c r="AA156" s="8">
</c>
      <c r="AB156" s="8">
</c>
      <c r="AC156" s="8">
</c>
      <c r="AD156" s="8">
</c>
      <c r="AE156" s="8">
</c>
      <c r="AF156" s="8">
</c>
      <c r="AG156" s="8">
</c>
      <c r="AH156" s="8">
</c>
      <c r="AI156" s="8">
</c>
      <c r="AJ156" s="8">
</c>
      <c r="AK156" s="8">
</c>
    </row>
    <row r="157" ht="76.5" customHeight="1">
      <c r="A157" s="9" t="s">
        <v>23</v>
      </c>
      <c r="B157" s="9" t="s">
        <v>55</v>
      </c>
      <c r="C157" s="12" t="s">
        <v>552</v>
      </c>
      <c r="D157" s="12" t="s">
        <v>553</v>
      </c>
      <c r="E157" s="9" t="s">
        <v>27</v>
      </c>
      <c r="F157" s="8" t="s">
        <v>554</v>
      </c>
      <c r="G157" s="13" cm="1" t="str">
        <f t="array" ref="G157">IF(F157="","",SUBSTITUTE(SUBSTITUTE(SUBSTITUTE(SUBSTITUTE(F157,"&lt;li&gt;",CHAR(10)),"&lt;/li&gt;",""),"&lt;br&gt;",CHAR(10)),"&lt;strong&gt;",""))</f>
        <v>&lt;p&gt;RDV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v>
      </c>
      <c r="H157" s="13" cm="1" t="str">
        <f t="array" ref="H157">IF(G157="","",SUBSTITUTE(SUBSTITUTE(SUBSTITUTE(SUBSTITUTE(SUBSTITUTE(G157,"&lt;p&gt;",""),"&lt;/p&gt;",""),"&lt;ul&gt;",""),"&lt;/ul&gt;",""),"&lt;/strong&gt;",""))</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I157" s="14" cm="1" t="str">
        <f t="array" ref="I157">IF(C157="","",IF(OR(H157="",H157=0,H157=FALSE),"-",H157))</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J157" s="8">
</c>
      <c r="K157" s="8" t="s">
        <v>235</v>
      </c>
      <c r="L157" s="9" cm="1" t="str">
        <f t="array" ref="L157">IF(C157="","",IF(K157="Mort / Plus rien à faire","KO","OK"))</f>
        <v>OK</v>
      </c>
      <c r="M157" s="15">
        <v>46059.81091435185</v>
      </c>
      <c r="N157" s="15" cm="1" t="n">
        <f t="array" ref="N157">IF(OR(C157="",M157="",M157=0),"",M157)</f>
        <v>46059.81091435185</v>
      </c>
      <c r="O157" s="15">
</c>
      <c r="P157" s="15" cm="1" t="str">
        <f t="array" ref="P157">IF(C157="","",IF(OR(O157="",O157=0),"-",O157))</f>
        <v>-</v>
      </c>
      <c r="Q157" s="16">
        <v>0</v>
      </c>
      <c r="R157" s="16" cm="1" t="str">
        <f t="array" ref="R157">IF(C157="","",ROUND(Q157/1000000,3)&amp;" M€")</f>
        <v>0 M€</v>
      </c>
      <c r="S157" s="12" t="s">
        <v>540</v>
      </c>
      <c r="T157" s="9" cm="1" t="str">
        <f t="array" ref="T157">IF(C157="","",SUBSTITUTE(S157,"","")&amp;"%")</f>
        <v>0%</v>
      </c>
      <c r="U157" s="14" cm="1" t="str">
        <f t="array" ref="U157">IF(($N157="")*($P157=""),"",IF(($N157&lt;&gt;"")*($N157&gt;TODAY()-9)*($N157&lt;TODAY()+1)*($P157&lt;&gt;"")*($P157&gt;=TODAY())*($P157&lt;=TODAY()+13),"Semaine passée &amp; à venir",IF(($N157&lt;&gt;"")*($N157&gt;TODAY()-9)*($N157&lt;TODAY()+1),"Semaine passée",IF(($P157&lt;&gt;"")*($P157&gt;=TODAY())*($P157&lt;=TODAY()+13),"À venir","Autre"))))</f>
        <v>Autre</v>
      </c>
      <c r="V157" s="8" cm="1" t="n">
        <f t="array" ref="V157">IF(C157&lt;&gt;"",1,0)</f>
        <v>1</v>
      </c>
      <c r="W157" s="8">
</c>
      <c r="X157" s="8">
</c>
      <c r="Y157" s="8">
</c>
      <c r="Z157" s="8">
</c>
      <c r="AA157" s="8">
</c>
      <c r="AB157" s="8">
</c>
      <c r="AC157" s="8">
</c>
      <c r="AD157" s="8">
</c>
      <c r="AE157" s="8">
</c>
      <c r="AF157" s="8">
</c>
      <c r="AG157" s="8">
</c>
      <c r="AH157" s="8">
</c>
      <c r="AI157" s="8">
</c>
      <c r="AJ157" s="8">
</c>
      <c r="AK157" s="8">
</c>
    </row>
    <row r="158" ht="76.5" customHeight="1">
      <c r="A158" s="9" t="s">
        <v>23</v>
      </c>
      <c r="B158" s="9" t="s">
        <v>55</v>
      </c>
      <c r="C158" s="12" t="s">
        <v>555</v>
      </c>
      <c r="D158" s="12" t="s">
        <v>556</v>
      </c>
      <c r="E158" s="9" t="s">
        <v>27</v>
      </c>
      <c r="F158" s="8" t="s">
        <v>557</v>
      </c>
      <c r="G158" s="13" cm="1" t="str">
        <f t="array" ref="G158">IF(F158="","",SUBSTITUTE(SUBSTITUTE(SUBSTITUTE(SUBSTITUTE(F158,"&lt;li&gt;",CHAR(10)),"&lt;/li&gt;",""),"&lt;br&gt;",CHAR(10)),"&lt;strong&gt;",""))</f>
        <v>&lt;p&gt;RDV physique réalisé, relance effectuée le 14 avril, contact toujours en cours. Dernière activité le 23/04, prochaine étape : relancer avant le 07/05. Pas de retour prospect sur fonds présentés à ce stade, pas d'autres actions ou conclusions notables mentionnées.&lt;/p&gt;</v>
      </c>
      <c r="H158" s="13" cm="1" t="str">
        <f t="array" ref="H158">IF(G158="","",SUBSTITUTE(SUBSTITUTE(SUBSTITUTE(SUBSTITUTE(SUBSTITUTE(G158,"&lt;p&gt;",""),"&lt;/p&gt;",""),"&lt;ul&gt;",""),"&lt;/ul&gt;",""),"&lt;/strong&gt;",""))</f>
        <v>RDV physique réalisé, relance effectuée le 14 avril, contact toujours en cours. Dernière activité le 23/04, prochaine étape : relancer avant le 07/05. Pas de retour prospect sur fonds présentés à ce stade, pas d'autres actions ou conclusions notables mentionnées.</v>
      </c>
      <c r="I158" s="14" cm="1" t="str">
        <f t="array" ref="I158">IF(C158="","",IF(OR(H158="",H158=0,H158=FALSE),"-",H158))</f>
        <v>RDV physique réalisé, relance effectuée le 14 avril, contact toujours en cours. Dernière activité le 23/04, prochaine étape : relancer avant le 07/05. Pas de retour prospect sur fonds présentés à ce stade, pas d'autres actions ou conclusions notables mentionnées.</v>
      </c>
      <c r="J158" s="8" t="s">
        <v>558</v>
      </c>
      <c r="K158" s="8" t="s">
        <v>203</v>
      </c>
      <c r="L158" s="9" cm="1" t="str">
        <f t="array" ref="L158">IF(C158="","",IF(K158="Mort / Plus rien à faire","KO","OK"))</f>
        <v>OK</v>
      </c>
      <c r="M158" s="15">
        <v>46135.80715277778</v>
      </c>
      <c r="N158" s="15" cm="1" t="n">
        <f t="array" ref="N158">IF(OR(C158="",M158="",M158=0),"",M158)</f>
        <v>46135.80715277778</v>
      </c>
      <c r="O158" s="15">
</c>
      <c r="P158" s="15" cm="1" t="str">
        <f t="array" ref="P158">IF(C158="","",IF(OR(O158="",O158=0),"-",O158))</f>
        <v>-</v>
      </c>
      <c r="Q158" s="16">
        <v>0</v>
      </c>
      <c r="R158" s="16" cm="1" t="str">
        <f t="array" ref="R158">IF(C158="","",ROUND(Q158/1000000,3)&amp;" M€")</f>
        <v>0 M€</v>
      </c>
      <c r="S158" s="12" t="s">
        <v>540</v>
      </c>
      <c r="T158" s="9" cm="1" t="str">
        <f t="array" ref="T158">IF(C158="","",SUBSTITUTE(S158,"","")&amp;"%")</f>
        <v>0%</v>
      </c>
      <c r="U158" s="14" cm="1" t="str">
        <f t="array" ref="U158">IF(($N158="")*($P158=""),"",IF(($N158&lt;&gt;"")*($N158&gt;TODAY()-9)*($N158&lt;TODAY()+1)*($P158&lt;&gt;"")*($P158&gt;=TODAY())*($P158&lt;=TODAY()+13),"Semaine passée &amp; à venir",IF(($N158&lt;&gt;"")*($N158&gt;TODAY()-9)*($N158&lt;TODAY()+1),"Semaine passée",IF(($P158&lt;&gt;"")*($P158&gt;=TODAY())*($P158&lt;=TODAY()+13),"À venir","Autre"))))</f>
        <v>Autre</v>
      </c>
      <c r="V158" s="8" cm="1" t="n">
        <f t="array" ref="V158">IF(C158&lt;&gt;"",1,0)</f>
        <v>1</v>
      </c>
      <c r="W158" s="8">
</c>
      <c r="X158" s="8">
</c>
      <c r="Y158" s="8">
</c>
      <c r="Z158" s="8">
</c>
      <c r="AA158" s="8">
</c>
      <c r="AB158" s="8">
</c>
      <c r="AC158" s="8">
</c>
      <c r="AD158" s="8">
</c>
      <c r="AE158" s="8">
</c>
      <c r="AF158" s="8">
</c>
      <c r="AG158" s="8">
</c>
      <c r="AH158" s="8">
</c>
      <c r="AI158" s="8">
</c>
      <c r="AJ158" s="8">
</c>
      <c r="AK158" s="8">
</c>
    </row>
    <row r="159" ht="76.5" customHeight="1">
      <c r="A159" s="9" t="s">
        <v>23</v>
      </c>
      <c r="B159" s="9" t="s">
        <v>144</v>
      </c>
      <c r="C159" s="12" t="s">
        <v>559</v>
      </c>
      <c r="D159" s="12" t="s">
        <v>560</v>
      </c>
      <c r="E159" s="9" t="s">
        <v>561</v>
      </c>
      <c r="F159" s="8" t="s">
        <v>562</v>
      </c>
      <c r="G159" s="13" cm="1" t="str">
        <f t="array" ref="G159">IF(F159="","",SUBSTITUTE(SUBSTITUTE(SUBSTITUTE(SUBSTITUTE(F159,"&lt;li&gt;",CHAR(10)),"&lt;/li&gt;",""),"&lt;br&gt;",CHAR(10)),"&lt;strong&gt;",""))</f>
        <v>&lt;p&gt;Prospect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v>
      </c>
      <c r="H159" s="13" cm="1" t="str">
        <f t="array" ref="H159">IF(G159="","",SUBSTITUTE(SUBSTITUTE(SUBSTITUTE(SUBSTITUTE(SUBSTITUTE(G159,"&lt;p&gt;",""),"&lt;/p&gt;",""),"&lt;ul&gt;",""),"&lt;/ul&gt;",""),"&lt;/strong&gt;",""))</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I159" s="14" cm="1" t="str">
        <f t="array" ref="I159">IF(C159="","",IF(OR(H159="",H159=0,H159=FALSE),"-",H159))</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J159" s="8">
</c>
      <c r="K159" s="8" t="s">
        <v>203</v>
      </c>
      <c r="L159" s="9" cm="1" t="str">
        <f t="array" ref="L159">IF(C159="","",IF(K159="Mort / Plus rien à faire","KO","OK"))</f>
        <v>OK</v>
      </c>
      <c r="M159" s="15">
        <v>46071.49596064815</v>
      </c>
      <c r="N159" s="15" cm="1" t="n">
        <f t="array" ref="N159">IF(OR(C159="",M159="",M159=0),"",M159)</f>
        <v>46071.49596064815</v>
      </c>
      <c r="O159" s="15">
</c>
      <c r="P159" s="15" cm="1" t="str">
        <f t="array" ref="P159">IF(C159="","",IF(OR(O159="",O159=0),"-",O159))</f>
        <v>-</v>
      </c>
      <c r="Q159" s="16">
        <v>0</v>
      </c>
      <c r="R159" s="16" cm="1" t="str">
        <f t="array" ref="R159">IF(C159="","",ROUND(Q159/1000000,3)&amp;" M€")</f>
        <v>0 M€</v>
      </c>
      <c r="S159" s="12" t="s">
        <v>540</v>
      </c>
      <c r="T159" s="9" cm="1" t="str">
        <f t="array" ref="T159">IF(C159="","",SUBSTITUTE(S159,"","")&amp;"%")</f>
        <v>0%</v>
      </c>
      <c r="U159" s="14" cm="1" t="str">
        <f t="array" ref="U159">IF(($N159="")*($P159=""),"",IF(($N159&lt;&gt;"")*($N159&gt;TODAY()-9)*($N159&lt;TODAY()+1)*($P159&lt;&gt;"")*($P159&gt;=TODAY())*($P159&lt;=TODAY()+13),"Semaine passée &amp; à venir",IF(($N159&lt;&gt;"")*($N159&gt;TODAY()-9)*($N159&lt;TODAY()+1),"Semaine passée",IF(($P159&lt;&gt;"")*($P159&gt;=TODAY())*($P159&lt;=TODAY()+13),"À venir","Autre"))))</f>
        <v>Autre</v>
      </c>
      <c r="V159" s="8" cm="1" t="n">
        <f t="array" ref="V159">IF(C159&lt;&gt;"",1,0)</f>
        <v>1</v>
      </c>
      <c r="W159" s="8">
</c>
      <c r="X159" s="8">
</c>
      <c r="Y159" s="8">
</c>
      <c r="Z159" s="8">
</c>
      <c r="AA159" s="8">
</c>
      <c r="AB159" s="8">
</c>
      <c r="AC159" s="8">
</c>
      <c r="AD159" s="8">
</c>
      <c r="AE159" s="8">
</c>
      <c r="AF159" s="8">
</c>
      <c r="AG159" s="8">
</c>
      <c r="AH159" s="8">
</c>
      <c r="AI159" s="8">
</c>
      <c r="AJ159" s="8">
</c>
      <c r="AK159" s="8">
</c>
    </row>
    <row r="160" ht="76.5" customHeight="1">
      <c r="A160" s="9" t="s">
        <v>23</v>
      </c>
      <c r="B160" s="9" t="s">
        <v>144</v>
      </c>
      <c r="C160" s="12" t="s">
        <v>563</v>
      </c>
      <c r="D160" s="12" t="s">
        <v>564</v>
      </c>
      <c r="E160" s="9" t="s">
        <v>27</v>
      </c>
      <c r="F160" s="8" t="s">
        <v>565</v>
      </c>
      <c r="G160" s="13" cm="1" t="str">
        <f t="array" ref="G160">IF(F160="","",SUBSTITUTE(SUBSTITUTE(SUBSTITUTE(SUBSTITUTE(F160,"&lt;li&gt;",CHAR(10)),"&lt;/li&gt;",""),"&lt;br&gt;",CHAR(10)),"&lt;strong&gt;",""))</f>
        <v>&lt;p&gt;3 tickets réalisés : IRENE/Defense/1,5M€, TICKEHAU/ACE AERO/2026, CICLAD/1M€. RDV physique terminé, feedback : la logique CICLAD a asséché leur capacité, fonds Défense fermés. Pas d'étape suivante prévue, feedback prospect : capacité d'investissement limitée, dossier clos.&lt;/p&gt;</v>
      </c>
      <c r="H160" s="13" cm="1" t="str">
        <f t="array" ref="H160">IF(G160="","",SUBSTITUTE(SUBSTITUTE(SUBSTITUTE(SUBSTITUTE(SUBSTITUTE(G160,"&lt;p&gt;",""),"&lt;/p&gt;",""),"&lt;ul&gt;",""),"&lt;/ul&gt;",""),"&lt;/strong&gt;",""))</f>
        <v>3 tickets réalisés : IRENE/Defense/1,5M€, TICKEHAU/ACE AERO/2026, CICLAD/1M€. RDV physique terminé, feedback : la logique CICLAD a asséché leur capacité, fonds Défense fermés. Pas d'étape suivante prévue, feedback prospect : capacité d'investissement limitée, dossier clos.</v>
      </c>
      <c r="I160" s="14" cm="1" t="str">
        <f t="array" ref="I160">IF(C160="","",IF(OR(H160="",H160=0,H160=FALSE),"-",H160))</f>
        <v>3 tickets réalisés : IRENE/Defense/1,5M€, TICKEHAU/ACE AERO/2026, CICLAD/1M€. RDV physique terminé, feedback : la logique CICLAD a asséché leur capacité, fonds Défense fermés. Pas d'étape suivante prévue, feedback prospect : capacité d'investissement limitée, dossier clos.</v>
      </c>
      <c r="J160" s="8">
</c>
      <c r="K160" s="8" t="s">
        <v>551</v>
      </c>
      <c r="L160" s="9" cm="1" t="str">
        <f t="array" ref="L160">IF(C160="","",IF(K160="Mort / Plus rien à faire","KO","OK"))</f>
        <v>KO</v>
      </c>
      <c r="M160" s="15">
        <v>46153.789039351854</v>
      </c>
      <c r="N160" s="15" cm="1" t="n">
        <f t="array" ref="N160">IF(OR(C160="",M160="",M160=0),"",M160)</f>
        <v>46153.789039351854</v>
      </c>
      <c r="O160" s="15">
        <v>46391.791666666664</v>
      </c>
      <c r="P160" s="15" cm="1" t="n">
        <f t="array" ref="P160">IF(C160="","",IF(OR(O160="",O160=0),"-",O160))</f>
        <v>46391.791666666664</v>
      </c>
      <c r="Q160" s="16">
        <v>0</v>
      </c>
      <c r="R160" s="16" cm="1" t="str">
        <f t="array" ref="R160">IF(C160="","",ROUND(Q160/1000000,3)&amp;" M€")</f>
        <v>0 M€</v>
      </c>
      <c r="S160" s="12" t="s">
        <v>540</v>
      </c>
      <c r="T160" s="9" cm="1" t="str">
        <f t="array" ref="T160">IF(C160="","",SUBSTITUTE(S160,"","")&amp;"%")</f>
        <v>0%</v>
      </c>
      <c r="U160" s="14" cm="1" t="str">
        <f t="array" ref="U160">IF(($N160="")*($P160=""),"",IF(($N160&lt;&gt;"")*($N160&gt;TODAY()-9)*($N160&lt;TODAY()+1)*($P160&lt;&gt;"")*($P160&gt;=TODAY())*($P160&lt;=TODAY()+13),"Semaine passée &amp; à venir",IF(($N160&lt;&gt;"")*($N160&gt;TODAY()-9)*($N160&lt;TODAY()+1),"Semaine passée",IF(($P160&lt;&gt;"")*($P160&gt;=TODAY())*($P160&lt;=TODAY()+13),"À venir","Autre"))))</f>
        <v>Autre</v>
      </c>
      <c r="V160" s="8" cm="1" t="n">
        <f t="array" ref="V160">IF(C160&lt;&gt;"",1,0)</f>
        <v>1</v>
      </c>
      <c r="W160" s="8">
</c>
      <c r="X160" s="8">
</c>
      <c r="Y160" s="8">
</c>
      <c r="Z160" s="8">
</c>
      <c r="AA160" s="8">
</c>
      <c r="AB160" s="8">
</c>
      <c r="AC160" s="8">
</c>
      <c r="AD160" s="8">
</c>
      <c r="AE160" s="8">
</c>
      <c r="AF160" s="8">
</c>
      <c r="AG160" s="8">
</c>
      <c r="AH160" s="8">
</c>
      <c r="AI160" s="8">
</c>
      <c r="AJ160" s="8">
</c>
      <c r="AK160" s="8">
</c>
    </row>
    <row r="161" ht="76.5" customHeight="1">
      <c r="A161" s="9" t="s">
        <v>23</v>
      </c>
      <c r="B161" s="9" t="s">
        <v>24</v>
      </c>
      <c r="C161" s="12" t="s">
        <v>566</v>
      </c>
      <c r="D161" s="12" t="s">
        <v>567</v>
      </c>
      <c r="E161" s="9" t="s">
        <v>27</v>
      </c>
      <c r="F161" s="8" t="s">
        <v>568</v>
      </c>
      <c r="G161" s="13" cm="1" t="str">
        <f t="array" ref="G161">IF(F161="","",SUBSTITUTE(SUBSTITUTE(SUBSTITUTE(SUBSTITUTE(F161,"&lt;li&gt;",CHAR(10)),"&lt;/li&gt;",""),"&lt;br&gt;",CHAR(10)),"&lt;strong&gt;",""))</f>
        <v>&lt;p&gt;Multiples échanges ARKEA/AUDACIA, focus fonds de fonds, STRATON/SLP EXPANSION poussés. Rdv avec Sophie Coulon-Renouvel, Olivia Inizan impliquée, mandat Pierre-Emmanuel Boulic. ARKEA hérite du sujet fonds de fonds 2026. Prochaine étape : organiser un rdv, deadline 14/01/2026.&lt;/p&gt;</v>
      </c>
      <c r="H161" s="13" cm="1" t="str">
        <f t="array" ref="H161">IF(G161="","",SUBSTITUTE(SUBSTITUTE(SUBSTITUTE(SUBSTITUTE(SUBSTITUTE(G161,"&lt;p&gt;",""),"&lt;/p&gt;",""),"&lt;ul&gt;",""),"&lt;/ul&gt;",""),"&lt;/strong&gt;",""))</f>
        <v>Multiples échanges ARKEA/AUDACIA, focus fonds de fonds, STRATON/SLP EXPANSION poussés. Rdv avec Sophie Coulon-Renouvel, Olivia Inizan impliquée, mandat Pierre-Emmanuel Boulic. ARKEA hérite du sujet fonds de fonds 2026. Prochaine étape : organiser un rdv, deadline 14/01/2026.</v>
      </c>
      <c r="I161" s="14" cm="1" t="str">
        <f t="array" ref="I161">IF(C161="","",IF(OR(H161="",H161=0,H161=FALSE),"-",H161))</f>
        <v>Multiples échanges ARKEA/AUDACIA, focus fonds de fonds, STRATON/SLP EXPANSION poussés. Rdv avec Sophie Coulon-Renouvel, Olivia Inizan impliquée, mandat Pierre-Emmanuel Boulic. ARKEA hérite du sujet fonds de fonds 2026. Prochaine étape : organiser un rdv, deadline 14/01/2026.</v>
      </c>
      <c r="J161" s="8">
</c>
      <c r="K161" s="8" t="s">
        <v>551</v>
      </c>
      <c r="L161" s="9" cm="1" t="str">
        <f t="array" ref="L161">IF(C161="","",IF(K161="Mort / Plus rien à faire","KO","OK"))</f>
        <v>KO</v>
      </c>
      <c r="M161" s="15">
        <v>46094.45171296296</v>
      </c>
      <c r="N161" s="15" cm="1" t="n">
        <f t="array" ref="N161">IF(OR(C161="",M161="",M161=0),"",M161)</f>
        <v>46094.45171296296</v>
      </c>
      <c r="O161" s="15">
</c>
      <c r="P161" s="15" cm="1" t="str">
        <f t="array" ref="P161">IF(C161="","",IF(OR(O161="",O161=0),"-",O161))</f>
        <v>-</v>
      </c>
      <c r="Q161" s="16">
        <v>0</v>
      </c>
      <c r="R161" s="16" cm="1" t="str">
        <f t="array" ref="R161">IF(C161="","",ROUND(Q161/1000000,3)&amp;" M€")</f>
        <v>0 M€</v>
      </c>
      <c r="S161" s="12" t="s">
        <v>540</v>
      </c>
      <c r="T161" s="9" cm="1" t="str">
        <f t="array" ref="T161">IF(C161="","",SUBSTITUTE(S161,"","")&amp;"%")</f>
        <v>0%</v>
      </c>
      <c r="U161" s="14" cm="1" t="str">
        <f t="array" ref="U161">IF(($N161="")*($P161=""),"",IF(($N161&lt;&gt;"")*($N161&gt;TODAY()-9)*($N161&lt;TODAY()+1)*($P161&lt;&gt;"")*($P161&gt;=TODAY())*($P161&lt;=TODAY()+13),"Semaine passée &amp; à venir",IF(($N161&lt;&gt;"")*($N161&gt;TODAY()-9)*($N161&lt;TODAY()+1),"Semaine passée",IF(($P161&lt;&gt;"")*($P161&gt;=TODAY())*($P161&lt;=TODAY()+13),"À venir","Autre"))))</f>
        <v>Autre</v>
      </c>
      <c r="V161" s="8" cm="1" t="n">
        <f t="array" ref="V161">IF(C161&lt;&gt;"",1,0)</f>
        <v>1</v>
      </c>
      <c r="W161" s="8">
</c>
      <c r="X161" s="8">
</c>
      <c r="Y161" s="8">
</c>
      <c r="Z161" s="8">
</c>
      <c r="AA161" s="8">
</c>
      <c r="AB161" s="8">
</c>
      <c r="AC161" s="8">
</c>
      <c r="AD161" s="8">
</c>
      <c r="AE161" s="8">
</c>
      <c r="AF161" s="8">
</c>
      <c r="AG161" s="8">
</c>
      <c r="AH161" s="8">
</c>
      <c r="AI161" s="8">
</c>
      <c r="AJ161" s="8">
</c>
      <c r="AK161" s="8">
</c>
    </row>
    <row r="162" ht="76.5" customHeight="1">
      <c r="A162" s="9" t="s">
        <v>23</v>
      </c>
      <c r="B162" s="9" t="s">
        <v>144</v>
      </c>
      <c r="C162" s="12" t="s">
        <v>286</v>
      </c>
      <c r="D162" s="12" t="s">
        <v>569</v>
      </c>
      <c r="E162" s="9" t="s">
        <v>27</v>
      </c>
      <c r="F162" s="8" t="s">
        <v>570</v>
      </c>
      <c r="G162" s="13" cm="1" t="str">
        <f t="array" ref="G162">IF(F162="","",SUBSTITUTE(SUBSTITUTE(SUBSTITUTE(SUBSTITUTE(F162,"&lt;li&gt;",CHAR(10)),"&lt;/li&gt;",""),"&lt;br&gt;",CHAR(10)),"&lt;strong&gt;",""))</f>
        <v>&lt;p&gt;Aucune activité récente menée sur l'opportunité. Dernier message : "En apport d'affaire" par Romain Andrieu le 18/05/2026. Nouvelle piste créée pour l'équipe Ventes le 10/03/2026. Pas d'action, de suivi ou de prochaine étape identifiée à ce jour.&lt;/p&gt;</v>
      </c>
      <c r="H162" s="13" cm="1" t="str">
        <f t="array" ref="H162">IF(G162="","",SUBSTITUTE(SUBSTITUTE(SUBSTITUTE(SUBSTITUTE(SUBSTITUTE(G162,"&lt;p&gt;",""),"&lt;/p&gt;",""),"&lt;ul&gt;",""),"&lt;/ul&gt;",""),"&lt;/strong&gt;",""))</f>
        <v>Aucune activité récente menée sur l'opportunité. Dernier message : "En apport d'affaire" par Romain Andrieu le 18/05/2026. Nouvelle piste créée pour l'équipe Ventes le 10/03/2026. Pas d'action, de suivi ou de prochaine étape identifiée à ce jour.</v>
      </c>
      <c r="I162" s="14" cm="1" t="str">
        <f t="array" ref="I162">IF(C162="","",IF(OR(H162="",H162=0,H162=FALSE),"-",H162))</f>
        <v>Aucune activité récente menée sur l'opportunité. Dernier message : "En apport d'affaire" par Romain Andrieu le 18/05/2026. Nouvelle piste créée pour l'équipe Ventes le 10/03/2026. Pas d'action, de suivi ou de prochaine étape identifiée à ce jour.</v>
      </c>
      <c r="J162" s="8">
</c>
      <c r="K162" s="8" t="s">
        <v>203</v>
      </c>
      <c r="L162" s="9" cm="1" t="str">
        <f t="array" ref="L162">IF(C162="","",IF(K162="Mort / Plus rien à faire","KO","OK"))</f>
        <v>OK</v>
      </c>
      <c r="M162" s="15">
        <v>46160.470972222225</v>
      </c>
      <c r="N162" s="15" cm="1" t="n">
        <f t="array" ref="N162">IF(OR(C162="",M162="",M162=0),"",M162)</f>
        <v>46160.470972222225</v>
      </c>
      <c r="O162" s="15">
</c>
      <c r="P162" s="15" cm="1" t="str">
        <f t="array" ref="P162">IF(C162="","",IF(OR(O162="",O162=0),"-",O162))</f>
        <v>-</v>
      </c>
      <c r="Q162" s="16">
        <v>5000000</v>
      </c>
      <c r="R162" s="16" cm="1" t="str">
        <f t="array" ref="R162">IF(C162="","",ROUND(Q162/1000000,3)&amp;" M€")</f>
        <v>5 M€</v>
      </c>
      <c r="S162" s="12" t="s">
        <v>540</v>
      </c>
      <c r="T162" s="9" cm="1" t="str">
        <f t="array" ref="T162">IF(C162="","",SUBSTITUTE(S162,"","")&amp;"%")</f>
        <v>0%</v>
      </c>
      <c r="U162" s="14" cm="1" t="str">
        <f t="array" ref="U162">IF(($N162="")*($P162=""),"",IF(($N162&lt;&gt;"")*($N162&gt;TODAY()-9)*($N162&lt;TODAY()+1)*($P162&lt;&gt;"")*($P162&gt;=TODAY())*($P162&lt;=TODAY()+13),"Semaine passée &amp; à venir",IF(($N162&lt;&gt;"")*($N162&gt;TODAY()-9)*($N162&lt;TODAY()+1),"Semaine passée",IF(($P162&lt;&gt;"")*($P162&gt;=TODAY())*($P162&lt;=TODAY()+13),"À venir","Autre"))))</f>
        <v>Autre</v>
      </c>
      <c r="V162" s="8" cm="1" t="n">
        <f t="array" ref="V162">IF(C162&lt;&gt;"",1,0)</f>
        <v>1</v>
      </c>
      <c r="W162" s="8">
</c>
      <c r="X162" s="8">
</c>
      <c r="Y162" s="8">
</c>
      <c r="Z162" s="8">
</c>
      <c r="AA162" s="8">
</c>
      <c r="AB162" s="8">
</c>
      <c r="AC162" s="8">
</c>
      <c r="AD162" s="8">
</c>
      <c r="AE162" s="8">
</c>
      <c r="AF162" s="8">
</c>
      <c r="AG162" s="8">
</c>
      <c r="AH162" s="8">
</c>
      <c r="AI162" s="8">
</c>
      <c r="AJ162" s="8">
</c>
      <c r="AK162" s="8">
</c>
    </row>
    <row r="163" ht="76.5" customHeight="1">
      <c r="A163" s="9" t="s">
        <v>23</v>
      </c>
      <c r="B163" s="9" t="s">
        <v>144</v>
      </c>
      <c r="C163" s="12" t="s">
        <v>571</v>
      </c>
      <c r="D163" s="12" t="s">
        <v>572</v>
      </c>
      <c r="E163" s="9" t="s">
        <v>27</v>
      </c>
      <c r="F163" s="8" t="s">
        <v>573</v>
      </c>
      <c r="G163" s="13" cm="1" t="str">
        <f t="array" ref="G163">IF(F163="","",SUBSTITUTE(SUBSTITUTE(SUBSTITUTE(SUBSTITUTE(F163,"&lt;li&gt;",CHAR(10)),"&lt;/li&gt;",""),"&lt;br&gt;",CHAR(10)),"&lt;strong&gt;",""))</f>
        <v>&lt;p&gt;16/02/2026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v>
      </c>
      <c r="H163" s="13" cm="1" t="str">
        <f t="array" ref="H163">IF(G163="","",SUBSTITUTE(SUBSTITUTE(SUBSTITUTE(SUBSTITUTE(SUBSTITUTE(G163,"&lt;p&gt;",""),"&lt;/p&gt;",""),"&lt;ul&gt;",""),"&lt;/ul&gt;",""),"&lt;/strong&gt;",""))</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I163" s="14" cm="1" t="str">
        <f t="array" ref="I163">IF(C163="","",IF(OR(H163="",H163=0,H163=FALSE),"-",H163))</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J163" s="8" t="s">
        <v>574</v>
      </c>
      <c r="K163" s="8" t="s">
        <v>551</v>
      </c>
      <c r="L163" s="9" cm="1" t="str">
        <f t="array" ref="L163">IF(C163="","",IF(K163="Mort / Plus rien à faire","KO","OK"))</f>
        <v>KO</v>
      </c>
      <c r="M163" s="15">
        <v>46085.627384259256</v>
      </c>
      <c r="N163" s="15" cm="1" t="n">
        <f t="array" ref="N163">IF(OR(C163="",M163="",M163=0),"",M163)</f>
        <v>46085.627384259256</v>
      </c>
      <c r="O163" s="15">
        <v>46391.041666666664</v>
      </c>
      <c r="P163" s="15" cm="1" t="n">
        <f t="array" ref="P163">IF(C163="","",IF(OR(O163="",O163=0),"-",O163))</f>
        <v>46391.041666666664</v>
      </c>
      <c r="Q163" s="16">
        <v>0</v>
      </c>
      <c r="R163" s="16" cm="1" t="str">
        <f t="array" ref="R163">IF(C163="","",ROUND(Q163/1000000,3)&amp;" M€")</f>
        <v>0 M€</v>
      </c>
      <c r="S163" s="12" t="s">
        <v>540</v>
      </c>
      <c r="T163" s="9" cm="1" t="str">
        <f t="array" ref="T163">IF(C163="","",SUBSTITUTE(S163,"","")&amp;"%")</f>
        <v>0%</v>
      </c>
      <c r="U163" s="14" cm="1" t="str">
        <f t="array" ref="U163">IF(($N163="")*($P163=""),"",IF(($N163&lt;&gt;"")*($N163&gt;TODAY()-9)*($N163&lt;TODAY()+1)*($P163&lt;&gt;"")*($P163&gt;=TODAY())*($P163&lt;=TODAY()+13),"Semaine passée &amp; à venir",IF(($N163&lt;&gt;"")*($N163&gt;TODAY()-9)*($N163&lt;TODAY()+1),"Semaine passée",IF(($P163&lt;&gt;"")*($P163&gt;=TODAY())*($P163&lt;=TODAY()+13),"À venir","Autre"))))</f>
        <v>Autre</v>
      </c>
      <c r="V163" s="8" cm="1" t="n">
        <f t="array" ref="V163">IF(C163&lt;&gt;"",1,0)</f>
        <v>1</v>
      </c>
      <c r="W163" s="8">
</c>
      <c r="X163" s="8">
</c>
      <c r="Y163" s="8">
</c>
      <c r="Z163" s="8">
</c>
      <c r="AA163" s="8">
</c>
      <c r="AB163" s="8">
</c>
      <c r="AC163" s="8">
</c>
      <c r="AD163" s="8">
</c>
      <c r="AE163" s="8">
</c>
      <c r="AF163" s="8">
</c>
      <c r="AG163" s="8">
</c>
      <c r="AH163" s="8">
</c>
      <c r="AI163" s="8">
</c>
      <c r="AJ163" s="8">
</c>
      <c r="AK163" s="8">
</c>
    </row>
    <row r="164" ht="76.5" customHeight="1">
      <c r="A164" s="9" t="s">
        <v>23</v>
      </c>
      <c r="B164" s="9" t="s">
        <v>55</v>
      </c>
      <c r="C164" s="12" t="s">
        <v>575</v>
      </c>
      <c r="D164" s="12" t="s">
        <v>576</v>
      </c>
      <c r="E164" s="9" t="s">
        <v>27</v>
      </c>
      <c r="F164" s="8">
</c>
      <c r="G164" s="13" cm="1" t="str">
        <f t="array" ref="G164">IF(F164="","",SUBSTITUTE(SUBSTITUTE(SUBSTITUTE(SUBSTITUTE(F164,"&lt;li&gt;",CHAR(10)),"&lt;/li&gt;",""),"&lt;br&gt;",CHAR(10)),"&lt;strong&gt;",""))</f>
        <v/>
      </c>
      <c r="H164" s="13" cm="1" t="str">
        <f t="array" ref="H164">IF(G164="","",SUBSTITUTE(SUBSTITUTE(SUBSTITUTE(SUBSTITUTE(SUBSTITUTE(G164,"&lt;p&gt;",""),"&lt;/p&gt;",""),"&lt;ul&gt;",""),"&lt;/ul&gt;",""),"&lt;/strong&gt;",""))</f>
        <v/>
      </c>
      <c r="I164" s="14" cm="1" t="str">
        <f t="array" ref="I164">IF(C164="","",IF(OR(H164="",H164=0,H164=FALSE),"-",H164))</f>
        <v>-</v>
      </c>
      <c r="J164" s="8">
</c>
      <c r="K164" s="8" t="s">
        <v>203</v>
      </c>
      <c r="L164" s="9" cm="1" t="str">
        <f t="array" ref="L164">IF(C164="","",IF(K164="Mort / Plus rien à faire","KO","OK"))</f>
        <v>OK</v>
      </c>
      <c r="M164" s="15">
        <v>46092.77462962963</v>
      </c>
      <c r="N164" s="15" cm="1" t="n">
        <f t="array" ref="N164">IF(OR(C164="",M164="",M164=0),"",M164)</f>
        <v>46092.77462962963</v>
      </c>
      <c r="O164" s="15">
</c>
      <c r="P164" s="15" cm="1" t="str">
        <f t="array" ref="P164">IF(C164="","",IF(OR(O164="",O164=0),"-",O164))</f>
        <v>-</v>
      </c>
      <c r="Q164" s="16">
        <v>0</v>
      </c>
      <c r="R164" s="16" cm="1" t="str">
        <f t="array" ref="R164">IF(C164="","",ROUND(Q164/1000000,3)&amp;" M€")</f>
        <v>0 M€</v>
      </c>
      <c r="S164" s="12" t="s">
        <v>540</v>
      </c>
      <c r="T164" s="9" cm="1" t="str">
        <f t="array" ref="T164">IF(C164="","",SUBSTITUTE(S164,"","")&amp;"%")</f>
        <v>0%</v>
      </c>
      <c r="U164" s="14" cm="1" t="str">
        <f t="array" ref="U164">IF(($N164="")*($P164=""),"",IF(($N164&lt;&gt;"")*($N164&gt;TODAY()-9)*($N164&lt;TODAY()+1)*($P164&lt;&gt;"")*($P164&gt;=TODAY())*($P164&lt;=TODAY()+13),"Semaine passée &amp; à venir",IF(($N164&lt;&gt;"")*($N164&gt;TODAY()-9)*($N164&lt;TODAY()+1),"Semaine passée",IF(($P164&lt;&gt;"")*($P164&gt;=TODAY())*($P164&lt;=TODAY()+13),"À venir","Autre"))))</f>
        <v>Autre</v>
      </c>
      <c r="V164" s="8" cm="1" t="n">
        <f t="array" ref="V164">IF(C164&lt;&gt;"",1,0)</f>
        <v>1</v>
      </c>
      <c r="W164" s="8">
</c>
      <c r="X164" s="8">
</c>
      <c r="Y164" s="8">
</c>
      <c r="Z164" s="8">
</c>
      <c r="AA164" s="8">
</c>
      <c r="AB164" s="8">
</c>
      <c r="AC164" s="8">
</c>
      <c r="AD164" s="8">
</c>
      <c r="AE164" s="8">
</c>
      <c r="AF164" s="8">
</c>
      <c r="AG164" s="8">
</c>
      <c r="AH164" s="8">
</c>
      <c r="AI164" s="8">
</c>
      <c r="AJ164" s="8">
</c>
      <c r="AK164" s="8">
</c>
    </row>
    <row r="165" ht="76.5" customHeight="1">
      <c r="A165" s="9" t="s">
        <v>23</v>
      </c>
      <c r="B165" s="9" t="s">
        <v>144</v>
      </c>
      <c r="C165" s="12" t="s">
        <v>577</v>
      </c>
      <c r="D165" s="12" t="s">
        <v>577</v>
      </c>
      <c r="E165" s="9" t="s">
        <v>27</v>
      </c>
      <c r="F165" s="8" t="s">
        <v>578</v>
      </c>
      <c r="G165" s="13" cm="1" t="str">
        <f t="array" ref="G165">IF(F165="","",SUBSTITUTE(SUBSTITUTE(SUBSTITUTE(SUBSTITUTE(F165,"&lt;li&gt;",CHAR(10)),"&lt;/li&gt;",""),"&lt;br&gt;",CHAR(10)),"&lt;strong&gt;",""))</f>
        <v>&lt;p&gt;RDV 6 mai : échanges avec Nicolas Marcon (DF CEPAL), Hervé Sauvanot (immo pro), Christian Rabachou (institutionnels/immo). KO sur Straton, BPCE SA demande intervention banques du groupe, contact Nicolas Conta, initiative Ciclade, 11/14 caisses auraient signé. Prochaine étape à définir.&lt;/p&gt;</v>
      </c>
      <c r="H165" s="13" cm="1" t="str">
        <f t="array" ref="H165">IF(G165="","",SUBSTITUTE(SUBSTITUTE(SUBSTITUTE(SUBSTITUTE(SUBSTITUTE(G165,"&lt;p&gt;",""),"&lt;/p&gt;",""),"&lt;ul&gt;",""),"&lt;/ul&gt;",""),"&lt;/strong&gt;",""))</f>
        <v>RDV 6 mai : échanges avec Nicolas Marcon (DF CEPAL), Hervé Sauvanot (immo pro), Christian Rabachou (institutionnels/immo). KO sur Straton, BPCE SA demande intervention banques du groupe, contact Nicolas Conta, initiative Ciclade, 11/14 caisses auraient signé. Prochaine étape à définir.</v>
      </c>
      <c r="I165" s="14" cm="1" t="str">
        <f t="array" ref="I165">IF(C165="","",IF(OR(H165="",H165=0,H165=FALSE),"-",H165))</f>
        <v>RDV 6 mai : échanges avec Nicolas Marcon (DF CEPAL), Hervé Sauvanot (immo pro), Christian Rabachou (institutionnels/immo). KO sur Straton, BPCE SA demande intervention banques du groupe, contact Nicolas Conta, initiative Ciclade, 11/14 caisses auraient signé. Prochaine étape à définir.</v>
      </c>
      <c r="J165" s="8" t="s">
        <v>579</v>
      </c>
      <c r="K165" s="8" t="s">
        <v>235</v>
      </c>
      <c r="L165" s="9" cm="1" t="str">
        <f t="array" ref="L165">IF(C165="","",IF(K165="Mort / Plus rien à faire","KO","OK"))</f>
        <v>OK</v>
      </c>
      <c r="M165" s="15">
        <v>46149.4512962963</v>
      </c>
      <c r="N165" s="15" cm="1" t="n">
        <f t="array" ref="N165">IF(OR(C165="",M165="",M165=0),"",M165)</f>
        <v>46149.4512962963</v>
      </c>
      <c r="O165" s="15">
</c>
      <c r="P165" s="15" cm="1" t="str">
        <f t="array" ref="P165">IF(C165="","",IF(OR(O165="",O165=0),"-",O165))</f>
        <v>-</v>
      </c>
      <c r="Q165" s="16">
        <v>0</v>
      </c>
      <c r="R165" s="16" cm="1" t="str">
        <f t="array" ref="R165">IF(C165="","",ROUND(Q165/1000000,3)&amp;" M€")</f>
        <v>0 M€</v>
      </c>
      <c r="S165" s="12" t="s">
        <v>540</v>
      </c>
      <c r="T165" s="9" cm="1" t="str">
        <f t="array" ref="T165">IF(C165="","",SUBSTITUTE(S165,"","")&amp;"%")</f>
        <v>0%</v>
      </c>
      <c r="U165" s="14" cm="1" t="str">
        <f t="array" ref="U165">IF(($N165="")*($P165=""),"",IF(($N165&lt;&gt;"")*($N165&gt;TODAY()-9)*($N165&lt;TODAY()+1)*($P165&lt;&gt;"")*($P165&gt;=TODAY())*($P165&lt;=TODAY()+13),"Semaine passée &amp; à venir",IF(($N165&lt;&gt;"")*($N165&gt;TODAY()-9)*($N165&lt;TODAY()+1),"Semaine passée",IF(($P165&lt;&gt;"")*($P165&gt;=TODAY())*($P165&lt;=TODAY()+13),"À venir","Autre"))))</f>
        <v>Autre</v>
      </c>
      <c r="V165" s="8" cm="1" t="n">
        <f t="array" ref="V165">IF(C165&lt;&gt;"",1,0)</f>
        <v>1</v>
      </c>
      <c r="W165" s="8">
</c>
      <c r="X165" s="8">
</c>
      <c r="Y165" s="8">
</c>
      <c r="Z165" s="8">
</c>
      <c r="AA165" s="8">
</c>
      <c r="AB165" s="8">
</c>
      <c r="AC165" s="8">
</c>
      <c r="AD165" s="8">
</c>
      <c r="AE165" s="8">
</c>
      <c r="AF165" s="8">
</c>
      <c r="AG165" s="8">
</c>
      <c r="AH165" s="8">
</c>
      <c r="AI165" s="8">
</c>
      <c r="AJ165" s="8">
</c>
      <c r="AK165" s="8">
</c>
    </row>
    <row r="166" ht="76.5" customHeight="1">
      <c r="A166" s="9" t="s">
        <v>23</v>
      </c>
      <c r="B166" s="9" t="s">
        <v>55</v>
      </c>
      <c r="C166" s="12" t="s">
        <v>580</v>
      </c>
      <c r="D166" s="12" t="s">
        <v>581</v>
      </c>
      <c r="E166" s="9" t="s">
        <v>27</v>
      </c>
      <c r="F166" s="8">
</c>
      <c r="G166" s="13" cm="1" t="str">
        <f t="array" ref="G166">IF(F166="","",SUBSTITUTE(SUBSTITUTE(SUBSTITUTE(SUBSTITUTE(F166,"&lt;li&gt;",CHAR(10)),"&lt;/li&gt;",""),"&lt;br&gt;",CHAR(10)),"&lt;strong&gt;",""))</f>
        <v/>
      </c>
      <c r="H166" s="13" cm="1" t="str">
        <f t="array" ref="H166">IF(G166="","",SUBSTITUTE(SUBSTITUTE(SUBSTITUTE(SUBSTITUTE(SUBSTITUTE(G166,"&lt;p&gt;",""),"&lt;/p&gt;",""),"&lt;ul&gt;",""),"&lt;/ul&gt;",""),"&lt;/strong&gt;",""))</f>
        <v/>
      </c>
      <c r="I166" s="14" cm="1" t="str">
        <f t="array" ref="I166">IF(C166="","",IF(OR(H166="",H166=0,H166=FALSE),"-",H166))</f>
        <v>-</v>
      </c>
      <c r="J166" s="8">
</c>
      <c r="K166" s="8" t="s">
        <v>203</v>
      </c>
      <c r="L166" s="9" cm="1" t="str">
        <f t="array" ref="L166">IF(C166="","",IF(K166="Mort / Plus rien à faire","KO","OK"))</f>
        <v>OK</v>
      </c>
      <c r="M166" s="15">
        <v>45992.51152777778</v>
      </c>
      <c r="N166" s="15" cm="1" t="n">
        <f t="array" ref="N166">IF(OR(C166="",M166="",M166=0),"",M166)</f>
        <v>45992.51152777778</v>
      </c>
      <c r="O166" s="15">
</c>
      <c r="P166" s="15" cm="1" t="str">
        <f t="array" ref="P166">IF(C166="","",IF(OR(O166="",O166=0),"-",O166))</f>
        <v>-</v>
      </c>
      <c r="Q166" s="16">
        <v>0</v>
      </c>
      <c r="R166" s="16" cm="1" t="str">
        <f t="array" ref="R166">IF(C166="","",ROUND(Q166/1000000,3)&amp;" M€")</f>
        <v>0 M€</v>
      </c>
      <c r="S166" s="12" t="s">
        <v>540</v>
      </c>
      <c r="T166" s="9" cm="1" t="str">
        <f t="array" ref="T166">IF(C166="","",SUBSTITUTE(S166,"","")&amp;"%")</f>
        <v>0%</v>
      </c>
      <c r="U166" s="14" cm="1" t="str">
        <f t="array" ref="U166">IF(($N166="")*($P166=""),"",IF(($N166&lt;&gt;"")*($N166&gt;TODAY()-9)*($N166&lt;TODAY()+1)*($P166&lt;&gt;"")*($P166&gt;=TODAY())*($P166&lt;=TODAY()+13),"Semaine passée &amp; à venir",IF(($N166&lt;&gt;"")*($N166&gt;TODAY()-9)*($N166&lt;TODAY()+1),"Semaine passée",IF(($P166&lt;&gt;"")*($P166&gt;=TODAY())*($P166&lt;=TODAY()+13),"À venir","Autre"))))</f>
        <v>Autre</v>
      </c>
      <c r="V166" s="8" cm="1" t="n">
        <f t="array" ref="V166">IF(C166&lt;&gt;"",1,0)</f>
        <v>1</v>
      </c>
      <c r="W166" s="8">
</c>
      <c r="X166" s="8">
</c>
      <c r="Y166" s="8">
</c>
      <c r="Z166" s="8">
</c>
      <c r="AA166" s="8">
</c>
      <c r="AB166" s="8">
</c>
      <c r="AC166" s="8">
</c>
      <c r="AD166" s="8">
</c>
      <c r="AE166" s="8">
</c>
      <c r="AF166" s="8">
</c>
      <c r="AG166" s="8">
</c>
      <c r="AH166" s="8">
</c>
      <c r="AI166" s="8">
</c>
      <c r="AJ166" s="8">
</c>
      <c r="AK166" s="8">
</c>
    </row>
    <row r="167" ht="76.5" customHeight="1">
      <c r="A167" s="9" t="s">
        <v>23</v>
      </c>
      <c r="B167" s="9" t="s">
        <v>76</v>
      </c>
      <c r="C167" s="12" t="s">
        <v>582</v>
      </c>
      <c r="D167" s="12" t="s">
        <v>582</v>
      </c>
      <c r="E167" s="9" t="s">
        <v>78</v>
      </c>
      <c r="F167" s="8" t="s">
        <v>583</v>
      </c>
      <c r="G167" s="13" cm="1" t="str">
        <f t="array" ref="G167">IF(F167="","",SUBSTITUTE(SUBSTITUTE(SUBSTITUTE(SUBSTITUTE(F167,"&lt;li&gt;",CHAR(10)),"&lt;/li&gt;",""),"&lt;br&gt;",CHAR(10)),"&lt;strong&gt;",""))</f>
        <v>&lt;p&gt;Aucune activité menée sur le prospect. Lead créé pour équipe Ventes le 16/03, origine CB, enrichissement email sans résultat, pas d'autres échanges ou actions depuis. Pas de retour prospect, pas de passage en comité, aucune prochaine étape identifiée à ce jour.&lt;/p&gt;</v>
      </c>
      <c r="H167" s="13" cm="1" t="str">
        <f t="array" ref="H167">IF(G167="","",SUBSTITUTE(SUBSTITUTE(SUBSTITUTE(SUBSTITUTE(SUBSTITUTE(G167,"&lt;p&gt;",""),"&lt;/p&gt;",""),"&lt;ul&gt;",""),"&lt;/ul&gt;",""),"&lt;/strong&gt;",""))</f>
        <v>Aucune activité menée sur le prospect. Lead créé pour équipe Ventes le 16/03, origine CB, enrichissement email sans résultat, pas d'autres échanges ou actions depuis. Pas de retour prospect, pas de passage en comité, aucune prochaine étape identifiée à ce jour.</v>
      </c>
      <c r="I167" s="14" cm="1" t="str">
        <f t="array" ref="I167">IF(C167="","",IF(OR(H167="",H167=0,H167=FALSE),"-",H167))</f>
        <v>Aucune activité menée sur le prospect. Lead créé pour équipe Ventes le 16/03, origine CB, enrichissement email sans résultat, pas d'autres échanges ou actions depuis. Pas de retour prospect, pas de passage en comité, aucune prochaine étape identifiée à ce jour.</v>
      </c>
      <c r="J167" s="8">
</c>
      <c r="K167" s="8" t="s">
        <v>551</v>
      </c>
      <c r="L167" s="9" cm="1" t="str">
        <f t="array" ref="L167">IF(C167="","",IF(K167="Mort / Plus rien à faire","KO","OK"))</f>
        <v>KO</v>
      </c>
      <c r="M167" s="15">
        <v>46147.42465277778</v>
      </c>
      <c r="N167" s="15" cm="1" t="n">
        <f t="array" ref="N167">IF(OR(C167="",M167="",M167=0),"",M167)</f>
        <v>46147.42465277778</v>
      </c>
      <c r="O167" s="15">
</c>
      <c r="P167" s="15" cm="1" t="str">
        <f t="array" ref="P167">IF(C167="","",IF(OR(O167="",O167=0),"-",O167))</f>
        <v>-</v>
      </c>
      <c r="Q167" s="16">
        <v>0</v>
      </c>
      <c r="R167" s="16" cm="1" t="str">
        <f t="array" ref="R167">IF(C167="","",ROUND(Q167/1000000,3)&amp;" M€")</f>
        <v>0 M€</v>
      </c>
      <c r="S167" s="12" t="s">
        <v>540</v>
      </c>
      <c r="T167" s="9" cm="1" t="str">
        <f t="array" ref="T167">IF(C167="","",SUBSTITUTE(S167,"","")&amp;"%")</f>
        <v>0%</v>
      </c>
      <c r="U167" s="14" cm="1" t="str">
        <f t="array" ref="U167">IF(($N167="")*($P167=""),"",IF(($N167&lt;&gt;"")*($N167&gt;TODAY()-9)*($N167&lt;TODAY()+1)*($P167&lt;&gt;"")*($P167&gt;=TODAY())*($P167&lt;=TODAY()+13),"Semaine passée &amp; à venir",IF(($N167&lt;&gt;"")*($N167&gt;TODAY()-9)*($N167&lt;TODAY()+1),"Semaine passée",IF(($P167&lt;&gt;"")*($P167&gt;=TODAY())*($P167&lt;=TODAY()+13),"À venir","Autre"))))</f>
        <v>Autre</v>
      </c>
      <c r="V167" s="8" cm="1" t="n">
        <f t="array" ref="V167">IF(C167&lt;&gt;"",1,0)</f>
        <v>1</v>
      </c>
      <c r="W167" s="8">
</c>
      <c r="X167" s="8">
</c>
      <c r="Y167" s="8">
</c>
      <c r="Z167" s="8">
</c>
      <c r="AA167" s="8">
</c>
      <c r="AB167" s="8">
</c>
      <c r="AC167" s="8">
</c>
      <c r="AD167" s="8">
</c>
      <c r="AE167" s="8">
</c>
      <c r="AF167" s="8">
</c>
      <c r="AG167" s="8">
</c>
      <c r="AH167" s="8">
</c>
      <c r="AI167" s="8">
</c>
      <c r="AJ167" s="8">
</c>
      <c r="AK167" s="8">
</c>
    </row>
    <row r="168" ht="76.5" customHeight="1">
      <c r="A168" s="9" t="s">
        <v>23</v>
      </c>
      <c r="B168" s="9" t="s">
        <v>24</v>
      </c>
      <c r="C168" s="12" t="s">
        <v>584</v>
      </c>
      <c r="D168" s="12" t="s">
        <v>585</v>
      </c>
      <c r="E168" s="9" t="s">
        <v>27</v>
      </c>
      <c r="F168" s="8">
</c>
      <c r="G168" s="13" cm="1" t="str">
        <f t="array" ref="G168">IF(F168="","",SUBSTITUTE(SUBSTITUTE(SUBSTITUTE(SUBSTITUTE(F168,"&lt;li&gt;",CHAR(10)),"&lt;/li&gt;",""),"&lt;br&gt;",CHAR(10)),"&lt;strong&gt;",""))</f>
        <v/>
      </c>
      <c r="H168" s="13" cm="1" t="str">
        <f t="array" ref="H168">IF(G168="","",SUBSTITUTE(SUBSTITUTE(SUBSTITUTE(SUBSTITUTE(SUBSTITUTE(G168,"&lt;p&gt;",""),"&lt;/p&gt;",""),"&lt;ul&gt;",""),"&lt;/ul&gt;",""),"&lt;/strong&gt;",""))</f>
        <v/>
      </c>
      <c r="I168" s="14" cm="1" t="str">
        <f t="array" ref="I168">IF(C168="","",IF(OR(H168="",H168=0,H168=FALSE),"-",H168))</f>
        <v>-</v>
      </c>
      <c r="J168" s="8" t="s">
        <v>586</v>
      </c>
      <c r="K168" s="8" t="s">
        <v>203</v>
      </c>
      <c r="L168" s="9" cm="1" t="str">
        <f t="array" ref="L168">IF(C168="","",IF(K168="Mort / Plus rien à faire","KO","OK"))</f>
        <v>OK</v>
      </c>
      <c r="M168" s="15">
        <v>46155.597719907404</v>
      </c>
      <c r="N168" s="15" cm="1" t="n">
        <f t="array" ref="N168">IF(OR(C168="",M168="",M168=0),"",M168)</f>
        <v>46155.597719907404</v>
      </c>
      <c r="O168" s="15">
        <v>46185.083333333336</v>
      </c>
      <c r="P168" s="15" cm="1" t="n">
        <f t="array" ref="P168">IF(C168="","",IF(OR(O168="",O168=0),"-",O168))</f>
        <v>46185.083333333336</v>
      </c>
      <c r="Q168" s="16">
        <v>0</v>
      </c>
      <c r="R168" s="16" cm="1" t="str">
        <f t="array" ref="R168">IF(C168="","",ROUND(Q168/1000000,3)&amp;" M€")</f>
        <v>0 M€</v>
      </c>
      <c r="S168" s="12" t="s">
        <v>540</v>
      </c>
      <c r="T168" s="9" cm="1" t="str">
        <f t="array" ref="T168">IF(C168="","",SUBSTITUTE(S168,"","")&amp;"%")</f>
        <v>0%</v>
      </c>
      <c r="U168" s="14" cm="1" t="str">
        <f t="array" ref="U168">IF(($N168="")*($P168=""),"",IF(($N168&lt;&gt;"")*($N168&gt;TODAY()-9)*($N168&lt;TODAY()+1)*($P168&lt;&gt;"")*($P168&gt;=TODAY())*($P168&lt;=TODAY()+13),"Semaine passée &amp; à venir",IF(($N168&lt;&gt;"")*($N168&gt;TODAY()-9)*($N168&lt;TODAY()+1),"Semaine passée",IF(($P168&lt;&gt;"")*($P168&gt;=TODAY())*($P168&lt;=TODAY()+13),"À venir","Autre"))))</f>
        <v>À venir</v>
      </c>
      <c r="V168" s="8" cm="1" t="n">
        <f t="array" ref="V168">IF(C168&lt;&gt;"",1,0)</f>
        <v>1</v>
      </c>
      <c r="W168" s="8">
</c>
      <c r="X168" s="8">
</c>
      <c r="Y168" s="8">
</c>
      <c r="Z168" s="8">
</c>
      <c r="AA168" s="8">
</c>
      <c r="AB168" s="8">
</c>
      <c r="AC168" s="8">
</c>
      <c r="AD168" s="8">
</c>
      <c r="AE168" s="8">
</c>
      <c r="AF168" s="8">
</c>
      <c r="AG168" s="8">
</c>
      <c r="AH168" s="8">
</c>
      <c r="AI168" s="8">
</c>
      <c r="AJ168" s="8">
</c>
      <c r="AK168" s="8">
</c>
    </row>
    <row r="169" ht="76.5" customHeight="1">
      <c r="A169" s="9" t="s">
        <v>23</v>
      </c>
      <c r="B169" s="9" t="s">
        <v>24</v>
      </c>
      <c r="C169" s="12" t="s">
        <v>587</v>
      </c>
      <c r="D169" s="12" t="s">
        <v>587</v>
      </c>
      <c r="E169" s="9" t="s">
        <v>27</v>
      </c>
      <c r="F169" s="8" t="s">
        <v>588</v>
      </c>
      <c r="G169" s="13" cm="1" t="str">
        <f t="array" ref="G169">IF(F169="","",SUBSTITUTE(SUBSTITUTE(SUBSTITUTE(SUBSTITUTE(F169,"&lt;li&gt;",CHAR(10)),"&lt;/li&gt;",""),"&lt;br&gt;",CHAR(10)),"&lt;strong&gt;",""))</f>
        <v>&lt;p&gt;Echange avec Quantin Peltier : ils n’investissent pas dans les fonds thématiques ni petits fonds (&amp;lt;500M€). Déjà exposés à la défense, pas d’intérêt supplémentaire. Fonds quantique : meeting possible à l’approche de la levée, intérêt mais hors cible actuelle. Pas d’autres actions prévues.&lt;/p&gt;</v>
      </c>
      <c r="H169" s="13" cm="1" t="str">
        <f t="array" ref="H169">IF(G169="","",SUBSTITUTE(SUBSTITUTE(SUBSTITUTE(SUBSTITUTE(SUBSTITUTE(G169,"&lt;p&gt;",""),"&lt;/p&gt;",""),"&lt;ul&gt;",""),"&lt;/ul&gt;",""),"&lt;/strong&gt;",""))</f>
        <v>Echange avec Quantin Peltier : ils n’investissent pas dans les fonds thématiques ni petits fonds (&amp;lt;500M€). Déjà exposés à la défense, pas d’intérêt supplémentaire. Fonds quantique : meeting possible à l’approche de la levée, intérêt mais hors cible actuelle. Pas d’autres actions prévues.</v>
      </c>
      <c r="I169" s="14" cm="1" t="str">
        <f t="array" ref="I169">IF(C169="","",IF(OR(H169="",H169=0,H169=FALSE),"-",H169))</f>
        <v>Echange avec Quantin Peltier : ils n’investissent pas dans les fonds thématiques ni petits fonds (&amp;lt;500M€). Déjà exposés à la défense, pas d’intérêt supplémentaire. Fonds quantique : meeting possible à l’approche de la levée, intérêt mais hors cible actuelle. Pas d’autres actions prévues.</v>
      </c>
      <c r="J169" s="8" t="s">
        <v>589</v>
      </c>
      <c r="K169" s="8" t="s">
        <v>551</v>
      </c>
      <c r="L169" s="9" cm="1" t="str">
        <f t="array" ref="L169">IF(C169="","",IF(K169="Mort / Plus rien à faire","KO","OK"))</f>
        <v>KO</v>
      </c>
      <c r="M169" s="15">
        <v>46153.77038194444</v>
      </c>
      <c r="N169" s="15" cm="1" t="n">
        <f t="array" ref="N169">IF(OR(C169="",M169="",M169=0),"",M169)</f>
        <v>46153.77038194444</v>
      </c>
      <c r="O169" s="15">
</c>
      <c r="P169" s="15" cm="1" t="str">
        <f t="array" ref="P169">IF(C169="","",IF(OR(O169="",O169=0),"-",O169))</f>
        <v>-</v>
      </c>
      <c r="Q169" s="16">
        <v>0</v>
      </c>
      <c r="R169" s="16" cm="1" t="str">
        <f t="array" ref="R169">IF(C169="","",ROUND(Q169/1000000,3)&amp;" M€")</f>
        <v>0 M€</v>
      </c>
      <c r="S169" s="12" t="s">
        <v>540</v>
      </c>
      <c r="T169" s="9" cm="1" t="str">
        <f t="array" ref="T169">IF(C169="","",SUBSTITUTE(S169,"","")&amp;"%")</f>
        <v>0%</v>
      </c>
      <c r="U169" s="14" cm="1" t="str">
        <f t="array" ref="U169">IF(($N169="")*($P169=""),"",IF(($N169&lt;&gt;"")*($N169&gt;TODAY()-9)*($N169&lt;TODAY()+1)*($P169&lt;&gt;"")*($P169&gt;=TODAY())*($P169&lt;=TODAY()+13),"Semaine passée &amp; à venir",IF(($N169&lt;&gt;"")*($N169&gt;TODAY()-9)*($N169&lt;TODAY()+1),"Semaine passée",IF(($P169&lt;&gt;"")*($P169&gt;=TODAY())*($P169&lt;=TODAY()+13),"À venir","Autre"))))</f>
        <v>Autre</v>
      </c>
      <c r="V169" s="8" cm="1" t="n">
        <f t="array" ref="V169">IF(C169&lt;&gt;"",1,0)</f>
        <v>1</v>
      </c>
      <c r="W169" s="8">
</c>
      <c r="X169" s="8">
</c>
      <c r="Y169" s="8">
</c>
      <c r="Z169" s="8">
</c>
      <c r="AA169" s="8">
</c>
      <c r="AB169" s="8">
</c>
      <c r="AC169" s="8">
</c>
      <c r="AD169" s="8">
</c>
      <c r="AE169" s="8">
</c>
      <c r="AF169" s="8">
</c>
      <c r="AG169" s="8">
</c>
      <c r="AH169" s="8">
</c>
      <c r="AI169" s="8">
</c>
      <c r="AJ169" s="8">
</c>
      <c r="AK169" s="8">
</c>
    </row>
    <row r="170" ht="76.5" customHeight="1">
      <c r="A170" s="9" t="s">
        <v>23</v>
      </c>
      <c r="B170" s="9" t="s">
        <v>24</v>
      </c>
      <c r="C170" s="12" t="s">
        <v>590</v>
      </c>
      <c r="D170" s="12" t="s">
        <v>591</v>
      </c>
      <c r="E170" s="9" t="s">
        <v>27</v>
      </c>
      <c r="F170" s="8">
</c>
      <c r="G170" s="13" cm="1" t="str">
        <f t="array" ref="G170">IF(F170="","",SUBSTITUTE(SUBSTITUTE(SUBSTITUTE(SUBSTITUTE(F170,"&lt;li&gt;",CHAR(10)),"&lt;/li&gt;",""),"&lt;br&gt;",CHAR(10)),"&lt;strong&gt;",""))</f>
        <v/>
      </c>
      <c r="H170" s="13" cm="1" t="str">
        <f t="array" ref="H170">IF(G170="","",SUBSTITUTE(SUBSTITUTE(SUBSTITUTE(SUBSTITUTE(SUBSTITUTE(G170,"&lt;p&gt;",""),"&lt;/p&gt;",""),"&lt;ul&gt;",""),"&lt;/ul&gt;",""),"&lt;/strong&gt;",""))</f>
        <v/>
      </c>
      <c r="I170" s="14" cm="1" t="str">
        <f t="array" ref="I170">IF(C170="","",IF(OR(H170="",H170=0,H170=FALSE),"-",H170))</f>
        <v>-</v>
      </c>
      <c r="J170" s="8">
</c>
      <c r="K170" s="8" t="s">
        <v>203</v>
      </c>
      <c r="L170" s="9" cm="1" t="str">
        <f t="array" ref="L170">IF(C170="","",IF(K170="Mort / Plus rien à faire","KO","OK"))</f>
        <v>OK</v>
      </c>
      <c r="M170" s="15">
        <v>46090.85865740741</v>
      </c>
      <c r="N170" s="15" cm="1" t="n">
        <f t="array" ref="N170">IF(OR(C170="",M170="",M170=0),"",M170)</f>
        <v>46090.85865740741</v>
      </c>
      <c r="O170" s="15">
</c>
      <c r="P170" s="15" cm="1" t="str">
        <f t="array" ref="P170">IF(C170="","",IF(OR(O170="",O170=0),"-",O170))</f>
        <v>-</v>
      </c>
      <c r="Q170" s="16">
        <v>0</v>
      </c>
      <c r="R170" s="16" cm="1" t="str">
        <f t="array" ref="R170">IF(C170="","",ROUND(Q170/1000000,3)&amp;" M€")</f>
        <v>0 M€</v>
      </c>
      <c r="S170" s="12" t="s">
        <v>540</v>
      </c>
      <c r="T170" s="9" cm="1" t="str">
        <f t="array" ref="T170">IF(C170="","",SUBSTITUTE(S170,"","")&amp;"%")</f>
        <v>0%</v>
      </c>
      <c r="U170" s="14" cm="1" t="str">
        <f t="array" ref="U170">IF(($N170="")*($P170=""),"",IF(($N170&lt;&gt;"")*($N170&gt;TODAY()-9)*($N170&lt;TODAY()+1)*($P170&lt;&gt;"")*($P170&gt;=TODAY())*($P170&lt;=TODAY()+13),"Semaine passée &amp; à venir",IF(($N170&lt;&gt;"")*($N170&gt;TODAY()-9)*($N170&lt;TODAY()+1),"Semaine passée",IF(($P170&lt;&gt;"")*($P170&gt;=TODAY())*($P170&lt;=TODAY()+13),"À venir","Autre"))))</f>
        <v>Autre</v>
      </c>
      <c r="V170" s="8" cm="1" t="n">
        <f t="array" ref="V170">IF(C170&lt;&gt;"",1,0)</f>
        <v>1</v>
      </c>
      <c r="W170" s="8">
</c>
      <c r="X170" s="8">
</c>
      <c r="Y170" s="8">
</c>
      <c r="Z170" s="8">
</c>
      <c r="AA170" s="8">
</c>
      <c r="AB170" s="8">
</c>
      <c r="AC170" s="8">
</c>
      <c r="AD170" s="8">
</c>
      <c r="AE170" s="8">
</c>
      <c r="AF170" s="8">
</c>
      <c r="AG170" s="8">
</c>
      <c r="AH170" s="8">
</c>
      <c r="AI170" s="8">
</c>
      <c r="AJ170" s="8">
</c>
      <c r="AK170" s="8">
</c>
    </row>
    <row r="171" ht="76.5" customHeight="1">
      <c r="A171" s="9" t="s">
        <v>23</v>
      </c>
      <c r="B171" s="9" t="s">
        <v>24</v>
      </c>
      <c r="C171" s="12" t="s">
        <v>592</v>
      </c>
      <c r="D171" s="12" t="s">
        <v>593</v>
      </c>
      <c r="E171" s="9" t="s">
        <v>27</v>
      </c>
      <c r="F171" s="8" t="s">
        <v>594</v>
      </c>
      <c r="G171" s="13" cm="1" t="str">
        <f t="array" ref="G171">IF(F171="","",SUBSTITUTE(SUBSTITUTE(SUBSTITUTE(SUBSTITUTE(F171,"&lt;li&gt;",CHAR(10)),"&lt;/li&gt;",""),"&lt;br&gt;",CHAR(10)),"&lt;strong&gt;",""))</f>
        <v>&lt;p&gt;Leovic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poursuivre.&lt;/p&gt;</v>
      </c>
      <c r="H171" s="13" cm="1" t="str">
        <f t="array" ref="H171">IF(G171="","",SUBSTITUTE(SUBSTITUTE(SUBSTITUTE(SUBSTITUTE(SUBSTITUTE(G171,"&lt;p&gt;",""),"&lt;/p&gt;",""),"&lt;ul&gt;",""),"&lt;/ul&gt;",""),"&lt;/strong&gt;",""))</f>
        <v>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v>
      </c>
      <c r="I171" s="14" cm="1" t="str">
        <f t="array" ref="I171">IF(C171="","",IF(OR(H171="",H171=0,H171=FALSE),"-",H171))</f>
        <v>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v>
      </c>
      <c r="J171" s="8" t="s">
        <v>595</v>
      </c>
      <c r="K171" s="8" t="s">
        <v>551</v>
      </c>
      <c r="L171" s="9" cm="1" t="str">
        <f t="array" ref="L171">IF(C171="","",IF(K171="Mort / Plus rien à faire","KO","OK"))</f>
        <v>KO</v>
      </c>
      <c r="M171" s="15">
        <v>46125.79856481482</v>
      </c>
      <c r="N171" s="15" cm="1" t="n">
        <f t="array" ref="N171">IF(OR(C171="",M171="",M171=0),"",M171)</f>
        <v>46125.79856481482</v>
      </c>
      <c r="O171" s="15">
        <v>46420.041666666664</v>
      </c>
      <c r="P171" s="15" cm="1" t="n">
        <f t="array" ref="P171">IF(C171="","",IF(OR(O171="",O171=0),"-",O171))</f>
        <v>46420.041666666664</v>
      </c>
      <c r="Q171" s="16">
        <v>0</v>
      </c>
      <c r="R171" s="16" cm="1" t="str">
        <f t="array" ref="R171">IF(C171="","",ROUND(Q171/1000000,3)&amp;" M€")</f>
        <v>0 M€</v>
      </c>
      <c r="S171" s="12" t="s">
        <v>540</v>
      </c>
      <c r="T171" s="9" cm="1" t="str">
        <f t="array" ref="T171">IF(C171="","",SUBSTITUTE(S171,"","")&amp;"%")</f>
        <v>0%</v>
      </c>
      <c r="U171" s="14" cm="1" t="str">
        <f t="array" ref="U171">IF(($N171="")*($P171=""),"",IF(($N171&lt;&gt;"")*($N171&gt;TODAY()-9)*($N171&lt;TODAY()+1)*($P171&lt;&gt;"")*($P171&gt;=TODAY())*($P171&lt;=TODAY()+13),"Semaine passée &amp; à venir",IF(($N171&lt;&gt;"")*($N171&gt;TODAY()-9)*($N171&lt;TODAY()+1),"Semaine passée",IF(($P171&lt;&gt;"")*($P171&gt;=TODAY())*($P171&lt;=TODAY()+13),"À venir","Autre"))))</f>
        <v>Autre</v>
      </c>
      <c r="V171" s="8" cm="1" t="n">
        <f t="array" ref="V171">IF(C171&lt;&gt;"",1,0)</f>
        <v>1</v>
      </c>
      <c r="W171" s="8">
</c>
      <c r="X171" s="8">
</c>
      <c r="Y171" s="8">
</c>
      <c r="Z171" s="8">
</c>
      <c r="AA171" s="8">
</c>
      <c r="AB171" s="8">
</c>
      <c r="AC171" s="8">
</c>
      <c r="AD171" s="8">
</c>
      <c r="AE171" s="8">
</c>
      <c r="AF171" s="8">
</c>
      <c r="AG171" s="8">
</c>
      <c r="AH171" s="8">
</c>
      <c r="AI171" s="8">
</c>
      <c r="AJ171" s="8">
</c>
      <c r="AK171" s="8">
</c>
    </row>
    <row r="172" ht="76.5" customHeight="1">
      <c r="A172" s="9" t="s">
        <v>23</v>
      </c>
      <c r="B172" s="9" t="s">
        <v>144</v>
      </c>
      <c r="C172" s="12" t="s">
        <v>596</v>
      </c>
      <c r="D172" s="12" t="s">
        <v>597</v>
      </c>
      <c r="E172" s="9" t="s">
        <v>27</v>
      </c>
      <c r="F172" s="8" t="s">
        <v>598</v>
      </c>
      <c r="G172" s="13" cm="1" t="str">
        <f t="array" ref="G172">IF(F172="","",SUBSTITUTE(SUBSTITUTE(SUBSTITUTE(SUBSTITUTE(F172,"&lt;li&gt;",CHAR(10)),"&lt;/li&gt;",""),"&lt;br&gt;",CHAR(10)),"&lt;strong&gt;",""))</f>
        <v>&lt;p&gt;13 mai : prospect pas intéressé, préfère C4. 14 mai : RDV physique terminé, relance prévue après réunion. 17 mai : deck envoyé, prospect ouvert à réflexion. Nouvelle piste créée pour équipe Ventes. Prochaine étape : relance post-réunion, pas d'intérêt immédiat mais ouverture à discussion future.&lt;/p&gt;</v>
      </c>
      <c r="H172" s="13" cm="1" t="str">
        <f t="array" ref="H172">IF(G172="","",SUBSTITUTE(SUBSTITUTE(SUBSTITUTE(SUBSTITUTE(SUBSTITUTE(G172,"&lt;p&gt;",""),"&lt;/p&gt;",""),"&lt;ul&gt;",""),"&lt;/ul&gt;",""),"&lt;/strong&gt;",""))</f>
        <v>13 mai : prospect pas intéressé, préfère C4. 14 mai : RDV physique terminé, relance prévue après réunion. 17 mai : deck envoyé, prospect ouvert à réflexion. Nouvelle piste créée pour équipe Ventes. Prochaine étape : relance post-réunion, pas d'intérêt immédiat mais ouverture à discussion future.</v>
      </c>
      <c r="I172" s="14" cm="1" t="str">
        <f t="array" ref="I172">IF(C172="","",IF(OR(H172="",H172=0,H172=FALSE),"-",H172))</f>
        <v>13 mai : prospect pas intéressé, préfère C4. 14 mai : RDV physique terminé, relance prévue après réunion. 17 mai : deck envoyé, prospect ouvert à réflexion. Nouvelle piste créée pour équipe Ventes. Prochaine étape : relance post-réunion, pas d'intérêt immédiat mais ouverture à discussion future.</v>
      </c>
      <c r="J172" s="8">
</c>
      <c r="K172" s="8" t="s">
        <v>551</v>
      </c>
      <c r="L172" s="9" cm="1" t="str">
        <f t="array" ref="L172">IF(C172="","",IF(K172="Mort / Plus rien à faire","KO","OK"))</f>
        <v>KO</v>
      </c>
      <c r="M172" s="15">
        <v>46160.52798611111</v>
      </c>
      <c r="N172" s="15" cm="1" t="n">
        <f t="array" ref="N172">IF(OR(C172="",M172="",M172=0),"",M172)</f>
        <v>46160.52798611111</v>
      </c>
      <c r="O172" s="15">
</c>
      <c r="P172" s="15" cm="1" t="str">
        <f t="array" ref="P172">IF(C172="","",IF(OR(O172="",O172=0),"-",O172))</f>
        <v>-</v>
      </c>
      <c r="Q172" s="16">
        <v>1000000</v>
      </c>
      <c r="R172" s="16" cm="1" t="str">
        <f t="array" ref="R172">IF(C172="","",ROUND(Q172/1000000,3)&amp;" M€")</f>
        <v>1 M€</v>
      </c>
      <c r="S172" s="12" t="s">
        <v>540</v>
      </c>
      <c r="T172" s="9" cm="1" t="str">
        <f t="array" ref="T172">IF(C172="","",SUBSTITUTE(S172,"","")&amp;"%")</f>
        <v>0%</v>
      </c>
      <c r="U172" s="14" cm="1" t="str">
        <f t="array" ref="U172">IF(($N172="")*($P172=""),"",IF(($N172&lt;&gt;"")*($N172&gt;TODAY()-9)*($N172&lt;TODAY()+1)*($P172&lt;&gt;"")*($P172&gt;=TODAY())*($P172&lt;=TODAY()+13),"Semaine passée &amp; à venir",IF(($N172&lt;&gt;"")*($N172&gt;TODAY()-9)*($N172&lt;TODAY()+1),"Semaine passée",IF(($P172&lt;&gt;"")*($P172&gt;=TODAY())*($P172&lt;=TODAY()+13),"À venir","Autre"))))</f>
        <v>Autre</v>
      </c>
      <c r="V172" s="8" cm="1" t="n">
        <f t="array" ref="V172">IF(C172&lt;&gt;"",1,0)</f>
        <v>1</v>
      </c>
      <c r="W172" s="8">
</c>
      <c r="X172" s="8">
</c>
      <c r="Y172" s="8">
</c>
      <c r="Z172" s="8">
</c>
      <c r="AA172" s="8">
</c>
      <c r="AB172" s="8">
</c>
      <c r="AC172" s="8">
</c>
      <c r="AD172" s="8">
</c>
      <c r="AE172" s="8">
</c>
      <c r="AF172" s="8">
</c>
      <c r="AG172" s="8">
</c>
      <c r="AH172" s="8">
</c>
      <c r="AI172" s="8">
</c>
      <c r="AJ172" s="8">
</c>
      <c r="AK172" s="8">
</c>
    </row>
    <row r="173" ht="76.5" customHeight="1">
      <c r="A173" s="9" t="s">
        <v>23</v>
      </c>
      <c r="B173" s="9" t="s">
        <v>24</v>
      </c>
      <c r="C173" s="12" t="s">
        <v>599</v>
      </c>
      <c r="D173" s="12" t="s">
        <v>600</v>
      </c>
      <c r="E173" s="9" t="s">
        <v>27</v>
      </c>
      <c r="F173" s="8" t="s">
        <v>601</v>
      </c>
      <c r="G173" s="13" cm="1" t="str">
        <f t="array" ref="G173">IF(F173="","",SUBSTITUTE(SUBSTITUTE(SUBSTITUTE(SUBSTITUTE(F173,"&lt;li&gt;",CHAR(10)),"&lt;/li&gt;",""),"&lt;br&gt;",CHAR(10)),"&lt;strong&gt;",""))</f>
        <v>&lt;p&gt;RDV physique 19/02/2026 avec Trisan Touzilier, point méthodo, suivi à faire sur chantier Luxembourgeois. Dernière activité : pas de nouvelle action, discussion sur taille du fond, % d'emprise fonds/clients. Pas de feedback prospect sur fonds. Prochaine étape non précisée.&lt;/p&gt;</v>
      </c>
      <c r="H173" s="13" cm="1" t="str">
        <f t="array" ref="H173">IF(G173="","",SUBSTITUTE(SUBSTITUTE(SUBSTITUTE(SUBSTITUTE(SUBSTITUTE(G173,"&lt;p&gt;",""),"&lt;/p&gt;",""),"&lt;ul&gt;",""),"&lt;/ul&gt;",""),"&lt;/strong&gt;",""))</f>
        <v>RDV physique 19/02/2026 avec Trisan Touzilier, point méthodo, suivi à faire sur chantier Luxembourgeois. Dernière activité : pas de nouvelle action, discussion sur taille du fond, % d'emprise fonds/clients. Pas de feedback prospect sur fonds. Prochaine étape non précisée.</v>
      </c>
      <c r="I173" s="14" cm="1" t="str">
        <f t="array" ref="I173">IF(C173="","",IF(OR(H173="",H173=0,H173=FALSE),"-",H173))</f>
        <v>RDV physique 19/02/2026 avec Trisan Touzilier, point méthodo, suivi à faire sur chantier Luxembourgeois. Dernière activité : pas de nouvelle action, discussion sur taille du fond, % d'emprise fonds/clients. Pas de feedback prospect sur fonds. Prochaine étape non précisée.</v>
      </c>
      <c r="J173" s="8">
</c>
      <c r="K173" s="8" t="s">
        <v>551</v>
      </c>
      <c r="L173" s="9" cm="1" t="str">
        <f t="array" ref="L173">IF(C173="","",IF(K173="Mort / Plus rien à faire","KO","OK"))</f>
        <v>KO</v>
      </c>
      <c r="M173" s="15">
        <v>46090.66746527778</v>
      </c>
      <c r="N173" s="15" cm="1" t="n">
        <f t="array" ref="N173">IF(OR(C173="",M173="",M173=0),"",M173)</f>
        <v>46090.66746527778</v>
      </c>
      <c r="O173" s="15">
</c>
      <c r="P173" s="15" cm="1" t="str">
        <f t="array" ref="P173">IF(C173="","",IF(OR(O173="",O173=0),"-",O173))</f>
        <v>-</v>
      </c>
      <c r="Q173" s="16">
        <v>0</v>
      </c>
      <c r="R173" s="16" cm="1" t="str">
        <f t="array" ref="R173">IF(C173="","",ROUND(Q173/1000000,3)&amp;" M€")</f>
        <v>0 M€</v>
      </c>
      <c r="S173" s="12" t="s">
        <v>540</v>
      </c>
      <c r="T173" s="9" cm="1" t="str">
        <f t="array" ref="T173">IF(C173="","",SUBSTITUTE(S173,"","")&amp;"%")</f>
        <v>0%</v>
      </c>
      <c r="U173" s="14" cm="1" t="str">
        <f t="array" ref="U173">IF(($N173="")*($P173=""),"",IF(($N173&lt;&gt;"")*($N173&gt;TODAY()-9)*($N173&lt;TODAY()+1)*($P173&lt;&gt;"")*($P173&gt;=TODAY())*($P173&lt;=TODAY()+13),"Semaine passée &amp; à venir",IF(($N173&lt;&gt;"")*($N173&gt;TODAY()-9)*($N173&lt;TODAY()+1),"Semaine passée",IF(($P173&lt;&gt;"")*($P173&gt;=TODAY())*($P173&lt;=TODAY()+13),"À venir","Autre"))))</f>
        <v>Autre</v>
      </c>
      <c r="V173" s="8" cm="1" t="n">
        <f t="array" ref="V173">IF(C173&lt;&gt;"",1,0)</f>
        <v>1</v>
      </c>
      <c r="W173" s="8">
</c>
      <c r="X173" s="8">
</c>
      <c r="Y173" s="8">
</c>
      <c r="Z173" s="8">
</c>
      <c r="AA173" s="8">
</c>
      <c r="AB173" s="8">
</c>
      <c r="AC173" s="8">
</c>
      <c r="AD173" s="8">
</c>
      <c r="AE173" s="8">
</c>
      <c r="AF173" s="8">
</c>
      <c r="AG173" s="8">
</c>
      <c r="AH173" s="8">
</c>
      <c r="AI173" s="8">
</c>
      <c r="AJ173" s="8">
</c>
      <c r="AK173" s="8">
</c>
    </row>
    <row r="174" ht="76.5" customHeight="1">
      <c r="A174" s="9" t="s">
        <v>23</v>
      </c>
      <c r="B174" s="9" t="s">
        <v>76</v>
      </c>
      <c r="C174" s="12" t="s">
        <v>602</v>
      </c>
      <c r="D174" s="12" t="s">
        <v>603</v>
      </c>
      <c r="E174" s="9" t="s">
        <v>27</v>
      </c>
      <c r="F174" s="8" t="s">
        <v>604</v>
      </c>
      <c r="G174" s="13" cm="1" t="str">
        <f t="array" ref="G174">IF(F174="","",SUBSTITUTE(SUBSTITUTE(SUBSTITUTE(SUBSTITUTE(F174,"&lt;li&gt;",CHAR(10)),"&lt;/li&gt;",""),"&lt;br&gt;",CHAR(10)),"&lt;strong&gt;",""))</f>
        <v>&lt;p&gt;Nouvelle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v>
      </c>
      <c r="H174" s="13" cm="1" t="str">
        <f t="array" ref="H174">IF(G174="","",SUBSTITUTE(SUBSTITUTE(SUBSTITUTE(SUBSTITUTE(SUBSTITUTE(G174,"&lt;p&gt;",""),"&lt;/p&gt;",""),"&lt;ul&gt;",""),"&lt;/ul&gt;",""),"&lt;/strong&gt;",""))</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I174" s="14" cm="1" t="str">
        <f t="array" ref="I174">IF(C174="","",IF(OR(H174="",H174=0,H174=FALSE),"-",H174))</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J174" s="8" t="s">
        <v>605</v>
      </c>
      <c r="K174" s="8" t="s">
        <v>203</v>
      </c>
      <c r="L174" s="9" cm="1" t="str">
        <f t="array" ref="L174">IF(C174="","",IF(K174="Mort / Plus rien à faire","KO","OK"))</f>
        <v>OK</v>
      </c>
      <c r="M174" s="15">
        <v>46098.64708333334</v>
      </c>
      <c r="N174" s="15" cm="1" t="n">
        <f t="array" ref="N174">IF(OR(C174="",M174="",M174=0),"",M174)</f>
        <v>46098.64708333334</v>
      </c>
      <c r="O174" s="15">
        <v>46377.041666666664</v>
      </c>
      <c r="P174" s="15" cm="1" t="n">
        <f t="array" ref="P174">IF(C174="","",IF(OR(O174="",O174=0),"-",O174))</f>
        <v>46377.041666666664</v>
      </c>
      <c r="Q174" s="16">
        <v>0</v>
      </c>
      <c r="R174" s="16" cm="1" t="str">
        <f t="array" ref="R174">IF(C174="","",ROUND(Q174/1000000,3)&amp;" M€")</f>
        <v>0 M€</v>
      </c>
      <c r="S174" s="12" t="s">
        <v>540</v>
      </c>
      <c r="T174" s="9" cm="1" t="str">
        <f t="array" ref="T174">IF(C174="","",SUBSTITUTE(S174,"","")&amp;"%")</f>
        <v>0%</v>
      </c>
      <c r="U174" s="14" cm="1" t="str">
        <f t="array" ref="U174">IF(($N174="")*($P174=""),"",IF(($N174&lt;&gt;"")*($N174&gt;TODAY()-9)*($N174&lt;TODAY()+1)*($P174&lt;&gt;"")*($P174&gt;=TODAY())*($P174&lt;=TODAY()+13),"Semaine passée &amp; à venir",IF(($N174&lt;&gt;"")*($N174&gt;TODAY()-9)*($N174&lt;TODAY()+1),"Semaine passée",IF(($P174&lt;&gt;"")*($P174&gt;=TODAY())*($P174&lt;=TODAY()+13),"À venir","Autre"))))</f>
        <v>Autre</v>
      </c>
      <c r="V174" s="8" cm="1" t="n">
        <f t="array" ref="V174">IF(C174&lt;&gt;"",1,0)</f>
        <v>1</v>
      </c>
      <c r="W174" s="8">
</c>
      <c r="X174" s="8">
</c>
      <c r="Y174" s="8">
</c>
      <c r="Z174" s="8">
</c>
      <c r="AA174" s="8">
</c>
      <c r="AB174" s="8">
</c>
      <c r="AC174" s="8">
</c>
      <c r="AD174" s="8">
</c>
      <c r="AE174" s="8">
</c>
      <c r="AF174" s="8">
</c>
      <c r="AG174" s="8">
</c>
      <c r="AH174" s="8">
</c>
      <c r="AI174" s="8">
</c>
      <c r="AJ174" s="8">
</c>
      <c r="AK174" s="8">
</c>
    </row>
    <row r="175" ht="76.5" customHeight="1">
      <c r="A175" s="9" t="s">
        <v>23</v>
      </c>
      <c r="B175" s="9" t="s">
        <v>144</v>
      </c>
      <c r="C175" s="12" t="s">
        <v>286</v>
      </c>
      <c r="D175" s="12" t="s">
        <v>606</v>
      </c>
      <c r="E175" s="9" t="s">
        <v>27</v>
      </c>
      <c r="F175" s="8" t="s">
        <v>607</v>
      </c>
      <c r="G175" s="13" cm="1" t="str">
        <f t="array" ref="G175">IF(F175="","",SUBSTITUTE(SUBSTITUTE(SUBSTITUTE(SUBSTITUTE(F175,"&lt;li&gt;",CHAR(10)),"&lt;/li&gt;",""),"&lt;br&gt;",CHAR(10)),"&lt;strong&gt;",""))</f>
        <v>&lt;p&gt;RDV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v>
      </c>
      <c r="H175" s="13" cm="1" t="str">
        <f t="array" ref="H175">IF(G175="","",SUBSTITUTE(SUBSTITUTE(SUBSTITUTE(SUBSTITUTE(SUBSTITUTE(G175,"&lt;p&gt;",""),"&lt;/p&gt;",""),"&lt;ul&gt;",""),"&lt;/ul&gt;",""),"&lt;/strong&gt;",""))</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I175" s="14" cm="1" t="str">
        <f t="array" ref="I175">IF(C175="","",IF(OR(H175="",H175=0,H175=FALSE),"-",H175))</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J175" s="8" t="s">
        <v>608</v>
      </c>
      <c r="K175" s="8" t="s">
        <v>551</v>
      </c>
      <c r="L175" s="9" cm="1" t="str">
        <f t="array" ref="L175">IF(C175="","",IF(K175="Mort / Plus rien à faire","KO","OK"))</f>
        <v>KO</v>
      </c>
      <c r="M175" s="15">
        <v>46071.47336805556</v>
      </c>
      <c r="N175" s="15" cm="1" t="n">
        <f t="array" ref="N175">IF(OR(C175="",M175="",M175=0),"",M175)</f>
        <v>46071.47336805556</v>
      </c>
      <c r="O175" s="15">
        <v>46391.041666666664</v>
      </c>
      <c r="P175" s="15" cm="1" t="n">
        <f t="array" ref="P175">IF(C175="","",IF(OR(O175="",O175=0),"-",O175))</f>
        <v>46391.041666666664</v>
      </c>
      <c r="Q175" s="16">
        <v>1000000</v>
      </c>
      <c r="R175" s="16" cm="1" t="str">
        <f t="array" ref="R175">IF(C175="","",ROUND(Q175/1000000,3)&amp;" M€")</f>
        <v>1 M€</v>
      </c>
      <c r="S175" s="12" t="s">
        <v>540</v>
      </c>
      <c r="T175" s="9" cm="1" t="str">
        <f t="array" ref="T175">IF(C175="","",SUBSTITUTE(S175,"","")&amp;"%")</f>
        <v>0%</v>
      </c>
      <c r="U175" s="14" cm="1" t="str">
        <f t="array" ref="U175">IF(($N175="")*($P175=""),"",IF(($N175&lt;&gt;"")*($N175&gt;TODAY()-9)*($N175&lt;TODAY()+1)*($P175&lt;&gt;"")*($P175&gt;=TODAY())*($P175&lt;=TODAY()+13),"Semaine passée &amp; à venir",IF(($N175&lt;&gt;"")*($N175&gt;TODAY()-9)*($N175&lt;TODAY()+1),"Semaine passée",IF(($P175&lt;&gt;"")*($P175&gt;=TODAY())*($P175&lt;=TODAY()+13),"À venir","Autre"))))</f>
        <v>Autre</v>
      </c>
      <c r="V175" s="8" cm="1" t="n">
        <f t="array" ref="V175">IF(C175&lt;&gt;"",1,0)</f>
        <v>1</v>
      </c>
      <c r="W175" s="8">
</c>
      <c r="X175" s="8">
</c>
      <c r="Y175" s="8">
</c>
      <c r="Z175" s="8">
</c>
      <c r="AA175" s="8">
</c>
      <c r="AB175" s="8">
</c>
      <c r="AC175" s="8">
</c>
      <c r="AD175" s="8">
</c>
      <c r="AE175" s="8">
</c>
      <c r="AF175" s="8">
</c>
      <c r="AG175" s="8">
</c>
      <c r="AH175" s="8">
</c>
      <c r="AI175" s="8">
</c>
      <c r="AJ175" s="8">
</c>
      <c r="AK175" s="8">
</c>
    </row>
    <row r="176" ht="76.5" customHeight="1">
      <c r="A176" s="9" t="s">
        <v>23</v>
      </c>
      <c r="B176" s="9" t="s">
        <v>264</v>
      </c>
      <c r="C176" s="12" t="s">
        <v>609</v>
      </c>
      <c r="D176" s="12" t="s">
        <v>610</v>
      </c>
      <c r="E176" s="9" t="s">
        <v>27</v>
      </c>
      <c r="F176" s="8" t="s">
        <v>611</v>
      </c>
      <c r="G176" s="13" cm="1" t="str">
        <f t="array" ref="G176">IF(F176="","",SUBSTITUTE(SUBSTITUTE(SUBSTITUTE(SUBSTITUTE(F176,"&lt;li&gt;",CHAR(10)),"&lt;/li&gt;",""),"&lt;br&gt;",CHAR(10)),"&lt;strong&gt;",""))</f>
        <v>&lt;p&gt;Présentation fonds Audacia (FPCI, 100-150M€, 10 ans, défense, minoritaire, France, IRR 12,5%). Prospects : stratégie non adaptée (minorité/retour). Équipe first time, 15% AUM, Europe only. Pas d'activité future prévue, refus confirmé par le prospect. Pas d'étape à venir.&lt;/p&gt;</v>
      </c>
      <c r="H176" s="13" cm="1" t="str">
        <f t="array" ref="H176">IF(G176="","",SUBSTITUTE(SUBSTITUTE(SUBSTITUTE(SUBSTITUTE(SUBSTITUTE(G176,"&lt;p&gt;",""),"&lt;/p&gt;",""),"&lt;ul&gt;",""),"&lt;/ul&gt;",""),"&lt;/strong&gt;",""))</f>
        <v>Présentation fonds Audacia (FPCI, 100-150M€, 10 ans, défense, minoritaire, France, IRR 12,5%). Prospects : stratégie non adaptée (minorité/retour). Équipe first time, 15% AUM, Europe only. Pas d'activité future prévue, refus confirmé par le prospect. Pas d'étape à venir.</v>
      </c>
      <c r="I176" s="14" cm="1" t="str">
        <f t="array" ref="I176">IF(C176="","",IF(OR(H176="",H176=0,H176=FALSE),"-",H176))</f>
        <v>Présentation fonds Audacia (FPCI, 100-150M€, 10 ans, défense, minoritaire, France, IRR 12,5%). Prospects : stratégie non adaptée (minorité/retour). Équipe first time, 15% AUM, Europe only. Pas d'activité future prévue, refus confirmé par le prospect. Pas d'étape à venir.</v>
      </c>
      <c r="J176" s="8">
</c>
      <c r="K176" s="8" t="s">
        <v>551</v>
      </c>
      <c r="L176" s="9" cm="1" t="str">
        <f t="array" ref="L176">IF(C176="","",IF(K176="Mort / Plus rien à faire","KO","OK"))</f>
        <v>KO</v>
      </c>
      <c r="M176" s="15">
        <v>46153.80671296296</v>
      </c>
      <c r="N176" s="15" cm="1" t="n">
        <f t="array" ref="N176">IF(OR(C176="",M176="",M176=0),"",M176)</f>
        <v>46153.80671296296</v>
      </c>
      <c r="O176" s="15">
</c>
      <c r="P176" s="15" cm="1" t="str">
        <f t="array" ref="P176">IF(C176="","",IF(OR(O176="",O176=0),"-",O176))</f>
        <v>-</v>
      </c>
      <c r="Q176" s="16">
        <v>0</v>
      </c>
      <c r="R176" s="16" cm="1" t="str">
        <f t="array" ref="R176">IF(C176="","",ROUND(Q176/1000000,3)&amp;" M€")</f>
        <v>0 M€</v>
      </c>
      <c r="S176" s="12" t="s">
        <v>540</v>
      </c>
      <c r="T176" s="9" cm="1" t="str">
        <f t="array" ref="T176">IF(C176="","",SUBSTITUTE(S176,"","")&amp;"%")</f>
        <v>0%</v>
      </c>
      <c r="U176" s="14" cm="1" t="str">
        <f t="array" ref="U176">IF(($N176="")*($P176=""),"",IF(($N176&lt;&gt;"")*($N176&gt;TODAY()-9)*($N176&lt;TODAY()+1)*($P176&lt;&gt;"")*($P176&gt;=TODAY())*($P176&lt;=TODAY()+13),"Semaine passée &amp; à venir",IF(($N176&lt;&gt;"")*($N176&gt;TODAY()-9)*($N176&lt;TODAY()+1),"Semaine passée",IF(($P176&lt;&gt;"")*($P176&gt;=TODAY())*($P176&lt;=TODAY()+13),"À venir","Autre"))))</f>
        <v>Autre</v>
      </c>
      <c r="V176" s="8" cm="1" t="n">
        <f t="array" ref="V176">IF(C176&lt;&gt;"",1,0)</f>
        <v>1</v>
      </c>
      <c r="W176" s="8">
</c>
      <c r="X176" s="8">
</c>
      <c r="Y176" s="8">
</c>
      <c r="Z176" s="8">
</c>
      <c r="AA176" s="8">
</c>
      <c r="AB176" s="8">
</c>
      <c r="AC176" s="8">
</c>
      <c r="AD176" s="8">
</c>
      <c r="AE176" s="8">
</c>
      <c r="AF176" s="8">
</c>
      <c r="AG176" s="8">
</c>
      <c r="AH176" s="8">
</c>
      <c r="AI176" s="8">
</c>
      <c r="AJ176" s="8">
</c>
      <c r="AK176" s="8">
</c>
    </row>
    <row r="177" ht="76.5" customHeight="1">
      <c r="A177" s="9" t="s">
        <v>23</v>
      </c>
      <c r="B177" s="9" t="s">
        <v>24</v>
      </c>
      <c r="C177" s="12" t="s">
        <v>612</v>
      </c>
      <c r="D177" s="12" t="s">
        <v>613</v>
      </c>
      <c r="E177" s="9" t="s">
        <v>27</v>
      </c>
      <c r="F177" s="8" t="s">
        <v>614</v>
      </c>
      <c r="G177" s="13" cm="1" t="str">
        <f t="array" ref="G177">IF(F177="","",SUBSTITUTE(SUBSTITUTE(SUBSTITUTE(SUBSTITUTE(F177,"&lt;li&gt;",CHAR(10)),"&lt;/li&gt;",""),"&lt;br&gt;",CHAR(10)),"&lt;strong&gt;",""))</f>
        <v>&lt;p&gt;Intro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v>
      </c>
      <c r="H177" s="13" cm="1" t="str">
        <f t="array" ref="H177">IF(G177="","",SUBSTITUTE(SUBSTITUTE(SUBSTITUTE(SUBSTITUTE(SUBSTITUTE(G177,"&lt;p&gt;",""),"&lt;/p&gt;",""),"&lt;ul&gt;",""),"&lt;/ul&gt;",""),"&lt;/strong&gt;",""))</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I177" s="14" cm="1" t="str">
        <f t="array" ref="I177">IF(C177="","",IF(OR(H177="",H177=0,H177=FALSE),"-",H177))</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J177" s="8" t="s">
        <v>615</v>
      </c>
      <c r="K177" s="8" t="s">
        <v>235</v>
      </c>
      <c r="L177" s="9" cm="1" t="str">
        <f t="array" ref="L177">IF(C177="","",IF(K177="Mort / Plus rien à faire","KO","OK"))</f>
        <v>OK</v>
      </c>
      <c r="M177" s="15">
        <v>46114.71256944445</v>
      </c>
      <c r="N177" s="15" cm="1" t="n">
        <f t="array" ref="N177">IF(OR(C177="",M177="",M177=0),"",M177)</f>
        <v>46114.71256944445</v>
      </c>
      <c r="O177" s="15">
</c>
      <c r="P177" s="15" cm="1" t="str">
        <f t="array" ref="P177">IF(C177="","",IF(OR(O177="",O177=0),"-",O177))</f>
        <v>-</v>
      </c>
      <c r="Q177" s="16">
        <v>1000000</v>
      </c>
      <c r="R177" s="16" cm="1" t="str">
        <f t="array" ref="R177">IF(C177="","",ROUND(Q177/1000000,3)&amp;" M€")</f>
        <v>1 M€</v>
      </c>
      <c r="S177" s="12" t="s">
        <v>540</v>
      </c>
      <c r="T177" s="9" cm="1" t="str">
        <f t="array" ref="T177">IF(C177="","",SUBSTITUTE(S177,"","")&amp;"%")</f>
        <v>0%</v>
      </c>
      <c r="U177" s="14" cm="1" t="str">
        <f t="array" ref="U177">IF(($N177="")*($P177=""),"",IF(($N177&lt;&gt;"")*($N177&gt;TODAY()-9)*($N177&lt;TODAY()+1)*($P177&lt;&gt;"")*($P177&gt;=TODAY())*($P177&lt;=TODAY()+13),"Semaine passée &amp; à venir",IF(($N177&lt;&gt;"")*($N177&gt;TODAY()-9)*($N177&lt;TODAY()+1),"Semaine passée",IF(($P177&lt;&gt;"")*($P177&gt;=TODAY())*($P177&lt;=TODAY()+13),"À venir","Autre"))))</f>
        <v>Autre</v>
      </c>
      <c r="V177" s="8" cm="1" t="n">
        <f t="array" ref="V177">IF(C177&lt;&gt;"",1,0)</f>
        <v>1</v>
      </c>
      <c r="W177" s="8">
</c>
      <c r="X177" s="8">
</c>
      <c r="Y177" s="8">
</c>
      <c r="Z177" s="8">
</c>
      <c r="AA177" s="8">
</c>
      <c r="AB177" s="8">
</c>
      <c r="AC177" s="8">
</c>
      <c r="AD177" s="8">
</c>
      <c r="AE177" s="8">
</c>
      <c r="AF177" s="8">
</c>
      <c r="AG177" s="8">
</c>
      <c r="AH177" s="8">
</c>
      <c r="AI177" s="8">
</c>
      <c r="AJ177" s="8">
</c>
      <c r="AK177" s="8">
</c>
    </row>
    <row r="178" ht="76.5" customHeight="1">
      <c r="A178" s="9" t="s">
        <v>23</v>
      </c>
      <c r="B178" s="9" t="s">
        <v>144</v>
      </c>
      <c r="C178" s="12" t="s">
        <v>616</v>
      </c>
      <c r="D178" s="12" t="s">
        <v>617</v>
      </c>
      <c r="E178" s="9" t="s">
        <v>27</v>
      </c>
      <c r="F178" s="8" t="s">
        <v>618</v>
      </c>
      <c r="G178" s="13" cm="1" t="str">
        <f t="array" ref="G178">IF(F178="","",SUBSTITUTE(SUBSTITUTE(SUBSTITUTE(SUBSTITUTE(F178,"&lt;li&gt;",CHAR(10)),"&lt;/li&gt;",""),"&lt;br&gt;",CHAR(10)),"&lt;strong&gt;",""))</f>
        <v>&lt;p&gt;Ouverture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v>
      </c>
      <c r="H178" s="13" cm="1" t="str">
        <f t="array" ref="H178">IF(G178="","",SUBSTITUTE(SUBSTITUTE(SUBSTITUTE(SUBSTITUTE(SUBSTITUTE(G178,"&lt;p&gt;",""),"&lt;/p&gt;",""),"&lt;ul&gt;",""),"&lt;/ul&gt;",""),"&lt;/strong&gt;",""))</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I178" s="14" cm="1" t="str">
        <f t="array" ref="I178">IF(C178="","",IF(OR(H178="",H178=0,H178=FALSE),"-",H178))</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J178" s="8">
</c>
      <c r="K178" s="8" t="s">
        <v>551</v>
      </c>
      <c r="L178" s="9" cm="1" t="str">
        <f t="array" ref="L178">IF(C178="","",IF(K178="Mort / Plus rien à faire","KO","OK"))</f>
        <v>KO</v>
      </c>
      <c r="M178" s="15">
        <v>46114.57148148148</v>
      </c>
      <c r="N178" s="15" cm="1" t="n">
        <f t="array" ref="N178">IF(OR(C178="",M178="",M178=0),"",M178)</f>
        <v>46114.57148148148</v>
      </c>
      <c r="O178" s="15">
</c>
      <c r="P178" s="15" cm="1" t="str">
        <f t="array" ref="P178">IF(C178="","",IF(OR(O178="",O178=0),"-",O178))</f>
        <v>-</v>
      </c>
      <c r="Q178" s="16">
        <v>10000000</v>
      </c>
      <c r="R178" s="16" cm="1" t="str">
        <f t="array" ref="R178">IF(C178="","",ROUND(Q178/1000000,3)&amp;" M€")</f>
        <v>10 M€</v>
      </c>
      <c r="S178" s="12" t="s">
        <v>540</v>
      </c>
      <c r="T178" s="9" cm="1" t="str">
        <f t="array" ref="T178">IF(C178="","",SUBSTITUTE(S178,"","")&amp;"%")</f>
        <v>0%</v>
      </c>
      <c r="U178" s="14" cm="1" t="str">
        <f t="array" ref="U178">IF(($N178="")*($P178=""),"",IF(($N178&lt;&gt;"")*($N178&gt;TODAY()-9)*($N178&lt;TODAY()+1)*($P178&lt;&gt;"")*($P178&gt;=TODAY())*($P178&lt;=TODAY()+13),"Semaine passée &amp; à venir",IF(($N178&lt;&gt;"")*($N178&gt;TODAY()-9)*($N178&lt;TODAY()+1),"Semaine passée",IF(($P178&lt;&gt;"")*($P178&gt;=TODAY())*($P178&lt;=TODAY()+13),"À venir","Autre"))))</f>
        <v>Autre</v>
      </c>
      <c r="V178" s="8" cm="1" t="n">
        <f t="array" ref="V178">IF(C178&lt;&gt;"",1,0)</f>
        <v>1</v>
      </c>
      <c r="W178" s="8">
</c>
      <c r="X178" s="8">
</c>
      <c r="Y178" s="8">
</c>
      <c r="Z178" s="8">
</c>
      <c r="AA178" s="8">
</c>
      <c r="AB178" s="8">
</c>
      <c r="AC178" s="8">
</c>
      <c r="AD178" s="8">
</c>
      <c r="AE178" s="8">
</c>
      <c r="AF178" s="8">
</c>
      <c r="AG178" s="8">
</c>
      <c r="AH178" s="8">
</c>
      <c r="AI178" s="8">
</c>
      <c r="AJ178" s="8">
</c>
      <c r="AK178" s="8">
</c>
    </row>
    <row r="179" ht="76.5" customHeight="1">
      <c r="A179" s="9" t="s">
        <v>23</v>
      </c>
      <c r="B179" s="9" t="s">
        <v>466</v>
      </c>
      <c r="C179" s="12" t="s">
        <v>619</v>
      </c>
      <c r="D179" s="12" t="s">
        <v>620</v>
      </c>
      <c r="E179" s="9" t="s">
        <v>27</v>
      </c>
      <c r="F179" s="8">
</c>
      <c r="G179" s="13" cm="1" t="str">
        <f t="array" ref="G179">IF(F179="","",SUBSTITUTE(SUBSTITUTE(SUBSTITUTE(SUBSTITUTE(F179,"&lt;li&gt;",CHAR(10)),"&lt;/li&gt;",""),"&lt;br&gt;",CHAR(10)),"&lt;strong&gt;",""))</f>
        <v/>
      </c>
      <c r="H179" s="13" cm="1" t="str">
        <f t="array" ref="H179">IF(G179="","",SUBSTITUTE(SUBSTITUTE(SUBSTITUTE(SUBSTITUTE(SUBSTITUTE(G179,"&lt;p&gt;",""),"&lt;/p&gt;",""),"&lt;ul&gt;",""),"&lt;/ul&gt;",""),"&lt;/strong&gt;",""))</f>
        <v/>
      </c>
      <c r="I179" s="14" cm="1" t="str">
        <f t="array" ref="I179">IF(C179="","",IF(OR(H179="",H179=0,H179=FALSE),"-",H179))</f>
        <v>-</v>
      </c>
      <c r="J179" s="8">
</c>
      <c r="K179" s="8" t="s">
        <v>203</v>
      </c>
      <c r="L179" s="9" cm="1" t="str">
        <f t="array" ref="L179">IF(C179="","",IF(K179="Mort / Plus rien à faire","KO","OK"))</f>
        <v>OK</v>
      </c>
      <c r="M179" s="15">
        <v>45992.515023148146</v>
      </c>
      <c r="N179" s="15" cm="1" t="n">
        <f t="array" ref="N179">IF(OR(C179="",M179="",M179=0),"",M179)</f>
        <v>45992.515023148146</v>
      </c>
      <c r="O179" s="15">
</c>
      <c r="P179" s="15" cm="1" t="str">
        <f t="array" ref="P179">IF(C179="","",IF(OR(O179="",O179=0),"-",O179))</f>
        <v>-</v>
      </c>
      <c r="Q179" s="16">
        <v>0</v>
      </c>
      <c r="R179" s="16" cm="1" t="str">
        <f t="array" ref="R179">IF(C179="","",ROUND(Q179/1000000,3)&amp;" M€")</f>
        <v>0 M€</v>
      </c>
      <c r="S179" s="12" t="s">
        <v>540</v>
      </c>
      <c r="T179" s="9" cm="1" t="str">
        <f t="array" ref="T179">IF(C179="","",SUBSTITUTE(S179,"","")&amp;"%")</f>
        <v>0%</v>
      </c>
      <c r="U179" s="14" cm="1" t="str">
        <f t="array" ref="U179">IF(($N179="")*($P179=""),"",IF(($N179&lt;&gt;"")*($N179&gt;TODAY()-9)*($N179&lt;TODAY()+1)*($P179&lt;&gt;"")*($P179&gt;=TODAY())*($P179&lt;=TODAY()+13),"Semaine passée &amp; à venir",IF(($N179&lt;&gt;"")*($N179&gt;TODAY()-9)*($N179&lt;TODAY()+1),"Semaine passée",IF(($P179&lt;&gt;"")*($P179&gt;=TODAY())*($P179&lt;=TODAY()+13),"À venir","Autre"))))</f>
        <v>Autre</v>
      </c>
      <c r="V179" s="8" cm="1" t="n">
        <f t="array" ref="V179">IF(C179&lt;&gt;"",1,0)</f>
        <v>1</v>
      </c>
      <c r="W179" s="8">
</c>
      <c r="X179" s="8">
</c>
      <c r="Y179" s="8">
</c>
      <c r="Z179" s="8">
</c>
      <c r="AA179" s="8">
</c>
      <c r="AB179" s="8">
</c>
      <c r="AC179" s="8">
</c>
      <c r="AD179" s="8">
</c>
      <c r="AE179" s="8">
</c>
      <c r="AF179" s="8">
</c>
      <c r="AG179" s="8">
</c>
      <c r="AH179" s="8">
</c>
      <c r="AI179" s="8">
</c>
      <c r="AJ179" s="8">
</c>
      <c r="AK179" s="8">
</c>
    </row>
    <row r="180" ht="76.5" customHeight="1">
      <c r="A180" s="9" t="s">
        <v>23</v>
      </c>
      <c r="B180" s="9" t="s">
        <v>24</v>
      </c>
      <c r="C180" s="12" t="s">
        <v>621</v>
      </c>
      <c r="D180" s="12" t="s">
        <v>622</v>
      </c>
      <c r="E180" s="9" t="s">
        <v>27</v>
      </c>
      <c r="F180" s="8">
</c>
      <c r="G180" s="13" cm="1" t="str">
        <f t="array" ref="G180">IF(F180="","",SUBSTITUTE(SUBSTITUTE(SUBSTITUTE(SUBSTITUTE(F180,"&lt;li&gt;",CHAR(10)),"&lt;/li&gt;",""),"&lt;br&gt;",CHAR(10)),"&lt;strong&gt;",""))</f>
        <v/>
      </c>
      <c r="H180" s="13" cm="1" t="str">
        <f t="array" ref="H180">IF(G180="","",SUBSTITUTE(SUBSTITUTE(SUBSTITUTE(SUBSTITUTE(SUBSTITUTE(G180,"&lt;p&gt;",""),"&lt;/p&gt;",""),"&lt;ul&gt;",""),"&lt;/ul&gt;",""),"&lt;/strong&gt;",""))</f>
        <v/>
      </c>
      <c r="I180" s="14" cm="1" t="str">
        <f t="array" ref="I180">IF(C180="","",IF(OR(H180="",H180=0,H180=FALSE),"-",H180))</f>
        <v>-</v>
      </c>
      <c r="J180" s="8">
</c>
      <c r="K180" s="8" t="s">
        <v>551</v>
      </c>
      <c r="L180" s="9" cm="1" t="str">
        <f t="array" ref="L180">IF(C180="","",IF(K180="Mort / Plus rien à faire","KO","OK"))</f>
        <v>KO</v>
      </c>
      <c r="M180" s="15">
        <v>46036.7655787037</v>
      </c>
      <c r="N180" s="15" cm="1" t="n">
        <f t="array" ref="N180">IF(OR(C180="",M180="",M180=0),"",M180)</f>
        <v>46036.7655787037</v>
      </c>
      <c r="O180" s="15">
</c>
      <c r="P180" s="15" cm="1" t="str">
        <f t="array" ref="P180">IF(C180="","",IF(OR(O180="",O180=0),"-",O180))</f>
        <v>-</v>
      </c>
      <c r="Q180" s="16">
        <v>0</v>
      </c>
      <c r="R180" s="16" cm="1" t="str">
        <f t="array" ref="R180">IF(C180="","",ROUND(Q180/1000000,3)&amp;" M€")</f>
        <v>0 M€</v>
      </c>
      <c r="S180" s="12" t="s">
        <v>540</v>
      </c>
      <c r="T180" s="9" cm="1" t="str">
        <f t="array" ref="T180">IF(C180="","",SUBSTITUTE(S180,"","")&amp;"%")</f>
        <v>0%</v>
      </c>
      <c r="U180" s="14" cm="1" t="str">
        <f t="array" ref="U180">IF(($N180="")*($P180=""),"",IF(($N180&lt;&gt;"")*($N180&gt;TODAY()-9)*($N180&lt;TODAY()+1)*($P180&lt;&gt;"")*($P180&gt;=TODAY())*($P180&lt;=TODAY()+13),"Semaine passée &amp; à venir",IF(($N180&lt;&gt;"")*($N180&gt;TODAY()-9)*($N180&lt;TODAY()+1),"Semaine passée",IF(($P180&lt;&gt;"")*($P180&gt;=TODAY())*($P180&lt;=TODAY()+13),"À venir","Autre"))))</f>
        <v>Autre</v>
      </c>
      <c r="V180" s="8" cm="1" t="n">
        <f t="array" ref="V180">IF(C180&lt;&gt;"",1,0)</f>
        <v>1</v>
      </c>
      <c r="W180" s="8">
</c>
      <c r="X180" s="8">
</c>
      <c r="Y180" s="8">
</c>
      <c r="Z180" s="8">
</c>
      <c r="AA180" s="8">
</c>
      <c r="AB180" s="8">
</c>
      <c r="AC180" s="8">
</c>
      <c r="AD180" s="8">
</c>
      <c r="AE180" s="8">
</c>
      <c r="AF180" s="8">
</c>
      <c r="AG180" s="8">
</c>
      <c r="AH180" s="8">
</c>
      <c r="AI180" s="8">
</c>
      <c r="AJ180" s="8">
</c>
      <c r="AK180" s="8">
</c>
    </row>
    <row r="181" ht="76.5" customHeight="1">
      <c r="A181" s="9" t="s">
        <v>23</v>
      </c>
      <c r="B181" s="9" t="s">
        <v>24</v>
      </c>
      <c r="C181" s="12" t="s">
        <v>592</v>
      </c>
      <c r="D181" s="12" t="s">
        <v>623</v>
      </c>
      <c r="E181" s="9" t="s">
        <v>27</v>
      </c>
      <c r="F181" s="8" t="s">
        <v>624</v>
      </c>
      <c r="G181" s="13" cm="1" t="str">
        <f t="array" ref="G181">IF(F181="","",SUBSTITUTE(SUBSTITUTE(SUBSTITUTE(SUBSTITUTE(F181,"&lt;li&gt;",CHAR(10)),"&lt;/li&gt;",""),"&lt;br&gt;",CHAR(10)),"&lt;strong&gt;",""))</f>
        <v>&lt;p&gt;RDV physique demandé avec Aurélie Dumont (14/01), suivi par échanges, JFC est intervenu, puis renvoi vers Leovic Lecluse (13/04). Dernière action : transfert dossier à Leovic Lecluse. Prochaine étape : attente retour/prise en charge par Leovic Lecluse. Pas d'avis prospect sur fonds.&lt;/p&gt;</v>
      </c>
      <c r="H181" s="13" cm="1" t="str">
        <f t="array" ref="H181">IF(G181="","",SUBSTITUTE(SUBSTITUTE(SUBSTITUTE(SUBSTITUTE(SUBSTITUTE(G181,"&lt;p&gt;",""),"&lt;/p&gt;",""),"&lt;ul&gt;",""),"&lt;/ul&gt;",""),"&lt;/strong&gt;",""))</f>
        <v>RDV physique demandé avec Aurélie Dumont (14/01), suivi par échanges, JFC est intervenu, puis renvoi vers Leovic Lecluse (13/04). Dernière action : transfert dossier à Leovic Lecluse. Prochaine étape : attente retour/prise en charge par Leovic Lecluse. Pas d'avis prospect sur fonds.</v>
      </c>
      <c r="I181" s="14" cm="1" t="str">
        <f t="array" ref="I181">IF(C181="","",IF(OR(H181="",H181=0,H181=FALSE),"-",H181))</f>
        <v>RDV physique demandé avec Aurélie Dumont (14/01), suivi par échanges, JFC est intervenu, puis renvoi vers Leovic Lecluse (13/04). Dernière action : transfert dossier à Leovic Lecluse. Prochaine étape : attente retour/prise en charge par Leovic Lecluse. Pas d'avis prospect sur fonds.</v>
      </c>
      <c r="J181" s="8">
</c>
      <c r="K181" s="8" t="s">
        <v>551</v>
      </c>
      <c r="L181" s="9" cm="1" t="str">
        <f t="array" ref="L181">IF(C181="","",IF(K181="Mort / Plus rien à faire","KO","OK"))</f>
        <v>KO</v>
      </c>
      <c r="M181" s="15">
        <v>46125.79914351852</v>
      </c>
      <c r="N181" s="15" cm="1" t="n">
        <f t="array" ref="N181">IF(OR(C181="",M181="",M181=0),"",M181)</f>
        <v>46125.79914351852</v>
      </c>
      <c r="O181" s="15">
</c>
      <c r="P181" s="15" cm="1" t="str">
        <f t="array" ref="P181">IF(C181="","",IF(OR(O181="",O181=0),"-",O181))</f>
        <v>-</v>
      </c>
      <c r="Q181" s="16">
        <v>0</v>
      </c>
      <c r="R181" s="16" cm="1" t="str">
        <f t="array" ref="R181">IF(C181="","",ROUND(Q181/1000000,3)&amp;" M€")</f>
        <v>0 M€</v>
      </c>
      <c r="S181" s="12" t="s">
        <v>540</v>
      </c>
      <c r="T181" s="9" cm="1" t="str">
        <f t="array" ref="T181">IF(C181="","",SUBSTITUTE(S181,"","")&amp;"%")</f>
        <v>0%</v>
      </c>
      <c r="U181" s="14" cm="1" t="str">
        <f t="array" ref="U181">IF(($N181="")*($P181=""),"",IF(($N181&lt;&gt;"")*($N181&gt;TODAY()-9)*($N181&lt;TODAY()+1)*($P181&lt;&gt;"")*($P181&gt;=TODAY())*($P181&lt;=TODAY()+13),"Semaine passée &amp; à venir",IF(($N181&lt;&gt;"")*($N181&gt;TODAY()-9)*($N181&lt;TODAY()+1),"Semaine passée",IF(($P181&lt;&gt;"")*($P181&gt;=TODAY())*($P181&lt;=TODAY()+13),"À venir","Autre"))))</f>
        <v>Autre</v>
      </c>
      <c r="V181" s="8" cm="1" t="n">
        <f t="array" ref="V181">IF(C181&lt;&gt;"",1,0)</f>
        <v>1</v>
      </c>
      <c r="W181" s="8">
</c>
      <c r="X181" s="8">
</c>
      <c r="Y181" s="8">
</c>
      <c r="Z181" s="8">
</c>
      <c r="AA181" s="8">
</c>
      <c r="AB181" s="8">
</c>
      <c r="AC181" s="8">
</c>
      <c r="AD181" s="8">
</c>
      <c r="AE181" s="8">
</c>
      <c r="AF181" s="8">
</c>
      <c r="AG181" s="8">
</c>
      <c r="AH181" s="8">
</c>
      <c r="AI181" s="8">
</c>
      <c r="AJ181" s="8">
</c>
      <c r="AK181" s="8">
</c>
    </row>
    <row r="182" ht="76.5" customHeight="1">
      <c r="A182" s="9">
</c>
      <c r="B182" s="9">
</c>
      <c r="C182" s="12">
</c>
      <c r="D182" s="12">
</c>
      <c r="E182" s="9">
</c>
      <c r="F182" s="8">
</c>
      <c r="G182" s="13" cm="1" t="str">
        <f t="array" ref="G182">IF(F182="","",SUBSTITUTE(SUBSTITUTE(SUBSTITUTE(SUBSTITUTE(F182,"&lt;li&gt;",CHAR(10)),"&lt;/li&gt;",""),"&lt;br&gt;",CHAR(10)),"&lt;strong&gt;",""))</f>
        <v/>
      </c>
      <c r="H182" s="13" cm="1" t="str">
        <f t="array" ref="H182">IF(G182="","",SUBSTITUTE(SUBSTITUTE(SUBSTITUTE(SUBSTITUTE(SUBSTITUTE(G182,"&lt;p&gt;",""),"&lt;/p&gt;",""),"&lt;ul&gt;",""),"&lt;/ul&gt;",""),"&lt;/strong&gt;",""))</f>
        <v/>
      </c>
      <c r="I182" s="14" cm="1" t="str">
        <f t="array" ref="I182">IF(C182="","",IF(OR(H182="",H182=0,H182=FALSE),"-",H182))</f>
        <v/>
      </c>
      <c r="J182" s="8">
</c>
      <c r="K182" s="8">
</c>
      <c r="L182" s="9" cm="1" t="str">
        <f t="array" ref="L182">IF(C182="","",IF(K182="Mort / Plus rien à faire","KO","OK"))</f>
        <v/>
      </c>
      <c r="M182" s="15">
</c>
      <c r="N182" s="15" cm="1" t="str">
        <f t="array" ref="N182">IF(OR(C182="",M182="",M182=0),"",M182)</f>
        <v/>
      </c>
      <c r="O182" s="15">
</c>
      <c r="P182" s="15" cm="1" t="str">
        <f t="array" ref="P182">IF(C182="","",IF(OR(O182="",O182=0),"-",O182))</f>
        <v/>
      </c>
      <c r="Q182" s="16">
</c>
      <c r="R182" s="16" cm="1" t="str">
        <f t="array" ref="R182">IF(C182="","",ROUND(Q182/1000000,3)&amp;" M€")</f>
        <v/>
      </c>
      <c r="S182" s="12">
</c>
      <c r="T182" s="9" cm="1" t="str">
        <f t="array" ref="T182">IF(C182="","",SUBSTITUTE(S182,"","")&amp;"%")</f>
        <v/>
      </c>
      <c r="U182" s="14" cm="1" t="str">
        <f t="array" ref="U182">IF(($N182="")*($P182=""),"",IF(($N182&lt;&gt;"")*($N182&gt;TODAY()-9)*($N182&lt;TODAY()+1)*($P182&lt;&gt;"")*($P182&gt;=TODAY())*($P182&lt;=TODAY()+13),"Semaine passée &amp; à venir",IF(($N182&lt;&gt;"")*($N182&gt;TODAY()-9)*($N182&lt;TODAY()+1),"Semaine passée",IF(($P182&lt;&gt;"")*($P182&gt;=TODAY())*($P182&lt;=TODAY()+13),"À venir","Autre"))))</f>
        <v/>
      </c>
      <c r="V182" s="8" cm="1" t="n">
        <f t="array" ref="V182">IF(C182&lt;&gt;"",1,0)</f>
        <v>0</v>
      </c>
      <c r="W182" s="8">
</c>
      <c r="X182" s="8">
</c>
      <c r="Y182" s="8">
</c>
      <c r="Z182" s="8">
</c>
      <c r="AA182" s="8">
</c>
      <c r="AB182" s="8">
</c>
      <c r="AC182" s="8">
</c>
      <c r="AD182" s="8">
</c>
      <c r="AE182" s="8">
</c>
      <c r="AF182" s="8">
</c>
      <c r="AG182" s="8">
</c>
      <c r="AH182" s="8">
</c>
      <c r="AI182" s="8">
</c>
      <c r="AJ182" s="8">
</c>
      <c r="AK182" s="8">
</c>
    </row>
    <row r="183" ht="76.5" customHeight="1">
      <c r="A183" s="9">
</c>
      <c r="B183" s="9">
</c>
      <c r="C183" s="12">
</c>
      <c r="D183" s="12">
</c>
      <c r="E183" s="9">
</c>
      <c r="F183" s="8">
</c>
      <c r="G183" s="13" cm="1" t="str">
        <f t="array" ref="G183">IF(F183="","",SUBSTITUTE(SUBSTITUTE(SUBSTITUTE(SUBSTITUTE(F183,"&lt;li&gt;",CHAR(10)),"&lt;/li&gt;",""),"&lt;br&gt;",CHAR(10)),"&lt;strong&gt;",""))</f>
        <v/>
      </c>
      <c r="H183" s="13" cm="1" t="str">
        <f t="array" ref="H183">IF(G183="","",SUBSTITUTE(SUBSTITUTE(SUBSTITUTE(SUBSTITUTE(SUBSTITUTE(G183,"&lt;p&gt;",""),"&lt;/p&gt;",""),"&lt;ul&gt;",""),"&lt;/ul&gt;",""),"&lt;/strong&gt;",""))</f>
        <v/>
      </c>
      <c r="I183" s="14" cm="1" t="str">
        <f t="array" ref="I183">IF(C183="","",IF(OR(H183="",H183=0,H183=FALSE),"-",H183))</f>
        <v/>
      </c>
      <c r="J183" s="8">
</c>
      <c r="K183" s="8">
</c>
      <c r="L183" s="9" cm="1" t="str">
        <f t="array" ref="L183">IF(C183="","",IF(K183="Mort / Plus rien à faire","KO","OK"))</f>
        <v/>
      </c>
      <c r="M183" s="15">
</c>
      <c r="N183" s="15" cm="1" t="str">
        <f t="array" ref="N183">IF(OR(C183="",M183="",M183=0),"",M183)</f>
        <v/>
      </c>
      <c r="O183" s="15">
</c>
      <c r="P183" s="15" cm="1" t="str">
        <f t="array" ref="P183">IF(C183="","",IF(OR(O183="",O183=0),"-",O183))</f>
        <v/>
      </c>
      <c r="Q183" s="16">
</c>
      <c r="R183" s="16" cm="1" t="str">
        <f t="array" ref="R183">IF(C183="","",ROUND(Q183/1000000,3)&amp;" M€")</f>
        <v/>
      </c>
      <c r="S183" s="12">
</c>
      <c r="T183" s="9" cm="1" t="str">
        <f t="array" ref="T183">IF(C183="","",SUBSTITUTE(S183,"","")&amp;"%")</f>
        <v/>
      </c>
      <c r="U183" s="14" cm="1" t="str">
        <f t="array" ref="U183">IF(($N183="")*($P183=""),"",IF(($N183&lt;&gt;"")*($N183&gt;TODAY()-9)*($N183&lt;TODAY()+1)*($P183&lt;&gt;"")*($P183&gt;=TODAY())*($P183&lt;=TODAY()+13),"Semaine passée &amp; à venir",IF(($N183&lt;&gt;"")*($N183&gt;TODAY()-9)*($N183&lt;TODAY()+1),"Semaine passée",IF(($P183&lt;&gt;"")*($P183&gt;=TODAY())*($P183&lt;=TODAY()+13),"À venir","Autre"))))</f>
        <v/>
      </c>
      <c r="V183" s="8" cm="1" t="n">
        <f t="array" ref="V183">IF(C183&lt;&gt;"",1,0)</f>
        <v>0</v>
      </c>
      <c r="W183" s="8">
</c>
      <c r="X183" s="8">
</c>
      <c r="Y183" s="8">
</c>
      <c r="Z183" s="8">
</c>
      <c r="AA183" s="8">
</c>
      <c r="AB183" s="8">
</c>
      <c r="AC183" s="8">
</c>
      <c r="AD183" s="8">
</c>
      <c r="AE183" s="8">
</c>
      <c r="AF183" s="8">
</c>
      <c r="AG183" s="8">
</c>
      <c r="AH183" s="8">
</c>
      <c r="AI183" s="8">
</c>
      <c r="AJ183" s="8">
</c>
      <c r="AK183" s="8">
</c>
    </row>
    <row r="184" ht="76.5" customHeight="1">
      <c r="A184" s="9">
</c>
      <c r="B184" s="9">
</c>
      <c r="C184" s="12">
</c>
      <c r="D184" s="12">
</c>
      <c r="E184" s="9">
</c>
      <c r="F184" s="8">
</c>
      <c r="G184" s="13" cm="1" t="str">
        <f t="array" ref="G184">IF(F184="","",SUBSTITUTE(SUBSTITUTE(SUBSTITUTE(SUBSTITUTE(F184,"&lt;li&gt;",CHAR(10)),"&lt;/li&gt;",""),"&lt;br&gt;",CHAR(10)),"&lt;strong&gt;",""))</f>
        <v/>
      </c>
      <c r="H184" s="13" cm="1" t="str">
        <f t="array" ref="H184">IF(G184="","",SUBSTITUTE(SUBSTITUTE(SUBSTITUTE(SUBSTITUTE(SUBSTITUTE(G184,"&lt;p&gt;",""),"&lt;/p&gt;",""),"&lt;ul&gt;",""),"&lt;/ul&gt;",""),"&lt;/strong&gt;",""))</f>
        <v/>
      </c>
      <c r="I184" s="14" cm="1" t="str">
        <f t="array" ref="I184">IF(C184="","",IF(OR(H184="",H184=0,H184=FALSE),"-",H184))</f>
        <v/>
      </c>
      <c r="J184" s="8">
</c>
      <c r="K184" s="8">
</c>
      <c r="L184" s="9" cm="1" t="str">
        <f t="array" ref="L184">IF(C184="","",IF(K184="Mort / Plus rien à faire","KO","OK"))</f>
        <v/>
      </c>
      <c r="M184" s="15">
</c>
      <c r="N184" s="15" cm="1" t="str">
        <f t="array" ref="N184">IF(OR(C184="",M184="",M184=0),"",M184)</f>
        <v/>
      </c>
      <c r="O184" s="15">
</c>
      <c r="P184" s="15" cm="1" t="str">
        <f t="array" ref="P184">IF(C184="","",IF(OR(O184="",O184=0),"-",O184))</f>
        <v/>
      </c>
      <c r="Q184" s="16">
</c>
      <c r="R184" s="16" cm="1" t="str">
        <f t="array" ref="R184">IF(C184="","",ROUND(Q184/1000000,3)&amp;" M€")</f>
        <v/>
      </c>
      <c r="S184" s="12">
</c>
      <c r="T184" s="9" cm="1" t="str">
        <f t="array" ref="T184">IF(C184="","",SUBSTITUTE(S184,"","")&amp;"%")</f>
        <v/>
      </c>
      <c r="U184" s="14" cm="1" t="str">
        <f t="array" ref="U184">IF(($N184="")*($P184=""),"",IF(($N184&lt;&gt;"")*($N184&gt;TODAY()-9)*($N184&lt;TODAY()+1)*($P184&lt;&gt;"")*($P184&gt;=TODAY())*($P184&lt;=TODAY()+13),"Semaine passée &amp; à venir",IF(($N184&lt;&gt;"")*($N184&gt;TODAY()-9)*($N184&lt;TODAY()+1),"Semaine passée",IF(($P184&lt;&gt;"")*($P184&gt;=TODAY())*($P184&lt;=TODAY()+13),"À venir","Autre"))))</f>
        <v/>
      </c>
      <c r="V184" s="8" cm="1" t="n">
        <f t="array" ref="V184">IF(C184&lt;&gt;"",1,0)</f>
        <v>0</v>
      </c>
      <c r="W184" s="8">
</c>
      <c r="X184" s="8">
</c>
      <c r="Y184" s="8">
</c>
      <c r="Z184" s="8">
</c>
      <c r="AA184" s="8">
</c>
      <c r="AB184" s="8">
</c>
      <c r="AC184" s="8">
</c>
      <c r="AD184" s="8">
</c>
      <c r="AE184" s="8">
</c>
      <c r="AF184" s="8">
</c>
      <c r="AG184" s="8">
</c>
      <c r="AH184" s="8">
</c>
      <c r="AI184" s="8">
</c>
      <c r="AJ184" s="8">
</c>
      <c r="AK184" s="8">
</c>
    </row>
    <row r="185" ht="76.5" customHeight="1">
      <c r="A185" s="9">
</c>
      <c r="B185" s="9">
</c>
      <c r="C185" s="12">
</c>
      <c r="D185" s="12">
</c>
      <c r="E185" s="9">
</c>
      <c r="F185" s="8">
</c>
      <c r="G185" s="13" cm="1" t="str">
        <f t="array" ref="G185">IF(F185="","",SUBSTITUTE(SUBSTITUTE(SUBSTITUTE(SUBSTITUTE(F185,"&lt;li&gt;",CHAR(10)),"&lt;/li&gt;",""),"&lt;br&gt;",CHAR(10)),"&lt;strong&gt;",""))</f>
        <v/>
      </c>
      <c r="H185" s="13" cm="1" t="str">
        <f t="array" ref="H185">IF(G185="","",SUBSTITUTE(SUBSTITUTE(SUBSTITUTE(SUBSTITUTE(SUBSTITUTE(G185,"&lt;p&gt;",""),"&lt;/p&gt;",""),"&lt;ul&gt;",""),"&lt;/ul&gt;",""),"&lt;/strong&gt;",""))</f>
        <v/>
      </c>
      <c r="I185" s="14" cm="1" t="str">
        <f t="array" ref="I185">IF(C185="","",IF(OR(H185="",H185=0,H185=FALSE),"-",H185))</f>
        <v/>
      </c>
      <c r="J185" s="8">
</c>
      <c r="K185" s="8">
</c>
      <c r="L185" s="9" cm="1" t="str">
        <f t="array" ref="L185">IF(C185="","",IF(K185="Mort / Plus rien à faire","KO","OK"))</f>
        <v/>
      </c>
      <c r="M185" s="15">
</c>
      <c r="N185" s="15" cm="1" t="str">
        <f t="array" ref="N185">IF(OR(C185="",M185="",M185=0),"",M185)</f>
        <v/>
      </c>
      <c r="O185" s="15">
</c>
      <c r="P185" s="15" cm="1" t="str">
        <f t="array" ref="P185">IF(C185="","",IF(OR(O185="",O185=0),"-",O185))</f>
        <v/>
      </c>
      <c r="Q185" s="16">
</c>
      <c r="R185" s="16" cm="1" t="str">
        <f t="array" ref="R185">IF(C185="","",ROUND(Q185/1000000,3)&amp;" M€")</f>
        <v/>
      </c>
      <c r="S185" s="12">
</c>
      <c r="T185" s="9" cm="1" t="str">
        <f t="array" ref="T185">IF(C185="","",SUBSTITUTE(S185,"","")&amp;"%")</f>
        <v/>
      </c>
      <c r="U185" s="14" cm="1" t="str">
        <f t="array" ref="U185">IF(($N185="")*($P185=""),"",IF(($N185&lt;&gt;"")*($N185&gt;TODAY()-9)*($N185&lt;TODAY()+1)*($P185&lt;&gt;"")*($P185&gt;=TODAY())*($P185&lt;=TODAY()+13),"Semaine passée &amp; à venir",IF(($N185&lt;&gt;"")*($N185&gt;TODAY()-9)*($N185&lt;TODAY()+1),"Semaine passée",IF(($P185&lt;&gt;"")*($P185&gt;=TODAY())*($P185&lt;=TODAY()+13),"À venir","Autre"))))</f>
        <v/>
      </c>
      <c r="V185" s="8" cm="1" t="n">
        <f t="array" ref="V185">IF(C185&lt;&gt;"",1,0)</f>
        <v>0</v>
      </c>
      <c r="W185" s="8">
</c>
      <c r="X185" s="8">
</c>
      <c r="Y185" s="8">
</c>
      <c r="Z185" s="8">
</c>
      <c r="AA185" s="8">
</c>
      <c r="AB185" s="8">
</c>
      <c r="AC185" s="8">
</c>
      <c r="AD185" s="8">
</c>
      <c r="AE185" s="8">
</c>
      <c r="AF185" s="8">
</c>
      <c r="AG185" s="8">
</c>
      <c r="AH185" s="8">
</c>
      <c r="AI185" s="8">
</c>
      <c r="AJ185" s="8">
</c>
      <c r="AK185" s="8">
</c>
    </row>
    <row r="186" ht="76.5" customHeight="1">
      <c r="A186" s="9">
</c>
      <c r="B186" s="9">
</c>
      <c r="C186" s="12">
</c>
      <c r="D186" s="12">
</c>
      <c r="E186" s="9">
</c>
      <c r="F186" s="8">
</c>
      <c r="G186" s="13" cm="1" t="str">
        <f t="array" ref="G186">IF(F186="","",SUBSTITUTE(SUBSTITUTE(SUBSTITUTE(SUBSTITUTE(F186,"&lt;li&gt;",CHAR(10)),"&lt;/li&gt;",""),"&lt;br&gt;",CHAR(10)),"&lt;strong&gt;",""))</f>
        <v/>
      </c>
      <c r="H186" s="13" cm="1" t="str">
        <f t="array" ref="H186">IF(G186="","",SUBSTITUTE(SUBSTITUTE(SUBSTITUTE(SUBSTITUTE(SUBSTITUTE(G186,"&lt;p&gt;",""),"&lt;/p&gt;",""),"&lt;ul&gt;",""),"&lt;/ul&gt;",""),"&lt;/strong&gt;",""))</f>
        <v/>
      </c>
      <c r="I186" s="14" cm="1" t="str">
        <f t="array" ref="I186">IF(C186="","",IF(OR(H186="",H186=0,H186=FALSE),"-",H186))</f>
        <v/>
      </c>
      <c r="J186" s="8">
</c>
      <c r="K186" s="8">
</c>
      <c r="L186" s="9" cm="1" t="str">
        <f t="array" ref="L186">IF(C186="","",IF(K186="Mort / Plus rien à faire","KO","OK"))</f>
        <v/>
      </c>
      <c r="M186" s="15">
</c>
      <c r="N186" s="15" cm="1" t="str">
        <f t="array" ref="N186">IF(OR(C186="",M186="",M186=0),"",M186)</f>
        <v/>
      </c>
      <c r="O186" s="15">
</c>
      <c r="P186" s="15" cm="1" t="str">
        <f t="array" ref="P186">IF(C186="","",IF(OR(O186="",O186=0),"-",O186))</f>
        <v/>
      </c>
      <c r="Q186" s="16">
</c>
      <c r="R186" s="16" cm="1" t="str">
        <f t="array" ref="R186">IF(C186="","",ROUND(Q186/1000000,3)&amp;" M€")</f>
        <v/>
      </c>
      <c r="S186" s="12">
</c>
      <c r="T186" s="9" cm="1" t="str">
        <f t="array" ref="T186">IF(C186="","",SUBSTITUTE(S186,"","")&amp;"%")</f>
        <v/>
      </c>
      <c r="U186" s="14" cm="1" t="str">
        <f t="array" ref="U186">IF(($N186="")*($P186=""),"",IF(($N186&lt;&gt;"")*($N186&gt;TODAY()-9)*($N186&lt;TODAY()+1)*($P186&lt;&gt;"")*($P186&gt;=TODAY())*($P186&lt;=TODAY()+13),"Semaine passée &amp; à venir",IF(($N186&lt;&gt;"")*($N186&gt;TODAY()-9)*($N186&lt;TODAY()+1),"Semaine passée",IF(($P186&lt;&gt;"")*($P186&gt;=TODAY())*($P186&lt;=TODAY()+13),"À venir","Autre"))))</f>
        <v/>
      </c>
      <c r="V186" s="8" cm="1" t="n">
        <f t="array" ref="V186">IF(C186&lt;&gt;"",1,0)</f>
        <v>0</v>
      </c>
      <c r="W186" s="8">
</c>
      <c r="X186" s="8">
</c>
      <c r="Y186" s="8">
</c>
      <c r="Z186" s="8">
</c>
      <c r="AA186" s="8">
</c>
      <c r="AB186" s="8">
</c>
      <c r="AC186" s="8">
</c>
      <c r="AD186" s="8">
</c>
      <c r="AE186" s="8">
</c>
      <c r="AF186" s="8">
</c>
      <c r="AG186" s="8">
</c>
      <c r="AH186" s="8">
</c>
      <c r="AI186" s="8">
</c>
      <c r="AJ186" s="8">
</c>
      <c r="AK186" s="8">
</c>
    </row>
    <row r="187" ht="76.5" customHeight="1">
      <c r="A187" s="9">
</c>
      <c r="B187" s="9">
</c>
      <c r="C187" s="12">
</c>
      <c r="D187" s="12">
</c>
      <c r="E187" s="9">
</c>
      <c r="F187" s="8">
</c>
      <c r="G187" s="13" cm="1" t="str">
        <f t="array" ref="G187">IF(F187="","",SUBSTITUTE(SUBSTITUTE(SUBSTITUTE(SUBSTITUTE(F187,"&lt;li&gt;",CHAR(10)),"&lt;/li&gt;",""),"&lt;br&gt;",CHAR(10)),"&lt;strong&gt;",""))</f>
        <v/>
      </c>
      <c r="H187" s="13" cm="1" t="str">
        <f t="array" ref="H187">IF(G187="","",SUBSTITUTE(SUBSTITUTE(SUBSTITUTE(SUBSTITUTE(SUBSTITUTE(G187,"&lt;p&gt;",""),"&lt;/p&gt;",""),"&lt;ul&gt;",""),"&lt;/ul&gt;",""),"&lt;/strong&gt;",""))</f>
        <v/>
      </c>
      <c r="I187" s="14" cm="1" t="str">
        <f t="array" ref="I187">IF(C187="","",IF(OR(H187="",H187=0,H187=FALSE),"-",H187))</f>
        <v/>
      </c>
      <c r="J187" s="8">
</c>
      <c r="K187" s="8">
</c>
      <c r="L187" s="9" cm="1" t="str">
        <f t="array" ref="L187">IF(C187="","",IF(K187="Mort / Plus rien à faire","KO","OK"))</f>
        <v/>
      </c>
      <c r="M187" s="15">
</c>
      <c r="N187" s="15" cm="1" t="str">
        <f t="array" ref="N187">IF(OR(C187="",M187="",M187=0),"",M187)</f>
        <v/>
      </c>
      <c r="O187" s="15">
</c>
      <c r="P187" s="15" cm="1" t="str">
        <f t="array" ref="P187">IF(C187="","",IF(OR(O187="",O187=0),"-",O187))</f>
        <v/>
      </c>
      <c r="Q187" s="16">
</c>
      <c r="R187" s="16" cm="1" t="str">
        <f t="array" ref="R187">IF(C187="","",ROUND(Q187/1000000,3)&amp;" M€")</f>
        <v/>
      </c>
      <c r="S187" s="12">
</c>
      <c r="T187" s="9" cm="1" t="str">
        <f t="array" ref="T187">IF(C187="","",SUBSTITUTE(S187,"","")&amp;"%")</f>
        <v/>
      </c>
      <c r="U187" s="14" cm="1" t="str">
        <f t="array" ref="U187">IF(($N187="")*($P187=""),"",IF(($N187&lt;&gt;"")*($N187&gt;TODAY()-9)*($N187&lt;TODAY()+1)*($P187&lt;&gt;"")*($P187&gt;=TODAY())*($P187&lt;=TODAY()+13),"Semaine passée &amp; à venir",IF(($N187&lt;&gt;"")*($N187&gt;TODAY()-9)*($N187&lt;TODAY()+1),"Semaine passée",IF(($P187&lt;&gt;"")*($P187&gt;=TODAY())*($P187&lt;=TODAY()+13),"À venir","Autre"))))</f>
        <v/>
      </c>
      <c r="V187" s="8" cm="1" t="n">
        <f t="array" ref="V187">IF(C187&lt;&gt;"",1,0)</f>
        <v>0</v>
      </c>
      <c r="W187" s="8">
</c>
      <c r="X187" s="8">
</c>
      <c r="Y187" s="8">
</c>
      <c r="Z187" s="8">
</c>
      <c r="AA187" s="8">
</c>
      <c r="AB187" s="8">
</c>
      <c r="AC187" s="8">
</c>
      <c r="AD187" s="8">
</c>
      <c r="AE187" s="8">
</c>
      <c r="AF187" s="8">
</c>
      <c r="AG187" s="8">
</c>
      <c r="AH187" s="8">
</c>
      <c r="AI187" s="8">
</c>
      <c r="AJ187" s="8">
</c>
      <c r="AK187" s="8">
</c>
    </row>
    <row r="188" ht="76.5" customHeight="1">
      <c r="A188" s="9">
</c>
      <c r="B188" s="9">
</c>
      <c r="C188" s="12">
</c>
      <c r="D188" s="12">
</c>
      <c r="E188" s="9">
</c>
      <c r="F188" s="8">
</c>
      <c r="G188" s="13" cm="1" t="str">
        <f t="array" ref="G188">IF(F188="","",SUBSTITUTE(SUBSTITUTE(SUBSTITUTE(SUBSTITUTE(F188,"&lt;li&gt;",CHAR(10)),"&lt;/li&gt;",""),"&lt;br&gt;",CHAR(10)),"&lt;strong&gt;",""))</f>
        <v/>
      </c>
      <c r="H188" s="13" cm="1" t="str">
        <f t="array" ref="H188">IF(G188="","",SUBSTITUTE(SUBSTITUTE(SUBSTITUTE(SUBSTITUTE(SUBSTITUTE(G188,"&lt;p&gt;",""),"&lt;/p&gt;",""),"&lt;ul&gt;",""),"&lt;/ul&gt;",""),"&lt;/strong&gt;",""))</f>
        <v/>
      </c>
      <c r="I188" s="14" cm="1" t="str">
        <f t="array" ref="I188">IF(C188="","",IF(OR(H188="",H188=0,H188=FALSE),"-",H188))</f>
        <v/>
      </c>
      <c r="J188" s="8">
</c>
      <c r="K188" s="8">
</c>
      <c r="L188" s="9" cm="1" t="str">
        <f t="array" ref="L188">IF(C188="","",IF(K188="Mort / Plus rien à faire","KO","OK"))</f>
        <v/>
      </c>
      <c r="M188" s="15">
</c>
      <c r="N188" s="15" cm="1" t="str">
        <f t="array" ref="N188">IF(OR(C188="",M188="",M188=0),"",M188)</f>
        <v/>
      </c>
      <c r="O188" s="15">
</c>
      <c r="P188" s="15" cm="1" t="str">
        <f t="array" ref="P188">IF(C188="","",IF(OR(O188="",O188=0),"-",O188))</f>
        <v/>
      </c>
      <c r="Q188" s="16">
</c>
      <c r="R188" s="16" cm="1" t="str">
        <f t="array" ref="R188">IF(C188="","",ROUND(Q188/1000000,3)&amp;" M€")</f>
        <v/>
      </c>
      <c r="S188" s="12">
</c>
      <c r="T188" s="9" cm="1" t="str">
        <f t="array" ref="T188">IF(C188="","",SUBSTITUTE(S188,"","")&amp;"%")</f>
        <v/>
      </c>
      <c r="U188" s="14" cm="1" t="str">
        <f t="array" ref="U188">IF(($N188="")*($P188=""),"",IF(($N188&lt;&gt;"")*($N188&gt;TODAY()-9)*($N188&lt;TODAY()+1)*($P188&lt;&gt;"")*($P188&gt;=TODAY())*($P188&lt;=TODAY()+13),"Semaine passée &amp; à venir",IF(($N188&lt;&gt;"")*($N188&gt;TODAY()-9)*($N188&lt;TODAY()+1),"Semaine passée",IF(($P188&lt;&gt;"")*($P188&gt;=TODAY())*($P188&lt;=TODAY()+13),"À venir","Autre"))))</f>
        <v/>
      </c>
      <c r="V188" s="8" cm="1" t="n">
        <f t="array" ref="V188">IF(C188&lt;&gt;"",1,0)</f>
        <v>0</v>
      </c>
      <c r="W188" s="8">
</c>
      <c r="X188" s="8">
</c>
      <c r="Y188" s="8">
</c>
      <c r="Z188" s="8">
</c>
      <c r="AA188" s="8">
</c>
      <c r="AB188" s="8">
</c>
      <c r="AC188" s="8">
</c>
      <c r="AD188" s="8">
</c>
      <c r="AE188" s="8">
</c>
      <c r="AF188" s="8">
</c>
      <c r="AG188" s="8">
</c>
      <c r="AH188" s="8">
</c>
      <c r="AI188" s="8">
</c>
      <c r="AJ188" s="8">
</c>
      <c r="AK188" s="8">
</c>
    </row>
    <row r="189" ht="76.5" customHeight="1">
      <c r="A189" s="9">
</c>
      <c r="B189" s="9">
</c>
      <c r="C189" s="12">
</c>
      <c r="D189" s="12">
</c>
      <c r="E189" s="9">
</c>
      <c r="F189" s="8">
</c>
      <c r="G189" s="13" cm="1" t="str">
        <f t="array" ref="G189">IF(F189="","",SUBSTITUTE(SUBSTITUTE(SUBSTITUTE(SUBSTITUTE(F189,"&lt;li&gt;",CHAR(10)),"&lt;/li&gt;",""),"&lt;br&gt;",CHAR(10)),"&lt;strong&gt;",""))</f>
        <v/>
      </c>
      <c r="H189" s="13" cm="1" t="str">
        <f t="array" ref="H189">IF(G189="","",SUBSTITUTE(SUBSTITUTE(SUBSTITUTE(SUBSTITUTE(SUBSTITUTE(G189,"&lt;p&gt;",""),"&lt;/p&gt;",""),"&lt;ul&gt;",""),"&lt;/ul&gt;",""),"&lt;/strong&gt;",""))</f>
        <v/>
      </c>
      <c r="I189" s="14" cm="1" t="str">
        <f t="array" ref="I189">IF(C189="","",IF(OR(H189="",H189=0,H189=FALSE),"-",H189))</f>
        <v/>
      </c>
      <c r="J189" s="8">
</c>
      <c r="K189" s="8">
</c>
      <c r="L189" s="9" cm="1" t="str">
        <f t="array" ref="L189">IF(C189="","",IF(K189="Mort / Plus rien à faire","KO","OK"))</f>
        <v/>
      </c>
      <c r="M189" s="15">
</c>
      <c r="N189" s="15" cm="1" t="str">
        <f t="array" ref="N189">IF(OR(C189="",M189="",M189=0),"",M189)</f>
        <v/>
      </c>
      <c r="O189" s="15">
</c>
      <c r="P189" s="15" cm="1" t="str">
        <f t="array" ref="P189">IF(C189="","",IF(OR(O189="",O189=0),"-",O189))</f>
        <v/>
      </c>
      <c r="Q189" s="16">
</c>
      <c r="R189" s="16" cm="1" t="str">
        <f t="array" ref="R189">IF(C189="","",ROUND(Q189/1000000,3)&amp;" M€")</f>
        <v/>
      </c>
      <c r="S189" s="12">
</c>
      <c r="T189" s="9" cm="1" t="str">
        <f t="array" ref="T189">IF(C189="","",SUBSTITUTE(S189,"","")&amp;"%")</f>
        <v/>
      </c>
      <c r="U189" s="14" cm="1" t="str">
        <f t="array" ref="U189">IF(($N189="")*($P189=""),"",IF(($N189&lt;&gt;"")*($N189&gt;TODAY()-9)*($N189&lt;TODAY()+1)*($P189&lt;&gt;"")*($P189&gt;=TODAY())*($P189&lt;=TODAY()+13),"Semaine passée &amp; à venir",IF(($N189&lt;&gt;"")*($N189&gt;TODAY()-9)*($N189&lt;TODAY()+1),"Semaine passée",IF(($P189&lt;&gt;"")*($P189&gt;=TODAY())*($P189&lt;=TODAY()+13),"À venir","Autre"))))</f>
        <v/>
      </c>
      <c r="V189" s="8" cm="1" t="n">
        <f t="array" ref="V189">IF(C189&lt;&gt;"",1,0)</f>
        <v>0</v>
      </c>
      <c r="W189" s="8">
</c>
      <c r="X189" s="8">
</c>
      <c r="Y189" s="8">
</c>
      <c r="Z189" s="8">
</c>
      <c r="AA189" s="8">
</c>
      <c r="AB189" s="8">
</c>
      <c r="AC189" s="8">
</c>
      <c r="AD189" s="8">
</c>
      <c r="AE189" s="8">
</c>
      <c r="AF189" s="8">
</c>
      <c r="AG189" s="8">
</c>
      <c r="AH189" s="8">
</c>
      <c r="AI189" s="8">
</c>
      <c r="AJ189" s="8">
</c>
      <c r="AK189" s="8">
</c>
    </row>
    <row r="190" ht="76.5" customHeight="1">
      <c r="A190" s="9">
</c>
      <c r="B190" s="9">
</c>
      <c r="C190" s="12">
</c>
      <c r="D190" s="12">
</c>
      <c r="E190" s="9">
</c>
      <c r="F190" s="8">
</c>
      <c r="G190" s="13" cm="1" t="str">
        <f t="array" ref="G190">IF(F190="","",SUBSTITUTE(SUBSTITUTE(SUBSTITUTE(SUBSTITUTE(F190,"&lt;li&gt;",CHAR(10)),"&lt;/li&gt;",""),"&lt;br&gt;",CHAR(10)),"&lt;strong&gt;",""))</f>
        <v/>
      </c>
      <c r="H190" s="13" cm="1" t="str">
        <f t="array" ref="H190">IF(G190="","",SUBSTITUTE(SUBSTITUTE(SUBSTITUTE(SUBSTITUTE(SUBSTITUTE(G190,"&lt;p&gt;",""),"&lt;/p&gt;",""),"&lt;ul&gt;",""),"&lt;/ul&gt;",""),"&lt;/strong&gt;",""))</f>
        <v/>
      </c>
      <c r="I190" s="14" cm="1" t="str">
        <f t="array" ref="I190">IF(C190="","",IF(OR(H190="",H190=0,H190=FALSE),"-",H190))</f>
        <v/>
      </c>
      <c r="J190" s="8">
</c>
      <c r="K190" s="8">
</c>
      <c r="L190" s="9" cm="1" t="str">
        <f t="array" ref="L190">IF(C190="","",IF(K190="Mort / Plus rien à faire","KO","OK"))</f>
        <v/>
      </c>
      <c r="M190" s="15">
</c>
      <c r="N190" s="15" cm="1" t="str">
        <f t="array" ref="N190">IF(OR(C190="",M190="",M190=0),"",M190)</f>
        <v/>
      </c>
      <c r="O190" s="15">
</c>
      <c r="P190" s="15" cm="1" t="str">
        <f t="array" ref="P190">IF(C190="","",IF(OR(O190="",O190=0),"-",O190))</f>
        <v/>
      </c>
      <c r="Q190" s="16">
</c>
      <c r="R190" s="16" cm="1" t="str">
        <f t="array" ref="R190">IF(C190="","",ROUND(Q190/1000000,3)&amp;" M€")</f>
        <v/>
      </c>
      <c r="S190" s="12">
</c>
      <c r="T190" s="9" cm="1" t="str">
        <f t="array" ref="T190">IF(C190="","",SUBSTITUTE(S190,"","")&amp;"%")</f>
        <v/>
      </c>
      <c r="U190" s="14" cm="1" t="str">
        <f t="array" ref="U190">IF(($N190="")*($P190=""),"",IF(($N190&lt;&gt;"")*($N190&gt;TODAY()-9)*($N190&lt;TODAY()+1)*($P190&lt;&gt;"")*($P190&gt;=TODAY())*($P190&lt;=TODAY()+13),"Semaine passée &amp; à venir",IF(($N190&lt;&gt;"")*($N190&gt;TODAY()-9)*($N190&lt;TODAY()+1),"Semaine passée",IF(($P190&lt;&gt;"")*($P190&gt;=TODAY())*($P190&lt;=TODAY()+13),"À venir","Autre"))))</f>
        <v/>
      </c>
      <c r="V190" s="8" cm="1" t="n">
        <f t="array" ref="V190">IF(C190&lt;&gt;"",1,0)</f>
        <v>0</v>
      </c>
      <c r="W190" s="8">
</c>
      <c r="X190" s="8">
</c>
      <c r="Y190" s="8">
</c>
      <c r="Z190" s="8">
</c>
      <c r="AA190" s="8">
</c>
      <c r="AB190" s="8">
</c>
      <c r="AC190" s="8">
</c>
      <c r="AD190" s="8">
</c>
      <c r="AE190" s="8">
</c>
      <c r="AF190" s="8">
</c>
      <c r="AG190" s="8">
</c>
      <c r="AH190" s="8">
</c>
      <c r="AI190" s="8">
</c>
      <c r="AJ190" s="8">
</c>
      <c r="AK190" s="8">
</c>
    </row>
    <row r="191" ht="76.5" customHeight="1">
      <c r="A191" s="9">
</c>
      <c r="B191" s="9">
</c>
      <c r="C191" s="12">
</c>
      <c r="D191" s="12">
</c>
      <c r="E191" s="9">
</c>
      <c r="F191" s="8">
</c>
      <c r="G191" s="13" cm="1" t="str">
        <f t="array" ref="G191">IF(F191="","",SUBSTITUTE(SUBSTITUTE(SUBSTITUTE(SUBSTITUTE(F191,"&lt;li&gt;",CHAR(10)),"&lt;/li&gt;",""),"&lt;br&gt;",CHAR(10)),"&lt;strong&gt;",""))</f>
        <v/>
      </c>
      <c r="H191" s="13" cm="1" t="str">
        <f t="array" ref="H191">IF(G191="","",SUBSTITUTE(SUBSTITUTE(SUBSTITUTE(SUBSTITUTE(SUBSTITUTE(G191,"&lt;p&gt;",""),"&lt;/p&gt;",""),"&lt;ul&gt;",""),"&lt;/ul&gt;",""),"&lt;/strong&gt;",""))</f>
        <v/>
      </c>
      <c r="I191" s="14" cm="1" t="str">
        <f t="array" ref="I191">IF(C191="","",IF(OR(H191="",H191=0,H191=FALSE),"-",H191))</f>
        <v/>
      </c>
      <c r="J191" s="8">
</c>
      <c r="K191" s="8">
</c>
      <c r="L191" s="9" cm="1" t="str">
        <f t="array" ref="L191">IF(C191="","",IF(K191="Mort / Plus rien à faire","KO","OK"))</f>
        <v/>
      </c>
      <c r="M191" s="15">
</c>
      <c r="N191" s="15" cm="1" t="str">
        <f t="array" ref="N191">IF(OR(C191="",M191="",M191=0),"",M191)</f>
        <v/>
      </c>
      <c r="O191" s="15">
</c>
      <c r="P191" s="15" cm="1" t="str">
        <f t="array" ref="P191">IF(C191="","",IF(OR(O191="",O191=0),"-",O191))</f>
        <v/>
      </c>
      <c r="Q191" s="16">
</c>
      <c r="R191" s="16" cm="1" t="str">
        <f t="array" ref="R191">IF(C191="","",ROUND(Q191/1000000,3)&amp;" M€")</f>
        <v/>
      </c>
      <c r="S191" s="12">
</c>
      <c r="T191" s="9" cm="1" t="str">
        <f t="array" ref="T191">IF(C191="","",SUBSTITUTE(S191,"","")&amp;"%")</f>
        <v/>
      </c>
      <c r="U191" s="14" cm="1" t="str">
        <f t="array" ref="U191">IF(($N191="")*($P191=""),"",IF(($N191&lt;&gt;"")*($N191&gt;TODAY()-9)*($N191&lt;TODAY()+1)*($P191&lt;&gt;"")*($P191&gt;=TODAY())*($P191&lt;=TODAY()+13),"Semaine passée &amp; à venir",IF(($N191&lt;&gt;"")*($N191&gt;TODAY()-9)*($N191&lt;TODAY()+1),"Semaine passée",IF(($P191&lt;&gt;"")*($P191&gt;=TODAY())*($P191&lt;=TODAY()+13),"À venir","Autre"))))</f>
        <v/>
      </c>
      <c r="V191" s="8" cm="1" t="n">
        <f t="array" ref="V191">IF(C191&lt;&gt;"",1,0)</f>
        <v>0</v>
      </c>
      <c r="W191" s="8">
</c>
      <c r="X191" s="8">
</c>
      <c r="Y191" s="8">
</c>
      <c r="Z191" s="8">
</c>
      <c r="AA191" s="8">
</c>
      <c r="AB191" s="8">
</c>
      <c r="AC191" s="8">
</c>
      <c r="AD191" s="8">
</c>
      <c r="AE191" s="8">
</c>
      <c r="AF191" s="8">
</c>
      <c r="AG191" s="8">
</c>
      <c r="AH191" s="8">
</c>
      <c r="AI191" s="8">
</c>
      <c r="AJ191" s="8">
</c>
      <c r="AK191" s="8">
</c>
    </row>
    <row r="192" ht="76.5" customHeight="1">
      <c r="A192" s="9">
</c>
      <c r="B192" s="9">
</c>
      <c r="C192" s="12">
</c>
      <c r="D192" s="12">
</c>
      <c r="E192" s="9">
</c>
      <c r="F192" s="8">
</c>
      <c r="G192" s="13" cm="1" t="str">
        <f t="array" ref="G192">IF(F192="","",SUBSTITUTE(SUBSTITUTE(SUBSTITUTE(SUBSTITUTE(F192,"&lt;li&gt;",CHAR(10)),"&lt;/li&gt;",""),"&lt;br&gt;",CHAR(10)),"&lt;strong&gt;",""))</f>
        <v/>
      </c>
      <c r="H192" s="13" cm="1" t="str">
        <f t="array" ref="H192">IF(G192="","",SUBSTITUTE(SUBSTITUTE(SUBSTITUTE(SUBSTITUTE(SUBSTITUTE(G192,"&lt;p&gt;",""),"&lt;/p&gt;",""),"&lt;ul&gt;",""),"&lt;/ul&gt;",""),"&lt;/strong&gt;",""))</f>
        <v/>
      </c>
      <c r="I192" s="14" cm="1" t="str">
        <f t="array" ref="I192">IF(C192="","",IF(OR(H192="",H192=0,H192=FALSE),"-",H192))</f>
        <v/>
      </c>
      <c r="J192" s="8">
</c>
      <c r="K192" s="8">
</c>
      <c r="L192" s="9" cm="1" t="str">
        <f t="array" ref="L192">IF(C192="","",IF(K192="Mort / Plus rien à faire","KO","OK"))</f>
        <v/>
      </c>
      <c r="M192" s="15">
</c>
      <c r="N192" s="15" cm="1" t="str">
        <f t="array" ref="N192">IF(OR(C192="",M192="",M192=0),"",M192)</f>
        <v/>
      </c>
      <c r="O192" s="15">
</c>
      <c r="P192" s="15" cm="1" t="str">
        <f t="array" ref="P192">IF(C192="","",IF(OR(O192="",O192=0),"-",O192))</f>
        <v/>
      </c>
      <c r="Q192" s="16">
</c>
      <c r="R192" s="16" cm="1" t="str">
        <f t="array" ref="R192">IF(C192="","",ROUND(Q192/1000000,3)&amp;" M€")</f>
        <v/>
      </c>
      <c r="S192" s="12">
</c>
      <c r="T192" s="9" cm="1" t="str">
        <f t="array" ref="T192">IF(C192="","",SUBSTITUTE(S192,"","")&amp;"%")</f>
        <v/>
      </c>
      <c r="U192" s="14" cm="1" t="str">
        <f t="array" ref="U192">IF(($N192="")*($P192=""),"",IF(($N192&lt;&gt;"")*($N192&gt;TODAY()-9)*($N192&lt;TODAY()+1)*($P192&lt;&gt;"")*($P192&gt;=TODAY())*($P192&lt;=TODAY()+13),"Semaine passée &amp; à venir",IF(($N192&lt;&gt;"")*($N192&gt;TODAY()-9)*($N192&lt;TODAY()+1),"Semaine passée",IF(($P192&lt;&gt;"")*($P192&gt;=TODAY())*($P192&lt;=TODAY()+13),"À venir","Autre"))))</f>
        <v/>
      </c>
      <c r="V192" s="8" cm="1" t="n">
        <f t="array" ref="V192">IF(C192&lt;&gt;"",1,0)</f>
        <v>0</v>
      </c>
      <c r="W192" s="8">
</c>
      <c r="X192" s="8">
</c>
      <c r="Y192" s="8">
</c>
      <c r="Z192" s="8">
</c>
      <c r="AA192" s="8">
</c>
      <c r="AB192" s="8">
</c>
      <c r="AC192" s="8">
</c>
      <c r="AD192" s="8">
</c>
      <c r="AE192" s="8">
</c>
      <c r="AF192" s="8">
</c>
      <c r="AG192" s="8">
</c>
      <c r="AH192" s="8">
</c>
      <c r="AI192" s="8">
</c>
      <c r="AJ192" s="8">
</c>
      <c r="AK192" s="8">
</c>
    </row>
    <row r="193" ht="76.5" customHeight="1">
      <c r="A193" s="9">
</c>
      <c r="B193" s="9">
</c>
      <c r="C193" s="12">
</c>
      <c r="D193" s="12">
</c>
      <c r="E193" s="9">
</c>
      <c r="F193" s="8">
</c>
      <c r="G193" s="13" cm="1" t="str">
        <f t="array" ref="G193">IF(F193="","",SUBSTITUTE(SUBSTITUTE(SUBSTITUTE(SUBSTITUTE(F193,"&lt;li&gt;",CHAR(10)),"&lt;/li&gt;",""),"&lt;br&gt;",CHAR(10)),"&lt;strong&gt;",""))</f>
        <v/>
      </c>
      <c r="H193" s="13" cm="1" t="str">
        <f t="array" ref="H193">IF(G193="","",SUBSTITUTE(SUBSTITUTE(SUBSTITUTE(SUBSTITUTE(SUBSTITUTE(G193,"&lt;p&gt;",""),"&lt;/p&gt;",""),"&lt;ul&gt;",""),"&lt;/ul&gt;",""),"&lt;/strong&gt;",""))</f>
        <v/>
      </c>
      <c r="I193" s="14" cm="1" t="str">
        <f t="array" ref="I193">IF(C193="","",IF(OR(H193="",H193=0,H193=FALSE),"-",H193))</f>
        <v/>
      </c>
      <c r="J193" s="8">
</c>
      <c r="K193" s="8">
</c>
      <c r="L193" s="9" cm="1" t="str">
        <f t="array" ref="L193">IF(C193="","",IF(K193="Mort / Plus rien à faire","KO","OK"))</f>
        <v/>
      </c>
      <c r="M193" s="15">
</c>
      <c r="N193" s="15" cm="1" t="str">
        <f t="array" ref="N193">IF(OR(C193="",M193="",M193=0),"",M193)</f>
        <v/>
      </c>
      <c r="O193" s="15">
</c>
      <c r="P193" s="15" cm="1" t="str">
        <f t="array" ref="P193">IF(C193="","",IF(OR(O193="",O193=0),"-",O193))</f>
        <v/>
      </c>
      <c r="Q193" s="16">
</c>
      <c r="R193" s="16" cm="1" t="str">
        <f t="array" ref="R193">IF(C193="","",ROUND(Q193/1000000,3)&amp;" M€")</f>
        <v/>
      </c>
      <c r="S193" s="12">
</c>
      <c r="T193" s="9" cm="1" t="str">
        <f t="array" ref="T193">IF(C193="","",SUBSTITUTE(S193,"","")&amp;"%")</f>
        <v/>
      </c>
      <c r="U193" s="14" cm="1" t="str">
        <f t="array" ref="U193">IF(($N193="")*($P193=""),"",IF(($N193&lt;&gt;"")*($N193&gt;TODAY()-9)*($N193&lt;TODAY()+1)*($P193&lt;&gt;"")*($P193&gt;=TODAY())*($P193&lt;=TODAY()+13),"Semaine passée &amp; à venir",IF(($N193&lt;&gt;"")*($N193&gt;TODAY()-9)*($N193&lt;TODAY()+1),"Semaine passée",IF(($P193&lt;&gt;"")*($P193&gt;=TODAY())*($P193&lt;=TODAY()+13),"À venir","Autre"))))</f>
        <v/>
      </c>
      <c r="V193" s="8" cm="1" t="n">
        <f t="array" ref="V193">IF(C193&lt;&gt;"",1,0)</f>
        <v>0</v>
      </c>
      <c r="W193" s="8">
</c>
      <c r="X193" s="8">
</c>
      <c r="Y193" s="8">
</c>
      <c r="Z193" s="8">
</c>
      <c r="AA193" s="8">
</c>
      <c r="AB193" s="8">
</c>
      <c r="AC193" s="8">
</c>
      <c r="AD193" s="8">
</c>
      <c r="AE193" s="8">
</c>
      <c r="AF193" s="8">
</c>
      <c r="AG193" s="8">
</c>
      <c r="AH193" s="8">
</c>
      <c r="AI193" s="8">
</c>
      <c r="AJ193" s="8">
</c>
      <c r="AK193" s="8">
</c>
    </row>
    <row r="194" ht="76.5" customHeight="1">
      <c r="A194" s="9">
</c>
      <c r="B194" s="9">
</c>
      <c r="C194" s="12">
</c>
      <c r="D194" s="12">
</c>
      <c r="E194" s="9">
</c>
      <c r="F194" s="8">
</c>
      <c r="G194" s="13" cm="1" t="str">
        <f t="array" ref="G194">IF(F194="","",SUBSTITUTE(SUBSTITUTE(SUBSTITUTE(SUBSTITUTE(F194,"&lt;li&gt;",CHAR(10)),"&lt;/li&gt;",""),"&lt;br&gt;",CHAR(10)),"&lt;strong&gt;",""))</f>
        <v/>
      </c>
      <c r="H194" s="13" cm="1" t="str">
        <f t="array" ref="H194">IF(G194="","",SUBSTITUTE(SUBSTITUTE(SUBSTITUTE(SUBSTITUTE(SUBSTITUTE(G194,"&lt;p&gt;",""),"&lt;/p&gt;",""),"&lt;ul&gt;",""),"&lt;/ul&gt;",""),"&lt;/strong&gt;",""))</f>
        <v/>
      </c>
      <c r="I194" s="14" cm="1" t="str">
        <f t="array" ref="I194">IF(C194="","",IF(OR(H194="",H194=0,H194=FALSE),"-",H194))</f>
        <v/>
      </c>
      <c r="J194" s="8">
</c>
      <c r="K194" s="8">
</c>
      <c r="L194" s="9" cm="1" t="str">
        <f t="array" ref="L194">IF(C194="","",IF(K194="Mort / Plus rien à faire","KO","OK"))</f>
        <v/>
      </c>
      <c r="M194" s="15">
</c>
      <c r="N194" s="15" cm="1" t="str">
        <f t="array" ref="N194">IF(OR(C194="",M194="",M194=0),"",M194)</f>
        <v/>
      </c>
      <c r="O194" s="15">
</c>
      <c r="P194" s="15" cm="1" t="str">
        <f t="array" ref="P194">IF(C194="","",IF(OR(O194="",O194=0),"-",O194))</f>
        <v/>
      </c>
      <c r="Q194" s="16">
</c>
      <c r="R194" s="16" cm="1" t="str">
        <f t="array" ref="R194">IF(C194="","",ROUND(Q194/1000000,3)&amp;" M€")</f>
        <v/>
      </c>
      <c r="S194" s="12">
</c>
      <c r="T194" s="9" cm="1" t="str">
        <f t="array" ref="T194">IF(C194="","",SUBSTITUTE(S194,"","")&amp;"%")</f>
        <v/>
      </c>
      <c r="U194" s="14" cm="1" t="str">
        <f t="array" ref="U194">IF(($N194="")*($P194=""),"",IF(($N194&lt;&gt;"")*($N194&gt;TODAY()-9)*($N194&lt;TODAY()+1)*($P194&lt;&gt;"")*($P194&gt;=TODAY())*($P194&lt;=TODAY()+13),"Semaine passée &amp; à venir",IF(($N194&lt;&gt;"")*($N194&gt;TODAY()-9)*($N194&lt;TODAY()+1),"Semaine passée",IF(($P194&lt;&gt;"")*($P194&gt;=TODAY())*($P194&lt;=TODAY()+13),"À venir","Autre"))))</f>
        <v/>
      </c>
      <c r="V194" s="8" cm="1" t="n">
        <f t="array" ref="V194">IF(C194&lt;&gt;"",1,0)</f>
        <v>0</v>
      </c>
      <c r="W194" s="8">
</c>
      <c r="X194" s="8">
</c>
      <c r="Y194" s="8">
</c>
      <c r="Z194" s="8">
</c>
      <c r="AA194" s="8">
</c>
      <c r="AB194" s="8">
</c>
      <c r="AC194" s="8">
</c>
      <c r="AD194" s="8">
</c>
      <c r="AE194" s="8">
</c>
      <c r="AF194" s="8">
</c>
      <c r="AG194" s="8">
</c>
      <c r="AH194" s="8">
</c>
      <c r="AI194" s="8">
</c>
      <c r="AJ194" s="8">
</c>
      <c r="AK194" s="8">
</c>
    </row>
    <row r="195" ht="76.5" customHeight="1">
      <c r="A195" s="9">
</c>
      <c r="B195" s="9">
</c>
      <c r="C195" s="12">
</c>
      <c r="D195" s="12">
</c>
      <c r="E195" s="9">
</c>
      <c r="F195" s="8">
</c>
      <c r="G195" s="13" cm="1" t="str">
        <f t="array" ref="G195">IF(F195="","",SUBSTITUTE(SUBSTITUTE(SUBSTITUTE(SUBSTITUTE(F195,"&lt;li&gt;",CHAR(10)),"&lt;/li&gt;",""),"&lt;br&gt;",CHAR(10)),"&lt;strong&gt;",""))</f>
        <v/>
      </c>
      <c r="H195" s="13" cm="1" t="str">
        <f t="array" ref="H195">IF(G195="","",SUBSTITUTE(SUBSTITUTE(SUBSTITUTE(SUBSTITUTE(SUBSTITUTE(G195,"&lt;p&gt;",""),"&lt;/p&gt;",""),"&lt;ul&gt;",""),"&lt;/ul&gt;",""),"&lt;/strong&gt;",""))</f>
        <v/>
      </c>
      <c r="I195" s="14" cm="1" t="str">
        <f t="array" ref="I195">IF(C195="","",IF(OR(H195="",H195=0,H195=FALSE),"-",H195))</f>
        <v/>
      </c>
      <c r="J195" s="8">
</c>
      <c r="K195" s="8">
</c>
      <c r="L195" s="9" cm="1" t="str">
        <f t="array" ref="L195">IF(C195="","",IF(K195="Mort / Plus rien à faire","KO","OK"))</f>
        <v/>
      </c>
      <c r="M195" s="15">
</c>
      <c r="N195" s="15" cm="1" t="str">
        <f t="array" ref="N195">IF(OR(C195="",M195="",M195=0),"",M195)</f>
        <v/>
      </c>
      <c r="O195" s="15">
</c>
      <c r="P195" s="15" cm="1" t="str">
        <f t="array" ref="P195">IF(C195="","",IF(OR(O195="",O195=0),"-",O195))</f>
        <v/>
      </c>
      <c r="Q195" s="16">
</c>
      <c r="R195" s="16" cm="1" t="str">
        <f t="array" ref="R195">IF(C195="","",ROUND(Q195/1000000,3)&amp;" M€")</f>
        <v/>
      </c>
      <c r="S195" s="12">
</c>
      <c r="T195" s="9" cm="1" t="str">
        <f t="array" ref="T195">IF(C195="","",SUBSTITUTE(S195,"","")&amp;"%")</f>
        <v/>
      </c>
      <c r="U195" s="14" cm="1" t="str">
        <f t="array" ref="U195">IF(($N195="")*($P195=""),"",IF(($N195&lt;&gt;"")*($N195&gt;TODAY()-9)*($N195&lt;TODAY()+1)*($P195&lt;&gt;"")*($P195&gt;=TODAY())*($P195&lt;=TODAY()+13),"Semaine passée &amp; à venir",IF(($N195&lt;&gt;"")*($N195&gt;TODAY()-9)*($N195&lt;TODAY()+1),"Semaine passée",IF(($P195&lt;&gt;"")*($P195&gt;=TODAY())*($P195&lt;=TODAY()+13),"À venir","Autre"))))</f>
        <v/>
      </c>
      <c r="V195" s="8" cm="1" t="n">
        <f t="array" ref="V195">IF(C195&lt;&gt;"",1,0)</f>
        <v>0</v>
      </c>
      <c r="W195" s="8">
</c>
      <c r="X195" s="8">
</c>
      <c r="Y195" s="8">
</c>
      <c r="Z195" s="8">
</c>
      <c r="AA195" s="8">
</c>
      <c r="AB195" s="8">
</c>
      <c r="AC195" s="8">
</c>
      <c r="AD195" s="8">
</c>
      <c r="AE195" s="8">
</c>
      <c r="AF195" s="8">
</c>
      <c r="AG195" s="8">
</c>
      <c r="AH195" s="8">
</c>
      <c r="AI195" s="8">
</c>
      <c r="AJ195" s="8">
</c>
      <c r="AK195" s="8">
</c>
    </row>
    <row r="196" ht="76.5" customHeight="1">
      <c r="A196" s="9">
</c>
      <c r="B196" s="9">
</c>
      <c r="C196" s="12">
</c>
      <c r="D196" s="12">
</c>
      <c r="E196" s="9">
</c>
      <c r="F196" s="8">
</c>
      <c r="G196" s="13" cm="1" t="str">
        <f t="array" ref="G196">IF(F196="","",SUBSTITUTE(SUBSTITUTE(SUBSTITUTE(SUBSTITUTE(F196,"&lt;li&gt;",CHAR(10)),"&lt;/li&gt;",""),"&lt;br&gt;",CHAR(10)),"&lt;strong&gt;",""))</f>
        <v/>
      </c>
      <c r="H196" s="13" cm="1" t="str">
        <f t="array" ref="H196">IF(G196="","",SUBSTITUTE(SUBSTITUTE(SUBSTITUTE(SUBSTITUTE(SUBSTITUTE(G196,"&lt;p&gt;",""),"&lt;/p&gt;",""),"&lt;ul&gt;",""),"&lt;/ul&gt;",""),"&lt;/strong&gt;",""))</f>
        <v/>
      </c>
      <c r="I196" s="14" cm="1" t="str">
        <f t="array" ref="I196">IF(C196="","",IF(OR(H196="",H196=0,H196=FALSE),"-",H196))</f>
        <v/>
      </c>
      <c r="J196" s="8">
</c>
      <c r="K196" s="8">
</c>
      <c r="L196" s="9" cm="1" t="str">
        <f t="array" ref="L196">IF(C196="","",IF(K196="Mort / Plus rien à faire","KO","OK"))</f>
        <v/>
      </c>
      <c r="M196" s="15">
</c>
      <c r="N196" s="15" cm="1" t="str">
        <f t="array" ref="N196">IF(OR(C196="",M196="",M196=0),"",M196)</f>
        <v/>
      </c>
      <c r="O196" s="15">
</c>
      <c r="P196" s="15" cm="1" t="str">
        <f t="array" ref="P196">IF(C196="","",IF(OR(O196="",O196=0),"-",O196))</f>
        <v/>
      </c>
      <c r="Q196" s="16">
</c>
      <c r="R196" s="16" cm="1" t="str">
        <f t="array" ref="R196">IF(C196="","",ROUND(Q196/1000000,3)&amp;" M€")</f>
        <v/>
      </c>
      <c r="S196" s="12">
</c>
      <c r="T196" s="9" cm="1" t="str">
        <f t="array" ref="T196">IF(C196="","",SUBSTITUTE(S196,"","")&amp;"%")</f>
        <v/>
      </c>
      <c r="U196" s="14" cm="1" t="str">
        <f t="array" ref="U196">IF(($N196="")*($P196=""),"",IF(($N196&lt;&gt;"")*($N196&gt;TODAY()-9)*($N196&lt;TODAY()+1)*($P196&lt;&gt;"")*($P196&gt;=TODAY())*($P196&lt;=TODAY()+13),"Semaine passée &amp; à venir",IF(($N196&lt;&gt;"")*($N196&gt;TODAY()-9)*($N196&lt;TODAY()+1),"Semaine passée",IF(($P196&lt;&gt;"")*($P196&gt;=TODAY())*($P196&lt;=TODAY()+13),"À venir","Autre"))))</f>
        <v/>
      </c>
      <c r="V196" s="8" cm="1" t="n">
        <f t="array" ref="V196">IF(C196&lt;&gt;"",1,0)</f>
        <v>0</v>
      </c>
      <c r="W196" s="8">
</c>
      <c r="X196" s="8">
</c>
      <c r="Y196" s="8">
</c>
      <c r="Z196" s="8">
</c>
      <c r="AA196" s="8">
</c>
      <c r="AB196" s="8">
</c>
      <c r="AC196" s="8">
</c>
      <c r="AD196" s="8">
</c>
      <c r="AE196" s="8">
</c>
      <c r="AF196" s="8">
</c>
      <c r="AG196" s="8">
</c>
      <c r="AH196" s="8">
</c>
      <c r="AI196" s="8">
</c>
      <c r="AJ196" s="8">
</c>
      <c r="AK196" s="8">
</c>
    </row>
    <row r="197" ht="76.5" customHeight="1">
      <c r="A197" s="9">
</c>
      <c r="B197" s="9">
</c>
      <c r="C197" s="12">
</c>
      <c r="D197" s="12">
</c>
      <c r="E197" s="9">
</c>
      <c r="F197" s="8">
</c>
      <c r="G197" s="13" cm="1" t="str">
        <f t="array" ref="G197">IF(F197="","",SUBSTITUTE(SUBSTITUTE(SUBSTITUTE(SUBSTITUTE(F197,"&lt;li&gt;",CHAR(10)),"&lt;/li&gt;",""),"&lt;br&gt;",CHAR(10)),"&lt;strong&gt;",""))</f>
        <v/>
      </c>
      <c r="H197" s="13" cm="1" t="str">
        <f t="array" ref="H197">IF(G197="","",SUBSTITUTE(SUBSTITUTE(SUBSTITUTE(SUBSTITUTE(SUBSTITUTE(G197,"&lt;p&gt;",""),"&lt;/p&gt;",""),"&lt;ul&gt;",""),"&lt;/ul&gt;",""),"&lt;/strong&gt;",""))</f>
        <v/>
      </c>
      <c r="I197" s="14" cm="1" t="str">
        <f t="array" ref="I197">IF(C197="","",IF(OR(H197="",H197=0,H197=FALSE),"-",H197))</f>
        <v/>
      </c>
      <c r="J197" s="8">
</c>
      <c r="K197" s="8">
</c>
      <c r="L197" s="9" cm="1" t="str">
        <f t="array" ref="L197">IF(C197="","",IF(K197="Mort / Plus rien à faire","KO","OK"))</f>
        <v/>
      </c>
      <c r="M197" s="15">
</c>
      <c r="N197" s="15" cm="1" t="str">
        <f t="array" ref="N197">IF(OR(C197="",M197="",M197=0),"",M197)</f>
        <v/>
      </c>
      <c r="O197" s="15">
</c>
      <c r="P197" s="15" cm="1" t="str">
        <f t="array" ref="P197">IF(C197="","",IF(OR(O197="",O197=0),"-",O197))</f>
        <v/>
      </c>
      <c r="Q197" s="16">
</c>
      <c r="R197" s="16" cm="1" t="str">
        <f t="array" ref="R197">IF(C197="","",ROUND(Q197/1000000,3)&amp;" M€")</f>
        <v/>
      </c>
      <c r="S197" s="12">
</c>
      <c r="T197" s="9" cm="1" t="str">
        <f t="array" ref="T197">IF(C197="","",SUBSTITUTE(S197,"","")&amp;"%")</f>
        <v/>
      </c>
      <c r="U197" s="14" cm="1" t="str">
        <f t="array" ref="U197">IF(($N197="")*($P197=""),"",IF(($N197&lt;&gt;"")*($N197&gt;TODAY()-9)*($N197&lt;TODAY()+1)*($P197&lt;&gt;"")*($P197&gt;=TODAY())*($P197&lt;=TODAY()+13),"Semaine passée &amp; à venir",IF(($N197&lt;&gt;"")*($N197&gt;TODAY()-9)*($N197&lt;TODAY()+1),"Semaine passée",IF(($P197&lt;&gt;"")*($P197&gt;=TODAY())*($P197&lt;=TODAY()+13),"À venir","Autre"))))</f>
        <v/>
      </c>
      <c r="V197" s="8" cm="1" t="n">
        <f t="array" ref="V197">IF(C197&lt;&gt;"",1,0)</f>
        <v>0</v>
      </c>
      <c r="W197" s="8">
</c>
      <c r="X197" s="8">
</c>
      <c r="Y197" s="8">
</c>
      <c r="Z197" s="8">
</c>
      <c r="AA197" s="8">
</c>
      <c r="AB197" s="8">
</c>
      <c r="AC197" s="8">
</c>
      <c r="AD197" s="8">
</c>
      <c r="AE197" s="8">
</c>
      <c r="AF197" s="8">
</c>
      <c r="AG197" s="8">
</c>
      <c r="AH197" s="8">
</c>
      <c r="AI197" s="8">
</c>
      <c r="AJ197" s="8">
</c>
      <c r="AK197" s="8">
</c>
    </row>
    <row r="198" ht="76.5" customHeight="1">
      <c r="A198" s="9">
</c>
      <c r="B198" s="9">
</c>
      <c r="C198" s="12">
</c>
      <c r="D198" s="12">
</c>
      <c r="E198" s="9">
</c>
      <c r="F198" s="8">
</c>
      <c r="G198" s="13" cm="1" t="str">
        <f t="array" ref="G198">IF(F198="","",SUBSTITUTE(SUBSTITUTE(SUBSTITUTE(SUBSTITUTE(F198,"&lt;li&gt;",CHAR(10)),"&lt;/li&gt;",""),"&lt;br&gt;",CHAR(10)),"&lt;strong&gt;",""))</f>
        <v/>
      </c>
      <c r="H198" s="13" cm="1" t="str">
        <f t="array" ref="H198">IF(G198="","",SUBSTITUTE(SUBSTITUTE(SUBSTITUTE(SUBSTITUTE(SUBSTITUTE(G198,"&lt;p&gt;",""),"&lt;/p&gt;",""),"&lt;ul&gt;",""),"&lt;/ul&gt;",""),"&lt;/strong&gt;",""))</f>
        <v/>
      </c>
      <c r="I198" s="14" cm="1" t="str">
        <f t="array" ref="I198">IF(C198="","",IF(OR(H198="",H198=0,H198=FALSE),"-",H198))</f>
        <v/>
      </c>
      <c r="J198" s="8">
</c>
      <c r="K198" s="8">
</c>
      <c r="L198" s="9" cm="1" t="str">
        <f t="array" ref="L198">IF(C198="","",IF(K198="Mort / Plus rien à faire","KO","OK"))</f>
        <v/>
      </c>
      <c r="M198" s="15">
</c>
      <c r="N198" s="15" cm="1" t="str">
        <f t="array" ref="N198">IF(OR(C198="",M198="",M198=0),"",M198)</f>
        <v/>
      </c>
      <c r="O198" s="15">
</c>
      <c r="P198" s="15" cm="1" t="str">
        <f t="array" ref="P198">IF(C198="","",IF(OR(O198="",O198=0),"-",O198))</f>
        <v/>
      </c>
      <c r="Q198" s="16">
</c>
      <c r="R198" s="16" cm="1" t="str">
        <f t="array" ref="R198">IF(C198="","",ROUND(Q198/1000000,3)&amp;" M€")</f>
        <v/>
      </c>
      <c r="S198" s="12">
</c>
      <c r="T198" s="9" cm="1" t="str">
        <f t="array" ref="T198">IF(C198="","",SUBSTITUTE(S198,"","")&amp;"%")</f>
        <v/>
      </c>
      <c r="U198" s="14" cm="1" t="str">
        <f t="array" ref="U198">IF(($N198="")*($P198=""),"",IF(($N198&lt;&gt;"")*($N198&gt;TODAY()-9)*($N198&lt;TODAY()+1)*($P198&lt;&gt;"")*($P198&gt;=TODAY())*($P198&lt;=TODAY()+13),"Semaine passée &amp; à venir",IF(($N198&lt;&gt;"")*($N198&gt;TODAY()-9)*($N198&lt;TODAY()+1),"Semaine passée",IF(($P198&lt;&gt;"")*($P198&gt;=TODAY())*($P198&lt;=TODAY()+13),"À venir","Autre"))))</f>
        <v/>
      </c>
      <c r="V198" s="8" cm="1" t="n">
        <f t="array" ref="V198">IF(C198&lt;&gt;"",1,0)</f>
        <v>0</v>
      </c>
      <c r="W198" s="8">
</c>
      <c r="X198" s="8">
</c>
      <c r="Y198" s="8">
</c>
      <c r="Z198" s="8">
</c>
      <c r="AA198" s="8">
</c>
      <c r="AB198" s="8">
</c>
      <c r="AC198" s="8">
</c>
      <c r="AD198" s="8">
</c>
      <c r="AE198" s="8">
</c>
      <c r="AF198" s="8">
</c>
      <c r="AG198" s="8">
</c>
      <c r="AH198" s="8">
</c>
      <c r="AI198" s="8">
</c>
      <c r="AJ198" s="8">
</c>
      <c r="AK198" s="8">
</c>
    </row>
    <row r="199" ht="76.5" customHeight="1">
      <c r="A199" s="9">
</c>
      <c r="B199" s="9">
</c>
      <c r="C199" s="12">
</c>
      <c r="D199" s="12">
</c>
      <c r="E199" s="9">
</c>
      <c r="F199" s="8">
</c>
      <c r="G199" s="13" cm="1" t="str">
        <f t="array" ref="G199">IF(F199="","",SUBSTITUTE(SUBSTITUTE(SUBSTITUTE(SUBSTITUTE(F199,"&lt;li&gt;",CHAR(10)),"&lt;/li&gt;",""),"&lt;br&gt;",CHAR(10)),"&lt;strong&gt;",""))</f>
        <v/>
      </c>
      <c r="H199" s="13" cm="1" t="str">
        <f t="array" ref="H199">IF(G199="","",SUBSTITUTE(SUBSTITUTE(SUBSTITUTE(SUBSTITUTE(SUBSTITUTE(G199,"&lt;p&gt;",""),"&lt;/p&gt;",""),"&lt;ul&gt;",""),"&lt;/ul&gt;",""),"&lt;/strong&gt;",""))</f>
        <v/>
      </c>
      <c r="I199" s="14" cm="1" t="str">
        <f t="array" ref="I199">IF(C199="","",IF(OR(H199="",H199=0,H199=FALSE),"-",H199))</f>
        <v/>
      </c>
      <c r="J199" s="8">
</c>
      <c r="K199" s="8">
</c>
      <c r="L199" s="9" cm="1" t="str">
        <f t="array" ref="L199">IF(C199="","",IF(K199="Mort / Plus rien à faire","KO","OK"))</f>
        <v/>
      </c>
      <c r="M199" s="15">
</c>
      <c r="N199" s="15" cm="1" t="str">
        <f t="array" ref="N199">IF(OR(C199="",M199="",M199=0),"",M199)</f>
        <v/>
      </c>
      <c r="O199" s="15">
</c>
      <c r="P199" s="15" cm="1" t="str">
        <f t="array" ref="P199">IF(C199="","",IF(OR(O199="",O199=0),"-",O199))</f>
        <v/>
      </c>
      <c r="Q199" s="16">
</c>
      <c r="R199" s="16" cm="1" t="str">
        <f t="array" ref="R199">IF(C199="","",ROUND(Q199/1000000,3)&amp;" M€")</f>
        <v/>
      </c>
      <c r="S199" s="12">
</c>
      <c r="T199" s="9" cm="1" t="str">
        <f t="array" ref="T199">IF(C199="","",SUBSTITUTE(S199,"","")&amp;"%")</f>
        <v/>
      </c>
      <c r="U199" s="14" cm="1" t="str">
        <f t="array" ref="U199">IF(($N199="")*($P199=""),"",IF(($N199&lt;&gt;"")*($N199&gt;TODAY()-9)*($N199&lt;TODAY()+1)*($P199&lt;&gt;"")*($P199&gt;=TODAY())*($P199&lt;=TODAY()+13),"Semaine passée &amp; à venir",IF(($N199&lt;&gt;"")*($N199&gt;TODAY()-9)*($N199&lt;TODAY()+1),"Semaine passée",IF(($P199&lt;&gt;"")*($P199&gt;=TODAY())*($P199&lt;=TODAY()+13),"À venir","Autre"))))</f>
        <v/>
      </c>
      <c r="V199" s="8" cm="1" t="n">
        <f t="array" ref="V199">IF(C199&lt;&gt;"",1,0)</f>
        <v>0</v>
      </c>
      <c r="W199" s="8">
</c>
      <c r="X199" s="8">
</c>
      <c r="Y199" s="8">
</c>
      <c r="Z199" s="8">
</c>
      <c r="AA199" s="8">
</c>
      <c r="AB199" s="8">
</c>
      <c r="AC199" s="8">
</c>
      <c r="AD199" s="8">
</c>
      <c r="AE199" s="8">
</c>
      <c r="AF199" s="8">
</c>
      <c r="AG199" s="8">
</c>
      <c r="AH199" s="8">
</c>
      <c r="AI199" s="8">
</c>
      <c r="AJ199" s="8">
</c>
      <c r="AK199" s="8">
</c>
    </row>
    <row r="200" ht="76.5" customHeight="1">
      <c r="A200" s="9">
</c>
      <c r="B200" s="9">
</c>
      <c r="C200" s="12">
</c>
      <c r="D200" s="12">
</c>
      <c r="E200" s="9">
</c>
      <c r="F200" s="8">
</c>
      <c r="G200" s="13" cm="1" t="str">
        <f t="array" ref="G200">IF(F200="","",SUBSTITUTE(SUBSTITUTE(SUBSTITUTE(SUBSTITUTE(F200,"&lt;li&gt;",CHAR(10)),"&lt;/li&gt;",""),"&lt;br&gt;",CHAR(10)),"&lt;strong&gt;",""))</f>
        <v/>
      </c>
      <c r="H200" s="13" cm="1" t="str">
        <f t="array" ref="H200">IF(G200="","",SUBSTITUTE(SUBSTITUTE(SUBSTITUTE(SUBSTITUTE(SUBSTITUTE(G200,"&lt;p&gt;",""),"&lt;/p&gt;",""),"&lt;ul&gt;",""),"&lt;/ul&gt;",""),"&lt;/strong&gt;",""))</f>
        <v/>
      </c>
      <c r="I200" s="14" cm="1" t="str">
        <f t="array" ref="I200">IF(C200="","",IF(OR(H200="",H200=0,H200=FALSE),"-",H200))</f>
        <v/>
      </c>
      <c r="J200" s="8">
</c>
      <c r="K200" s="8">
</c>
      <c r="L200" s="9" cm="1" t="str">
        <f t="array" ref="L200">IF(C200="","",IF(K200="Mort / Plus rien à faire","KO","OK"))</f>
        <v/>
      </c>
      <c r="M200" s="15">
</c>
      <c r="N200" s="15" cm="1" t="str">
        <f t="array" ref="N200">IF(OR(C200="",M200="",M200=0),"",M200)</f>
        <v/>
      </c>
      <c r="O200" s="15">
</c>
      <c r="P200" s="15" cm="1" t="str">
        <f t="array" ref="P200">IF(C200="","",IF(OR(O200="",O200=0),"-",O200))</f>
        <v/>
      </c>
      <c r="Q200" s="16">
</c>
      <c r="R200" s="16" cm="1" t="str">
        <f t="array" ref="R200">IF(C200="","",ROUND(Q200/1000000,3)&amp;" M€")</f>
        <v/>
      </c>
      <c r="S200" s="12">
</c>
      <c r="T200" s="9" cm="1" t="str">
        <f t="array" ref="T200">IF(C200="","",SUBSTITUTE(S200,"","")&amp;"%")</f>
        <v/>
      </c>
      <c r="U200" s="14" cm="1" t="str">
        <f t="array" ref="U200">IF(($N200="")*($P200=""),"",IF(($N200&lt;&gt;"")*($N200&gt;TODAY()-9)*($N200&lt;TODAY()+1)*($P200&lt;&gt;"")*($P200&gt;=TODAY())*($P200&lt;=TODAY()+13),"Semaine passée &amp; à venir",IF(($N200&lt;&gt;"")*($N200&gt;TODAY()-9)*($N200&lt;TODAY()+1),"Semaine passée",IF(($P200&lt;&gt;"")*($P200&gt;=TODAY())*($P200&lt;=TODAY()+13),"À venir","Autre"))))</f>
        <v/>
      </c>
      <c r="V200" s="8" cm="1" t="n">
        <f t="array" ref="V200">IF(C200&lt;&gt;"",1,0)</f>
        <v>0</v>
      </c>
      <c r="W200" s="8">
</c>
      <c r="X200" s="8">
</c>
      <c r="Y200" s="8">
</c>
      <c r="Z200" s="8">
</c>
      <c r="AA200" s="8">
</c>
      <c r="AB200" s="8">
</c>
      <c r="AC200" s="8">
</c>
      <c r="AD200" s="8">
</c>
      <c r="AE200" s="8">
</c>
      <c r="AF200" s="8">
</c>
      <c r="AG200" s="8">
</c>
      <c r="AH200" s="8">
</c>
      <c r="AI200" s="8">
</c>
      <c r="AJ200" s="8">
</c>
      <c r="AK200" s="8">
</c>
    </row>
    <row r="201" ht="76.5" customHeight="1">
      <c r="A201" s="9">
</c>
      <c r="B201" s="9">
</c>
      <c r="C201" s="12">
</c>
      <c r="D201" s="12">
</c>
      <c r="E201" s="9">
</c>
      <c r="F201" s="8">
</c>
      <c r="G201" s="13" cm="1" t="str">
        <f t="array" ref="G201">IF(F201="","",SUBSTITUTE(SUBSTITUTE(SUBSTITUTE(SUBSTITUTE(F201,"&lt;li&gt;",CHAR(10)),"&lt;/li&gt;",""),"&lt;br&gt;",CHAR(10)),"&lt;strong&gt;",""))</f>
        <v/>
      </c>
      <c r="H201" s="13" cm="1" t="str">
        <f t="array" ref="H201">IF(G201="","",SUBSTITUTE(SUBSTITUTE(SUBSTITUTE(SUBSTITUTE(SUBSTITUTE(G201,"&lt;p&gt;",""),"&lt;/p&gt;",""),"&lt;ul&gt;",""),"&lt;/ul&gt;",""),"&lt;/strong&gt;",""))</f>
        <v/>
      </c>
      <c r="I201" s="14" cm="1" t="str">
        <f t="array" ref="I201">IF(C201="","",IF(OR(H201="",H201=0,H201=FALSE),"-",H201))</f>
        <v/>
      </c>
      <c r="J201" s="8">
</c>
      <c r="K201" s="8">
</c>
      <c r="L201" s="9" cm="1" t="str">
        <f t="array" ref="L201">IF(C201="","",IF(K201="Mort / Plus rien à faire","KO","OK"))</f>
        <v/>
      </c>
      <c r="M201" s="15">
</c>
      <c r="N201" s="15" cm="1" t="str">
        <f t="array" ref="N201">IF(OR(C201="",M201="",M201=0),"",M201)</f>
        <v/>
      </c>
      <c r="O201" s="15">
</c>
      <c r="P201" s="15" cm="1" t="str">
        <f t="array" ref="P201">IF(C201="","",IF(OR(O201="",O201=0),"-",O201))</f>
        <v/>
      </c>
      <c r="Q201" s="16">
</c>
      <c r="R201" s="16" cm="1" t="str">
        <f t="array" ref="R201">IF(C201="","",ROUND(Q201/1000000,3)&amp;" M€")</f>
        <v/>
      </c>
      <c r="S201" s="12">
</c>
      <c r="T201" s="9" cm="1" t="str">
        <f t="array" ref="T201">IF(C201="","",SUBSTITUTE(S201,"","")&amp;"%")</f>
        <v/>
      </c>
      <c r="U201" s="14" cm="1" t="str">
        <f t="array" ref="U201">IF(($N201="")*($P201=""),"",IF(($N201&lt;&gt;"")*($N201&gt;TODAY()-9)*($N201&lt;TODAY()+1)*($P201&lt;&gt;"")*($P201&gt;=TODAY())*($P201&lt;=TODAY()+13),"Semaine passée &amp; à venir",IF(($N201&lt;&gt;"")*($N201&gt;TODAY()-9)*($N201&lt;TODAY()+1),"Semaine passée",IF(($P201&lt;&gt;"")*($P201&gt;=TODAY())*($P201&lt;=TODAY()+13),"À venir","Autre"))))</f>
        <v/>
      </c>
      <c r="V201" s="8" cm="1" t="n">
        <f t="array" ref="V201">IF(C201&lt;&gt;"",1,0)</f>
        <v>0</v>
      </c>
      <c r="W201" s="8">
</c>
      <c r="X201" s="8">
</c>
      <c r="Y201" s="8">
</c>
      <c r="Z201" s="8">
</c>
      <c r="AA201" s="8">
</c>
      <c r="AB201" s="8">
</c>
      <c r="AC201" s="8">
</c>
      <c r="AD201" s="8">
</c>
      <c r="AE201" s="8">
</c>
      <c r="AF201" s="8">
</c>
      <c r="AG201" s="8">
</c>
      <c r="AH201" s="8">
</c>
      <c r="AI201" s="8">
</c>
      <c r="AJ201" s="8">
</c>
      <c r="AK201" s="8">
</c>
    </row>
    <row r="202" ht="76.5" customHeight="1">
      <c r="A202" s="9">
</c>
      <c r="B202" s="9">
</c>
      <c r="C202" s="12">
</c>
      <c r="D202" s="12">
</c>
      <c r="E202" s="9">
</c>
      <c r="F202" s="8">
</c>
      <c r="G202" s="13" cm="1" t="str">
        <f t="array" ref="G202">IF(F202="","",SUBSTITUTE(SUBSTITUTE(SUBSTITUTE(SUBSTITUTE(F202,"&lt;li&gt;",CHAR(10)),"&lt;/li&gt;",""),"&lt;br&gt;",CHAR(10)),"&lt;strong&gt;",""))</f>
        <v/>
      </c>
      <c r="H202" s="13" cm="1" t="str">
        <f t="array" ref="H202">IF(G202="","",SUBSTITUTE(SUBSTITUTE(SUBSTITUTE(SUBSTITUTE(SUBSTITUTE(G202,"&lt;p&gt;",""),"&lt;/p&gt;",""),"&lt;ul&gt;",""),"&lt;/ul&gt;",""),"&lt;/strong&gt;",""))</f>
        <v/>
      </c>
      <c r="I202" s="14" cm="1" t="str">
        <f t="array" ref="I202">IF(C202="","",IF(OR(H202="",H202=0,H202=FALSE),"-",H202))</f>
        <v/>
      </c>
      <c r="J202" s="8">
</c>
      <c r="K202" s="8">
</c>
      <c r="L202" s="9" cm="1" t="str">
        <f t="array" ref="L202">IF(C202="","",IF(K202="Mort / Plus rien à faire","KO","OK"))</f>
        <v/>
      </c>
      <c r="M202" s="15">
</c>
      <c r="N202" s="15" cm="1" t="str">
        <f t="array" ref="N202">IF(OR(C202="",M202="",M202=0),"",M202)</f>
        <v/>
      </c>
      <c r="O202" s="15">
</c>
      <c r="P202" s="15" cm="1" t="str">
        <f t="array" ref="P202">IF(C202="","",IF(OR(O202="",O202=0),"-",O202))</f>
        <v/>
      </c>
      <c r="Q202" s="16">
</c>
      <c r="R202" s="16" cm="1" t="str">
        <f t="array" ref="R202">IF(C202="","",ROUND(Q202/1000000,3)&amp;" M€")</f>
        <v/>
      </c>
      <c r="S202" s="12">
</c>
      <c r="T202" s="9" cm="1" t="str">
        <f t="array" ref="T202">IF(C202="","",SUBSTITUTE(S202,"","")&amp;"%")</f>
        <v/>
      </c>
      <c r="U202" s="14" cm="1" t="str">
        <f t="array" ref="U202">IF(($N202="")*($P202=""),"",IF(($N202&lt;&gt;"")*($N202&gt;TODAY()-9)*($N202&lt;TODAY()+1)*($P202&lt;&gt;"")*($P202&gt;=TODAY())*($P202&lt;=TODAY()+13),"Semaine passée &amp; à venir",IF(($N202&lt;&gt;"")*($N202&gt;TODAY()-9)*($N202&lt;TODAY()+1),"Semaine passée",IF(($P202&lt;&gt;"")*($P202&gt;=TODAY())*($P202&lt;=TODAY()+13),"À venir","Autre"))))</f>
        <v/>
      </c>
      <c r="V202" s="8" cm="1" t="n">
        <f t="array" ref="V202">IF(C202&lt;&gt;"",1,0)</f>
        <v>0</v>
      </c>
      <c r="W202" s="8">
</c>
      <c r="X202" s="8">
</c>
      <c r="Y202" s="8">
</c>
      <c r="Z202" s="8">
</c>
      <c r="AA202" s="8">
</c>
      <c r="AB202" s="8">
</c>
      <c r="AC202" s="8">
</c>
      <c r="AD202" s="8">
</c>
      <c r="AE202" s="8">
</c>
      <c r="AF202" s="8">
</c>
      <c r="AG202" s="8">
</c>
      <c r="AH202" s="8">
</c>
      <c r="AI202" s="8">
</c>
      <c r="AJ202" s="8">
</c>
      <c r="AK202" s="8">
</c>
    </row>
    <row r="203" ht="76.5" customHeight="1">
      <c r="A203">
</c>
      <c r="B203">
</c>
      <c r="C203" s="17">
</c>
      <c r="D203" s="17">
</c>
      <c r="E203">
</c>
      <c r="F203">
</c>
      <c r="G203" s="13" cm="1" t="str">
        <f t="array" ref="G203">IF(F203="","",SUBSTITUTE(SUBSTITUTE(SUBSTITUTE(SUBSTITUTE(F203,"&lt;li&gt;",CHAR(10)),"&lt;/li&gt;",""),"&lt;br&gt;",CHAR(10)),"&lt;strong&gt;",""))</f>
        <v/>
      </c>
      <c r="H203" s="13" cm="1" t="str">
        <f t="array" ref="H203">IF(G203="","",SUBSTITUTE(SUBSTITUTE(SUBSTITUTE(SUBSTITUTE(SUBSTITUTE(G203,"&lt;p&gt;",""),"&lt;/p&gt;",""),"&lt;ul&gt;",""),"&lt;/ul&gt;",""),"&lt;/strong&gt;",""))</f>
        <v/>
      </c>
      <c r="I203" s="14" cm="1" t="str">
        <f t="array" ref="I203">IF(C203="","",IF(OR(H203="",H203=0,H203=FALSE),"-",H203))</f>
        <v/>
      </c>
      <c r="J203">
</c>
      <c r="K203">
</c>
      <c r="L203" s="9" cm="1" t="str">
        <f t="array" ref="L203">IF(C203="","",IF(K203="Mort / Plus rien à faire","KO","OK"))</f>
        <v/>
      </c>
      <c r="M203" s="18">
</c>
      <c r="N203" s="15" cm="1" t="str">
        <f t="array" ref="N203">IF(OR(C203="",M203="",M203=0),"",M203)</f>
        <v/>
      </c>
      <c r="O203" s="18">
</c>
      <c r="P203" s="15" cm="1" t="str">
        <f t="array" ref="P203">IF(C203="","",IF(OR(O203="",O203=0),"-",O203))</f>
        <v/>
      </c>
      <c r="Q203" s="19">
</c>
      <c r="R203" s="16" cm="1" t="str">
        <f t="array" ref="R203">IF(C203="","",ROUND(Q203/1000000,3)&amp;" M€")</f>
        <v/>
      </c>
      <c r="S203" s="17">
</c>
      <c r="T203" s="9" cm="1" t="str">
        <f t="array" ref="T203">IF(C203="","",SUBSTITUTE(S203,"","")&amp;"%")</f>
        <v/>
      </c>
      <c r="U203" s="14" cm="1" t="str">
        <f t="array" ref="U203">IF(($N203="")*($P203=""),"",IF(($N203&lt;&gt;"")*($N203&gt;TODAY()-9)*($N203&lt;TODAY()+1)*($P203&lt;&gt;"")*($P203&gt;=TODAY())*($P203&lt;=TODAY()+13),"Semaine passée &amp; à venir",IF(($N203&lt;&gt;"")*($N203&gt;TODAY()-9)*($N203&lt;TODAY()+1),"Semaine passée",IF(($P203&lt;&gt;"")*($P203&gt;=TODAY())*($P203&lt;=TODAY()+13),"À venir","Autre"))))</f>
        <v/>
      </c>
      <c r="V203" s="8">
</c>
      <c r="W203" s="8">
</c>
      <c r="X203" s="8">
</c>
      <c r="Y203" s="8">
</c>
      <c r="Z203" s="8">
</c>
      <c r="AA203" s="8">
</c>
      <c r="AB203" s="8">
</c>
      <c r="AC203" s="8">
</c>
      <c r="AD203" s="8">
</c>
      <c r="AE203" s="8">
</c>
      <c r="AF203" s="8">
</c>
      <c r="AG203" s="8">
</c>
      <c r="AH203" s="8">
</c>
      <c r="AI203" s="8">
</c>
      <c r="AJ203" s="8">
</c>
      <c r="AK203" s="8">
</c>
    </row>
    <row r="204" ht="76.5" customHeight="1">
      <c r="A204">
</c>
      <c r="B204">
</c>
      <c r="C204" s="17">
</c>
      <c r="D204" s="17">
</c>
      <c r="E204">
</c>
      <c r="F204">
</c>
      <c r="G204" s="13" cm="1" t="str">
        <f t="array" ref="G204">IF(F204="","",SUBSTITUTE(SUBSTITUTE(SUBSTITUTE(SUBSTITUTE(F204,"&lt;li&gt;",CHAR(10)),"&lt;/li&gt;",""),"&lt;br&gt;",CHAR(10)),"&lt;strong&gt;",""))</f>
        <v/>
      </c>
      <c r="H204" s="13" cm="1" t="str">
        <f t="array" ref="H204">IF(G204="","",SUBSTITUTE(SUBSTITUTE(SUBSTITUTE(SUBSTITUTE(SUBSTITUTE(G204,"&lt;p&gt;",""),"&lt;/p&gt;",""),"&lt;ul&gt;",""),"&lt;/ul&gt;",""),"&lt;/strong&gt;",""))</f>
        <v/>
      </c>
      <c r="I204" s="14" cm="1" t="str">
        <f t="array" ref="I204">IF(C204="","",IF(OR(H204="",H204=0,H204=FALSE),"-",H204))</f>
        <v/>
      </c>
      <c r="J204">
</c>
      <c r="K204">
</c>
      <c r="L204" s="9" cm="1" t="str">
        <f t="array" ref="L204">IF(C204="","",IF(K204="Mort / Plus rien à faire","KO","OK"))</f>
        <v/>
      </c>
      <c r="M204" s="18">
</c>
      <c r="N204" s="15" cm="1" t="str">
        <f t="array" ref="N204">IF(OR(C204="",M204="",M204=0),"",M204)</f>
        <v/>
      </c>
      <c r="O204" s="18">
</c>
      <c r="P204" s="15" cm="1" t="str">
        <f t="array" ref="P204">IF(C204="","",IF(OR(O204="",O204=0),"-",O204))</f>
        <v/>
      </c>
      <c r="Q204" s="19">
</c>
      <c r="R204" s="16" cm="1" t="str">
        <f t="array" ref="R204">IF(C204="","",ROUND(Q204/1000000,3)&amp;" M€")</f>
        <v/>
      </c>
      <c r="S204" s="17">
</c>
      <c r="T204" s="9" cm="1" t="str">
        <f t="array" ref="T204">IF(C204="","",SUBSTITUTE(S204,"","")&amp;"%")</f>
        <v/>
      </c>
      <c r="U204" s="14" cm="1" t="str">
        <f t="array" ref="U204">IF(($N204="")*($P204=""),"",IF(($N204&lt;&gt;"")*($N204&gt;TODAY()-9)*($N204&lt;TODAY()+1)*($P204&lt;&gt;"")*($P204&gt;=TODAY())*($P204&lt;=TODAY()+13),"Semaine passée &amp; à venir",IF(($N204&lt;&gt;"")*($N204&gt;TODAY()-9)*($N204&lt;TODAY()+1),"Semaine passée",IF(($P204&lt;&gt;"")*($P204&gt;=TODAY())*($P204&lt;=TODAY()+13),"À venir","Autre"))))</f>
        <v/>
      </c>
      <c r="V204" s="8">
</c>
      <c r="W204" s="8">
</c>
      <c r="X204" s="8">
</c>
      <c r="Y204" s="8">
</c>
      <c r="Z204" s="8">
</c>
      <c r="AA204" s="8">
</c>
      <c r="AB204" s="8">
</c>
      <c r="AC204" s="8">
</c>
      <c r="AD204" s="8">
</c>
      <c r="AE204" s="8">
</c>
      <c r="AF204" s="8">
</c>
      <c r="AG204" s="8">
</c>
      <c r="AH204" s="8">
</c>
      <c r="AI204" s="8">
</c>
      <c r="AJ204" s="8">
</c>
      <c r="AK204" s="8">
</c>
    </row>
    <row r="205" ht="76.5" customHeight="1">
      <c r="A205">
</c>
      <c r="B205">
</c>
      <c r="C205" s="17">
</c>
      <c r="D205" s="17">
</c>
      <c r="E205">
</c>
      <c r="F205">
</c>
      <c r="G205" s="13" cm="1" t="str">
        <f t="array" ref="G205">IF(F205="","",SUBSTITUTE(SUBSTITUTE(SUBSTITUTE(SUBSTITUTE(F205,"&lt;li&gt;",CHAR(10)),"&lt;/li&gt;",""),"&lt;br&gt;",CHAR(10)),"&lt;strong&gt;",""))</f>
        <v/>
      </c>
      <c r="H205" s="13" cm="1" t="str">
        <f t="array" ref="H205">IF(G205="","",SUBSTITUTE(SUBSTITUTE(SUBSTITUTE(SUBSTITUTE(SUBSTITUTE(G205,"&lt;p&gt;",""),"&lt;/p&gt;",""),"&lt;ul&gt;",""),"&lt;/ul&gt;",""),"&lt;/strong&gt;",""))</f>
        <v/>
      </c>
      <c r="I205" s="14" cm="1" t="str">
        <f t="array" ref="I205">IF(C205="","",IF(OR(H205="",H205=0,H205=FALSE),"-",H205))</f>
        <v/>
      </c>
      <c r="J205">
</c>
      <c r="K205">
</c>
      <c r="L205" s="9" cm="1" t="str">
        <f t="array" ref="L205">IF(C205="","",IF(K205="Mort / Plus rien à faire","KO","OK"))</f>
        <v/>
      </c>
      <c r="M205" s="18">
</c>
      <c r="N205" s="15" cm="1" t="str">
        <f t="array" ref="N205">IF(OR(C205="",M205="",M205=0),"",M205)</f>
        <v/>
      </c>
      <c r="O205" s="18">
</c>
      <c r="P205" s="15" cm="1" t="str">
        <f t="array" ref="P205">IF(C205="","",IF(OR(O205="",O205=0),"-",O205))</f>
        <v/>
      </c>
      <c r="Q205" s="19">
</c>
      <c r="R205" s="16" cm="1" t="str">
        <f t="array" ref="R205">IF(C205="","",ROUND(Q205/1000000,3)&amp;" M€")</f>
        <v/>
      </c>
      <c r="S205" s="17">
</c>
      <c r="T205" s="9" cm="1" t="str">
        <f t="array" ref="T205">IF(C205="","",SUBSTITUTE(S205,"","")&amp;"%")</f>
        <v/>
      </c>
      <c r="U205" s="14" cm="1" t="str">
        <f t="array" ref="U205">IF(($N205="")*($P205=""),"",IF(($N205&lt;&gt;"")*($N205&gt;TODAY()-9)*($N205&lt;TODAY()+1)*($P205&lt;&gt;"")*($P205&gt;=TODAY())*($P205&lt;=TODAY()+13),"Semaine passée &amp; à venir",IF(($N205&lt;&gt;"")*($N205&gt;TODAY()-9)*($N205&lt;TODAY()+1),"Semaine passée",IF(($P205&lt;&gt;"")*($P205&gt;=TODAY())*($P205&lt;=TODAY()+13),"À venir","Autre"))))</f>
        <v/>
      </c>
      <c r="V205" s="8">
</c>
      <c r="W205" s="8">
</c>
      <c r="X205" s="8">
</c>
      <c r="Y205" s="8">
</c>
      <c r="Z205" s="8">
</c>
      <c r="AA205" s="8">
</c>
      <c r="AB205" s="8">
</c>
      <c r="AC205" s="8">
</c>
      <c r="AD205" s="8">
</c>
      <c r="AE205" s="8">
</c>
      <c r="AF205" s="8">
</c>
      <c r="AG205" s="8">
</c>
      <c r="AH205" s="8">
</c>
      <c r="AI205" s="8">
</c>
      <c r="AJ205" s="8">
</c>
      <c r="AK205" s="8">
</c>
    </row>
    <row r="206" ht="76.5" customHeight="1">
      <c r="A206">
</c>
      <c r="B206">
</c>
      <c r="C206" s="17">
</c>
      <c r="D206" s="17">
</c>
      <c r="E206">
</c>
      <c r="F206">
</c>
      <c r="G206" s="13" cm="1" t="str">
        <f t="array" ref="G206">IF(F206="","",SUBSTITUTE(SUBSTITUTE(SUBSTITUTE(SUBSTITUTE(F206,"&lt;li&gt;",CHAR(10)),"&lt;/li&gt;",""),"&lt;br&gt;",CHAR(10)),"&lt;strong&gt;",""))</f>
        <v/>
      </c>
      <c r="H206" s="13" cm="1" t="str">
        <f t="array" ref="H206">IF(G206="","",SUBSTITUTE(SUBSTITUTE(SUBSTITUTE(SUBSTITUTE(SUBSTITUTE(G206,"&lt;p&gt;",""),"&lt;/p&gt;",""),"&lt;ul&gt;",""),"&lt;/ul&gt;",""),"&lt;/strong&gt;",""))</f>
        <v/>
      </c>
      <c r="I206" s="14" cm="1" t="str">
        <f t="array" ref="I206">IF(C206="","",IF(OR(H206="",H206=0,H206=FALSE),"-",H206))</f>
        <v/>
      </c>
      <c r="J206">
</c>
      <c r="K206">
</c>
      <c r="L206" s="9" cm="1" t="str">
        <f t="array" ref="L206">IF(C206="","",IF(K206="Mort / Plus rien à faire","KO","OK"))</f>
        <v/>
      </c>
      <c r="M206" s="18">
</c>
      <c r="N206" s="15" cm="1" t="str">
        <f t="array" ref="N206">IF(OR(C206="",M206="",M206=0),"",M206)</f>
        <v/>
      </c>
      <c r="O206" s="18">
</c>
      <c r="P206" s="15" cm="1" t="str">
        <f t="array" ref="P206">IF(C206="","",IF(OR(O206="",O206=0),"-",O206))</f>
        <v/>
      </c>
      <c r="Q206" s="19">
</c>
      <c r="R206" s="16" cm="1" t="str">
        <f t="array" ref="R206">IF(C206="","",ROUND(Q206/1000000,3)&amp;" M€")</f>
        <v/>
      </c>
      <c r="S206" s="17">
</c>
      <c r="T206" s="9" cm="1" t="str">
        <f t="array" ref="T206">IF(C206="","",SUBSTITUTE(S206,"","")&amp;"%")</f>
        <v/>
      </c>
      <c r="U206" s="14" cm="1" t="str">
        <f t="array" ref="U206">IF(($N206="")*($P206=""),"",IF(($N206&lt;&gt;"")*($N206&gt;TODAY()-9)*($N206&lt;TODAY()+1)*($P206&lt;&gt;"")*($P206&gt;=TODAY())*($P206&lt;=TODAY()+13),"Semaine passée &amp; à venir",IF(($N206&lt;&gt;"")*($N206&gt;TODAY()-9)*($N206&lt;TODAY()+1),"Semaine passée",IF(($P206&lt;&gt;"")*($P206&gt;=TODAY())*($P206&lt;=TODAY()+13),"À venir","Autre"))))</f>
        <v/>
      </c>
      <c r="V206" s="8">
</c>
      <c r="W206" s="8">
</c>
      <c r="X206" s="8">
</c>
      <c r="Y206" s="8">
</c>
      <c r="Z206" s="8">
</c>
      <c r="AA206" s="8">
</c>
      <c r="AB206" s="8">
</c>
      <c r="AC206" s="8">
</c>
      <c r="AD206" s="8">
</c>
      <c r="AE206" s="8">
</c>
      <c r="AF206" s="8">
</c>
      <c r="AG206" s="8">
</c>
      <c r="AH206" s="8">
</c>
      <c r="AI206" s="8">
</c>
      <c r="AJ206" s="8">
</c>
      <c r="AK206" s="8">
</c>
    </row>
    <row r="207" ht="76.5" customHeight="1">
      <c r="A207">
</c>
      <c r="B207">
</c>
      <c r="C207" s="17">
</c>
      <c r="D207" s="17">
</c>
      <c r="E207">
</c>
      <c r="F207">
</c>
      <c r="G207" s="13" cm="1" t="str">
        <f t="array" ref="G207">IF(F207="","",SUBSTITUTE(SUBSTITUTE(SUBSTITUTE(SUBSTITUTE(F207,"&lt;li&gt;",CHAR(10)),"&lt;/li&gt;",""),"&lt;br&gt;",CHAR(10)),"&lt;strong&gt;",""))</f>
        <v/>
      </c>
      <c r="H207" s="13" cm="1" t="str">
        <f t="array" ref="H207">IF(G207="","",SUBSTITUTE(SUBSTITUTE(SUBSTITUTE(SUBSTITUTE(SUBSTITUTE(G207,"&lt;p&gt;",""),"&lt;/p&gt;",""),"&lt;ul&gt;",""),"&lt;/ul&gt;",""),"&lt;/strong&gt;",""))</f>
        <v/>
      </c>
      <c r="I207" s="14" cm="1" t="str">
        <f t="array" ref="I207">IF(C207="","",IF(OR(H207="",H207=0,H207=FALSE),"-",H207))</f>
        <v/>
      </c>
      <c r="J207">
</c>
      <c r="K207">
</c>
      <c r="L207" s="9" cm="1" t="str">
        <f t="array" ref="L207">IF(C207="","",IF(K207="Mort / Plus rien à faire","KO","OK"))</f>
        <v/>
      </c>
      <c r="M207" s="18">
</c>
      <c r="N207" s="15" cm="1" t="str">
        <f t="array" ref="N207">IF(OR(C207="",M207="",M207=0),"",M207)</f>
        <v/>
      </c>
      <c r="O207" s="18">
</c>
      <c r="P207" s="15" cm="1" t="str">
        <f t="array" ref="P207">IF(C207="","",IF(OR(O207="",O207=0),"-",O207))</f>
        <v/>
      </c>
      <c r="Q207" s="19">
</c>
      <c r="R207" s="16" cm="1" t="str">
        <f t="array" ref="R207">IF(C207="","",ROUND(Q207/1000000,3)&amp;" M€")</f>
        <v/>
      </c>
      <c r="S207" s="17">
</c>
      <c r="T207" s="9" cm="1" t="str">
        <f t="array" ref="T207">IF(C207="","",SUBSTITUTE(S207,"","")&amp;"%")</f>
        <v/>
      </c>
      <c r="U207" s="14" cm="1" t="str">
        <f t="array" ref="U207">IF(($N207="")*($P207=""),"",IF(($N207&lt;&gt;"")*($N207&gt;TODAY()-9)*($N207&lt;TODAY()+1)*($P207&lt;&gt;"")*($P207&gt;=TODAY())*($P207&lt;=TODAY()+13),"Semaine passée &amp; à venir",IF(($N207&lt;&gt;"")*($N207&gt;TODAY()-9)*($N207&lt;TODAY()+1),"Semaine passée",IF(($P207&lt;&gt;"")*($P207&gt;=TODAY())*($P207&lt;=TODAY()+13),"À venir","Autre"))))</f>
        <v/>
      </c>
      <c r="V207" s="8">
</c>
      <c r="W207" s="8">
</c>
      <c r="X207" s="8">
</c>
      <c r="Y207" s="8">
</c>
      <c r="Z207" s="8">
</c>
      <c r="AA207" s="8">
</c>
      <c r="AB207" s="8">
</c>
      <c r="AC207" s="8">
</c>
      <c r="AD207" s="8">
</c>
      <c r="AE207" s="8">
</c>
      <c r="AF207" s="8">
</c>
      <c r="AG207" s="8">
</c>
      <c r="AH207" s="8">
</c>
      <c r="AI207" s="8">
</c>
      <c r="AJ207" s="8">
</c>
      <c r="AK207" s="8">
</c>
    </row>
    <row r="208" ht="76.5" customHeight="1">
      <c r="A208">
</c>
      <c r="B208">
</c>
      <c r="C208" s="17">
</c>
      <c r="D208" s="17">
</c>
      <c r="E208">
</c>
      <c r="F208">
</c>
      <c r="G208" s="13" cm="1" t="str">
        <f t="array" ref="G208">IF(F208="","",SUBSTITUTE(SUBSTITUTE(SUBSTITUTE(SUBSTITUTE(F208,"&lt;li&gt;",CHAR(10)),"&lt;/li&gt;",""),"&lt;br&gt;",CHAR(10)),"&lt;strong&gt;",""))</f>
        <v/>
      </c>
      <c r="H208" s="13" cm="1" t="str">
        <f t="array" ref="H208">IF(G208="","",SUBSTITUTE(SUBSTITUTE(SUBSTITUTE(SUBSTITUTE(SUBSTITUTE(G208,"&lt;p&gt;",""),"&lt;/p&gt;",""),"&lt;ul&gt;",""),"&lt;/ul&gt;",""),"&lt;/strong&gt;",""))</f>
        <v/>
      </c>
      <c r="I208" s="14" cm="1" t="str">
        <f t="array" ref="I208">IF(C208="","",IF(OR(H208="",H208=0,H208=FALSE),"-",H208))</f>
        <v/>
      </c>
      <c r="J208">
</c>
      <c r="K208">
</c>
      <c r="L208" s="9" cm="1" t="str">
        <f t="array" ref="L208">IF(C208="","",IF(K208="Mort / Plus rien à faire","KO","OK"))</f>
        <v/>
      </c>
      <c r="M208" s="18">
</c>
      <c r="N208" s="15" cm="1" t="str">
        <f t="array" ref="N208">IF(OR(C208="",M208="",M208=0),"",M208)</f>
        <v/>
      </c>
      <c r="O208" s="18">
</c>
      <c r="P208" s="15" cm="1" t="str">
        <f t="array" ref="P208">IF(C208="","",IF(OR(O208="",O208=0),"-",O208))</f>
        <v/>
      </c>
      <c r="Q208" s="19">
</c>
      <c r="R208" s="16" cm="1" t="str">
        <f t="array" ref="R208">IF(C208="","",ROUND(Q208/1000000,3)&amp;" M€")</f>
        <v/>
      </c>
      <c r="S208" s="17">
</c>
      <c r="T208" s="9" cm="1" t="str">
        <f t="array" ref="T208">IF(C208="","",SUBSTITUTE(S208,"","")&amp;"%")</f>
        <v/>
      </c>
      <c r="U208" s="14" cm="1" t="str">
        <f t="array" ref="U208">IF(($N208="")*($P208=""),"",IF(($N208&lt;&gt;"")*($N208&gt;TODAY()-9)*($N208&lt;TODAY()+1)*($P208&lt;&gt;"")*($P208&gt;=TODAY())*($P208&lt;=TODAY()+13),"Semaine passée &amp; à venir",IF(($N208&lt;&gt;"")*($N208&gt;TODAY()-9)*($N208&lt;TODAY()+1),"Semaine passée",IF(($P208&lt;&gt;"")*($P208&gt;=TODAY())*($P208&lt;=TODAY()+13),"À venir","Autre"))))</f>
        <v/>
      </c>
      <c r="V208" s="8">
</c>
      <c r="W208" s="8">
</c>
      <c r="X208" s="8">
</c>
      <c r="Y208" s="8">
</c>
      <c r="Z208" s="8">
</c>
      <c r="AA208" s="8">
</c>
      <c r="AB208" s="8">
</c>
      <c r="AC208" s="8">
</c>
      <c r="AD208" s="8">
</c>
      <c r="AE208" s="8">
</c>
      <c r="AF208" s="8">
</c>
      <c r="AG208" s="8">
</c>
      <c r="AH208" s="8">
</c>
      <c r="AI208" s="8">
</c>
      <c r="AJ208" s="8">
</c>
      <c r="AK208" s="8">
</c>
    </row>
    <row r="209" ht="76.5" customHeight="1">
      <c r="A209">
</c>
      <c r="B209">
</c>
      <c r="C209" s="17">
</c>
      <c r="D209" s="17">
</c>
      <c r="E209">
</c>
      <c r="F209">
</c>
      <c r="G209" s="13" cm="1" t="str">
        <f t="array" ref="G209">IF(F209="","",SUBSTITUTE(SUBSTITUTE(SUBSTITUTE(SUBSTITUTE(F209,"&lt;li&gt;",CHAR(10)),"&lt;/li&gt;",""),"&lt;br&gt;",CHAR(10)),"&lt;strong&gt;",""))</f>
        <v/>
      </c>
      <c r="H209" s="13" cm="1" t="str">
        <f t="array" ref="H209">IF(G209="","",SUBSTITUTE(SUBSTITUTE(SUBSTITUTE(SUBSTITUTE(SUBSTITUTE(G209,"&lt;p&gt;",""),"&lt;/p&gt;",""),"&lt;ul&gt;",""),"&lt;/ul&gt;",""),"&lt;/strong&gt;",""))</f>
        <v/>
      </c>
      <c r="I209" s="14" cm="1" t="str">
        <f t="array" ref="I209">IF(C209="","",IF(OR(H209="",H209=0,H209=FALSE),"-",H209))</f>
        <v/>
      </c>
      <c r="J209">
</c>
      <c r="K209">
</c>
      <c r="L209" s="9" cm="1" t="str">
        <f t="array" ref="L209">IF(C209="","",IF(K209="Mort / Plus rien à faire","KO","OK"))</f>
        <v/>
      </c>
      <c r="M209" s="18">
</c>
      <c r="N209" s="15" cm="1" t="str">
        <f t="array" ref="N209">IF(OR(C209="",M209="",M209=0),"",M209)</f>
        <v/>
      </c>
      <c r="O209" s="18">
</c>
      <c r="P209" s="15" cm="1" t="str">
        <f t="array" ref="P209">IF(C209="","",IF(OR(O209="",O209=0),"-",O209))</f>
        <v/>
      </c>
      <c r="Q209" s="19">
</c>
      <c r="R209" s="16" cm="1" t="str">
        <f t="array" ref="R209">IF(C209="","",ROUND(Q209/1000000,3)&amp;" M€")</f>
        <v/>
      </c>
      <c r="S209" s="17">
</c>
      <c r="T209" s="9" cm="1" t="str">
        <f t="array" ref="T209">IF(C209="","",SUBSTITUTE(S209,"","")&amp;"%")</f>
        <v/>
      </c>
      <c r="U209" s="14" cm="1" t="str">
        <f t="array" ref="U209">IF(($N209="")*($P209=""),"",IF(($N209&lt;&gt;"")*($N209&gt;TODAY()-9)*($N209&lt;TODAY()+1)*($P209&lt;&gt;"")*($P209&gt;=TODAY())*($P209&lt;=TODAY()+13),"Semaine passée &amp; à venir",IF(($N209&lt;&gt;"")*($N209&gt;TODAY()-9)*($N209&lt;TODAY()+1),"Semaine passée",IF(($P209&lt;&gt;"")*($P209&gt;=TODAY())*($P209&lt;=TODAY()+13),"À venir","Autre"))))</f>
        <v/>
      </c>
      <c r="V209" s="8">
</c>
      <c r="W209" s="8">
</c>
      <c r="X209" s="8">
</c>
      <c r="Y209" s="8">
</c>
      <c r="Z209" s="8">
</c>
      <c r="AA209" s="8">
</c>
      <c r="AB209" s="8">
</c>
      <c r="AC209" s="8">
</c>
      <c r="AD209" s="8">
</c>
      <c r="AE209" s="8">
</c>
      <c r="AF209" s="8">
</c>
      <c r="AG209" s="8">
</c>
      <c r="AH209" s="8">
</c>
      <c r="AI209" s="8">
</c>
      <c r="AJ209" s="8">
</c>
      <c r="AK209" s="8">
</c>
    </row>
    <row r="210" ht="76.5" customHeight="1">
      <c r="A210">
</c>
      <c r="B210">
</c>
      <c r="C210" s="17">
</c>
      <c r="D210" s="17">
</c>
      <c r="E210">
</c>
      <c r="F210">
</c>
      <c r="G210" s="13" cm="1" t="str">
        <f t="array" ref="G210">IF(F210="","",SUBSTITUTE(SUBSTITUTE(SUBSTITUTE(SUBSTITUTE(F210,"&lt;li&gt;",CHAR(10)),"&lt;/li&gt;",""),"&lt;br&gt;",CHAR(10)),"&lt;strong&gt;",""))</f>
        <v/>
      </c>
      <c r="H210" s="13" cm="1" t="str">
        <f t="array" ref="H210">IF(G210="","",SUBSTITUTE(SUBSTITUTE(SUBSTITUTE(SUBSTITUTE(SUBSTITUTE(G210,"&lt;p&gt;",""),"&lt;/p&gt;",""),"&lt;ul&gt;",""),"&lt;/ul&gt;",""),"&lt;/strong&gt;",""))</f>
        <v/>
      </c>
      <c r="I210" s="14" cm="1" t="str">
        <f t="array" ref="I210">IF(C210="","",IF(OR(H210="",H210=0,H210=FALSE),"-",H210))</f>
        <v/>
      </c>
      <c r="J210">
</c>
      <c r="K210">
</c>
      <c r="L210" s="9" cm="1" t="str">
        <f t="array" ref="L210">IF(C210="","",IF(K210="Mort / Plus rien à faire","KO","OK"))</f>
        <v/>
      </c>
      <c r="M210" s="18">
</c>
      <c r="N210" s="15" cm="1" t="str">
        <f t="array" ref="N210">IF(OR(C210="",M210="",M210=0),"",M210)</f>
        <v/>
      </c>
      <c r="O210" s="18">
</c>
      <c r="P210" s="15" cm="1" t="str">
        <f t="array" ref="P210">IF(C210="","",IF(OR(O210="",O210=0),"-",O210))</f>
        <v/>
      </c>
      <c r="Q210" s="19">
</c>
      <c r="R210" s="16" cm="1" t="str">
        <f t="array" ref="R210">IF(C210="","",ROUND(Q210/1000000,3)&amp;" M€")</f>
        <v/>
      </c>
      <c r="S210" s="17">
</c>
      <c r="T210" s="9" cm="1" t="str">
        <f t="array" ref="T210">IF(C210="","",SUBSTITUTE(S210,"","")&amp;"%")</f>
        <v/>
      </c>
      <c r="U210" s="14" cm="1" t="str">
        <f t="array" ref="U210">IF(($N210="")*($P210=""),"",IF(($N210&lt;&gt;"")*($N210&gt;TODAY()-9)*($N210&lt;TODAY()+1)*($P210&lt;&gt;"")*($P210&gt;=TODAY())*($P210&lt;=TODAY()+13),"Semaine passée &amp; à venir",IF(($N210&lt;&gt;"")*($N210&gt;TODAY()-9)*($N210&lt;TODAY()+1),"Semaine passée",IF(($P210&lt;&gt;"")*($P210&gt;=TODAY())*($P210&lt;=TODAY()+13),"À venir","Autre"))))</f>
        <v/>
      </c>
      <c r="V210" s="8">
</c>
      <c r="W210" s="8">
</c>
      <c r="X210" s="8">
</c>
      <c r="Y210" s="8">
</c>
      <c r="Z210" s="8">
</c>
      <c r="AA210" s="8">
</c>
      <c r="AB210" s="8">
</c>
      <c r="AC210" s="8">
</c>
      <c r="AD210" s="8">
</c>
      <c r="AE210" s="8">
</c>
      <c r="AF210" s="8">
</c>
      <c r="AG210" s="8">
</c>
      <c r="AH210" s="8">
</c>
      <c r="AI210" s="8">
</c>
      <c r="AJ210" s="8">
</c>
      <c r="AK210" s="8">
</c>
    </row>
    <row r="211" ht="76.5" customHeight="1">
      <c r="A211">
</c>
      <c r="B211">
</c>
      <c r="C211" s="17">
</c>
      <c r="D211" s="17">
</c>
      <c r="E211">
</c>
      <c r="F211">
</c>
      <c r="G211" s="13" cm="1" t="str">
        <f t="array" ref="G211">IF(F211="","",SUBSTITUTE(SUBSTITUTE(SUBSTITUTE(SUBSTITUTE(F211,"&lt;li&gt;",CHAR(10)),"&lt;/li&gt;",""),"&lt;br&gt;",CHAR(10)),"&lt;strong&gt;",""))</f>
        <v/>
      </c>
      <c r="H211" s="13" cm="1" t="str">
        <f t="array" ref="H211">IF(G211="","",SUBSTITUTE(SUBSTITUTE(SUBSTITUTE(SUBSTITUTE(SUBSTITUTE(G211,"&lt;p&gt;",""),"&lt;/p&gt;",""),"&lt;ul&gt;",""),"&lt;/ul&gt;",""),"&lt;/strong&gt;",""))</f>
        <v/>
      </c>
      <c r="I211" s="14" cm="1" t="str">
        <f t="array" ref="I211">IF(C211="","",IF(OR(H211="",H211=0,H211=FALSE),"-",H211))</f>
        <v/>
      </c>
      <c r="J211">
</c>
      <c r="K211">
</c>
      <c r="L211" s="9" cm="1" t="str">
        <f t="array" ref="L211">IF(C211="","",IF(K211="Mort / Plus rien à faire","KO","OK"))</f>
        <v/>
      </c>
      <c r="M211" s="18">
</c>
      <c r="N211" s="15" cm="1" t="str">
        <f t="array" ref="N211">IF(OR(C211="",M211="",M211=0),"",M211)</f>
        <v/>
      </c>
      <c r="O211" s="18">
</c>
      <c r="P211" s="15" cm="1" t="str">
        <f t="array" ref="P211">IF(C211="","",IF(OR(O211="",O211=0),"-",O211))</f>
        <v/>
      </c>
      <c r="Q211" s="19">
</c>
      <c r="R211" s="16" cm="1" t="str">
        <f t="array" ref="R211">IF(C211="","",ROUND(Q211/1000000,3)&amp;" M€")</f>
        <v/>
      </c>
      <c r="S211" s="17">
</c>
      <c r="T211" s="9" cm="1" t="str">
        <f t="array" ref="T211">IF(C211="","",SUBSTITUTE(S211,"","")&amp;"%")</f>
        <v/>
      </c>
      <c r="U211" s="14" cm="1" t="str">
        <f t="array" ref="U211">IF(($N211="")*($P211=""),"",IF(($N211&lt;&gt;"")*($N211&gt;TODAY()-9)*($N211&lt;TODAY()+1)*($P211&lt;&gt;"")*($P211&gt;=TODAY())*($P211&lt;=TODAY()+13),"Semaine passée &amp; à venir",IF(($N211&lt;&gt;"")*($N211&gt;TODAY()-9)*($N211&lt;TODAY()+1),"Semaine passée",IF(($P211&lt;&gt;"")*($P211&gt;=TODAY())*($P211&lt;=TODAY()+13),"À venir","Autre"))))</f>
        <v/>
      </c>
      <c r="V211" s="8">
</c>
      <c r="W211" s="8">
</c>
      <c r="X211" s="8">
</c>
      <c r="Y211" s="8">
</c>
      <c r="Z211" s="8">
</c>
      <c r="AA211" s="8">
</c>
      <c r="AB211" s="8">
</c>
      <c r="AC211" s="8">
</c>
      <c r="AD211" s="8">
</c>
      <c r="AE211" s="8">
</c>
      <c r="AF211" s="8">
</c>
      <c r="AG211" s="8">
</c>
      <c r="AH211" s="8">
</c>
      <c r="AI211" s="8">
</c>
      <c r="AJ211" s="8">
</c>
      <c r="AK211" s="8">
</c>
    </row>
    <row r="212" ht="76.5" customHeight="1">
      <c r="A212">
</c>
      <c r="B212">
</c>
      <c r="C212" s="17">
</c>
      <c r="D212" s="17">
</c>
      <c r="E212">
</c>
      <c r="F212">
</c>
      <c r="G212" s="13" cm="1" t="str">
        <f t="array" ref="G212">IF(F212="","",SUBSTITUTE(SUBSTITUTE(SUBSTITUTE(SUBSTITUTE(F212,"&lt;li&gt;",CHAR(10)),"&lt;/li&gt;",""),"&lt;br&gt;",CHAR(10)),"&lt;strong&gt;",""))</f>
        <v/>
      </c>
      <c r="H212" s="13" cm="1" t="str">
        <f t="array" ref="H212">IF(G212="","",SUBSTITUTE(SUBSTITUTE(SUBSTITUTE(SUBSTITUTE(SUBSTITUTE(G212,"&lt;p&gt;",""),"&lt;/p&gt;",""),"&lt;ul&gt;",""),"&lt;/ul&gt;",""),"&lt;/strong&gt;",""))</f>
        <v/>
      </c>
      <c r="I212" s="14" cm="1" t="str">
        <f t="array" ref="I212">IF(C212="","",IF(OR(H212="",H212=0,H212=FALSE),"-",H212))</f>
        <v/>
      </c>
      <c r="J212">
</c>
      <c r="K212">
</c>
      <c r="L212" s="9" cm="1" t="str">
        <f t="array" ref="L212">IF(C212="","",IF(K212="Mort / Plus rien à faire","KO","OK"))</f>
        <v/>
      </c>
      <c r="M212" s="18">
</c>
      <c r="N212" s="15" cm="1" t="str">
        <f t="array" ref="N212">IF(OR(C212="",M212="",M212=0),"",M212)</f>
        <v/>
      </c>
      <c r="O212" s="18">
</c>
      <c r="P212" s="15" cm="1" t="str">
        <f t="array" ref="P212">IF(C212="","",IF(OR(O212="",O212=0),"-",O212))</f>
        <v/>
      </c>
      <c r="Q212" s="19">
</c>
      <c r="R212" s="16" cm="1" t="str">
        <f t="array" ref="R212">IF(C212="","",ROUND(Q212/1000000,3)&amp;" M€")</f>
        <v/>
      </c>
      <c r="S212" s="17">
</c>
      <c r="T212" s="9" cm="1" t="str">
        <f t="array" ref="T212">IF(C212="","",SUBSTITUTE(S212,"","")&amp;"%")</f>
        <v/>
      </c>
      <c r="U212" s="14" cm="1" t="str">
        <f t="array" ref="U212">IF(($N212="")*($P212=""),"",IF(($N212&lt;&gt;"")*($N212&gt;TODAY()-9)*($N212&lt;TODAY()+1)*($P212&lt;&gt;"")*($P212&gt;=TODAY())*($P212&lt;=TODAY()+13),"Semaine passée &amp; à venir",IF(($N212&lt;&gt;"")*($N212&gt;TODAY()-9)*($N212&lt;TODAY()+1),"Semaine passée",IF(($P212&lt;&gt;"")*($P212&gt;=TODAY())*($P212&lt;=TODAY()+13),"À venir","Autre"))))</f>
        <v/>
      </c>
      <c r="V212" s="8">
</c>
      <c r="W212" s="8">
</c>
      <c r="X212" s="8">
</c>
      <c r="Y212" s="8">
</c>
      <c r="Z212" s="8">
</c>
      <c r="AA212" s="8">
</c>
      <c r="AB212" s="8">
</c>
      <c r="AC212" s="8">
</c>
      <c r="AD212" s="8">
</c>
      <c r="AE212" s="8">
</c>
      <c r="AF212" s="8">
</c>
      <c r="AG212" s="8">
</c>
      <c r="AH212" s="8">
</c>
      <c r="AI212" s="8">
</c>
      <c r="AJ212" s="8">
</c>
      <c r="AK212" s="8">
</c>
    </row>
    <row r="213" ht="76.5" customHeight="1">
      <c r="A213">
</c>
      <c r="B213">
</c>
      <c r="C213" s="17">
</c>
      <c r="D213" s="17">
</c>
      <c r="E213">
</c>
      <c r="F213">
</c>
      <c r="G213" s="13" cm="1" t="str">
        <f t="array" ref="G213">IF(F213="","",SUBSTITUTE(SUBSTITUTE(SUBSTITUTE(SUBSTITUTE(F213,"&lt;li&gt;",CHAR(10)),"&lt;/li&gt;",""),"&lt;br&gt;",CHAR(10)),"&lt;strong&gt;",""))</f>
        <v/>
      </c>
      <c r="H213" s="13" cm="1" t="str">
        <f t="array" ref="H213">IF(G213="","",SUBSTITUTE(SUBSTITUTE(SUBSTITUTE(SUBSTITUTE(SUBSTITUTE(G213,"&lt;p&gt;",""),"&lt;/p&gt;",""),"&lt;ul&gt;",""),"&lt;/ul&gt;",""),"&lt;/strong&gt;",""))</f>
        <v/>
      </c>
      <c r="I213" s="14" cm="1" t="str">
        <f t="array" ref="I213">IF(C213="","",IF(OR(H213="",H213=0,H213=FALSE),"-",H213))</f>
        <v/>
      </c>
      <c r="J213">
</c>
      <c r="K213">
</c>
      <c r="L213" s="9" cm="1" t="str">
        <f t="array" ref="L213">IF(C213="","",IF(K213="Mort / Plus rien à faire","KO","OK"))</f>
        <v/>
      </c>
      <c r="M213" s="18">
</c>
      <c r="N213" s="15" cm="1" t="str">
        <f t="array" ref="N213">IF(OR(C213="",M213="",M213=0),"",M213)</f>
        <v/>
      </c>
      <c r="O213" s="18">
</c>
      <c r="P213" s="15" cm="1" t="str">
        <f t="array" ref="P213">IF(C213="","",IF(OR(O213="",O213=0),"-",O213))</f>
        <v/>
      </c>
      <c r="Q213" s="19">
</c>
      <c r="R213" s="16" cm="1" t="str">
        <f t="array" ref="R213">IF(C213="","",ROUND(Q213/1000000,3)&amp;" M€")</f>
        <v/>
      </c>
      <c r="S213" s="17">
</c>
      <c r="T213" s="9" cm="1" t="str">
        <f t="array" ref="T213">IF(C213="","",SUBSTITUTE(S213,"","")&amp;"%")</f>
        <v/>
      </c>
      <c r="U213" s="14" cm="1" t="str">
        <f t="array" ref="U213">IF(($N213="")*($P213=""),"",IF(($N213&lt;&gt;"")*($N213&gt;TODAY()-9)*($N213&lt;TODAY()+1)*($P213&lt;&gt;"")*($P213&gt;=TODAY())*($P213&lt;=TODAY()+13),"Semaine passée &amp; à venir",IF(($N213&lt;&gt;"")*($N213&gt;TODAY()-9)*($N213&lt;TODAY()+1),"Semaine passée",IF(($P213&lt;&gt;"")*($P213&gt;=TODAY())*($P213&lt;=TODAY()+13),"À venir","Autre"))))</f>
        <v/>
      </c>
      <c r="V213" s="8">
</c>
      <c r="W213" s="8">
</c>
      <c r="X213" s="8">
</c>
      <c r="Y213" s="8">
</c>
      <c r="Z213" s="8">
</c>
      <c r="AA213" s="8">
</c>
      <c r="AB213" s="8">
</c>
      <c r="AC213" s="8">
</c>
      <c r="AD213" s="8">
</c>
      <c r="AE213" s="8">
</c>
      <c r="AF213" s="8">
</c>
      <c r="AG213" s="8">
</c>
      <c r="AH213" s="8">
</c>
      <c r="AI213" s="8">
</c>
      <c r="AJ213" s="8">
</c>
      <c r="AK213" s="8">
</c>
    </row>
    <row r="214" ht="76.5" customHeight="1">
      <c r="A214">
</c>
      <c r="B214">
</c>
      <c r="C214" s="17">
</c>
      <c r="D214" s="17">
</c>
      <c r="E214">
</c>
      <c r="F214">
</c>
      <c r="G214" s="13" cm="1" t="str">
        <f t="array" ref="G214">IF(F214="","",SUBSTITUTE(SUBSTITUTE(SUBSTITUTE(SUBSTITUTE(F214,"&lt;li&gt;",CHAR(10)),"&lt;/li&gt;",""),"&lt;br&gt;",CHAR(10)),"&lt;strong&gt;",""))</f>
        <v/>
      </c>
      <c r="H214" s="13" cm="1" t="str">
        <f t="array" ref="H214">IF(G214="","",SUBSTITUTE(SUBSTITUTE(SUBSTITUTE(SUBSTITUTE(SUBSTITUTE(G214,"&lt;p&gt;",""),"&lt;/p&gt;",""),"&lt;ul&gt;",""),"&lt;/ul&gt;",""),"&lt;/strong&gt;",""))</f>
        <v/>
      </c>
      <c r="I214" s="14" cm="1" t="str">
        <f t="array" ref="I214">IF(C214="","",IF(OR(H214="",H214=0,H214=FALSE),"-",H214))</f>
        <v/>
      </c>
      <c r="J214">
</c>
      <c r="K214">
</c>
      <c r="L214" s="9" cm="1" t="str">
        <f t="array" ref="L214">IF(C214="","",IF(K214="Mort / Plus rien à faire","KO","OK"))</f>
        <v/>
      </c>
      <c r="M214" s="18">
</c>
      <c r="N214" s="15" cm="1" t="str">
        <f t="array" ref="N214">IF(OR(C214="",M214="",M214=0),"",M214)</f>
        <v/>
      </c>
      <c r="O214" s="18">
</c>
      <c r="P214" s="15" cm="1" t="str">
        <f t="array" ref="P214">IF(C214="","",IF(OR(O214="",O214=0),"-",O214))</f>
        <v/>
      </c>
      <c r="Q214" s="19">
</c>
      <c r="R214" s="16" cm="1" t="str">
        <f t="array" ref="R214">IF(C214="","",ROUND(Q214/1000000,3)&amp;" M€")</f>
        <v/>
      </c>
      <c r="S214" s="17">
</c>
      <c r="T214" s="9" cm="1" t="str">
        <f t="array" ref="T214">IF(C214="","",SUBSTITUTE(S214,"","")&amp;"%")</f>
        <v/>
      </c>
      <c r="U214" s="14" cm="1" t="str">
        <f t="array" ref="U214">IF(($N214="")*($P214=""),"",IF(($N214&lt;&gt;"")*($N214&gt;TODAY()-9)*($N214&lt;TODAY()+1)*($P214&lt;&gt;"")*($P214&gt;=TODAY())*($P214&lt;=TODAY()+13),"Semaine passée &amp; à venir",IF(($N214&lt;&gt;"")*($N214&gt;TODAY()-9)*($N214&lt;TODAY()+1),"Semaine passée",IF(($P214&lt;&gt;"")*($P214&gt;=TODAY())*($P214&lt;=TODAY()+13),"À venir","Autre"))))</f>
        <v/>
      </c>
      <c r="V214" s="8">
</c>
      <c r="W214" s="8">
</c>
      <c r="X214" s="8">
</c>
      <c r="Y214" s="8">
</c>
      <c r="Z214" s="8">
</c>
      <c r="AA214" s="8">
</c>
      <c r="AB214" s="8">
</c>
      <c r="AC214" s="8">
</c>
      <c r="AD214" s="8">
</c>
      <c r="AE214" s="8">
</c>
      <c r="AF214" s="8">
</c>
      <c r="AG214" s="8">
</c>
      <c r="AH214" s="8">
</c>
      <c r="AI214" s="8">
</c>
      <c r="AJ214" s="8">
</c>
      <c r="AK214" s="8">
</c>
    </row>
    <row r="215" ht="76.5" customHeight="1">
      <c r="A215">
</c>
      <c r="B215">
</c>
      <c r="C215" s="17">
</c>
      <c r="D215" s="17">
</c>
      <c r="E215">
</c>
      <c r="F215">
</c>
      <c r="G215" s="13" cm="1" t="str">
        <f t="array" ref="G215">IF(F215="","",SUBSTITUTE(SUBSTITUTE(SUBSTITUTE(SUBSTITUTE(F215,"&lt;li&gt;",CHAR(10)),"&lt;/li&gt;",""),"&lt;br&gt;",CHAR(10)),"&lt;strong&gt;",""))</f>
        <v/>
      </c>
      <c r="H215" s="13" cm="1" t="str">
        <f t="array" ref="H215">IF(G215="","",SUBSTITUTE(SUBSTITUTE(SUBSTITUTE(SUBSTITUTE(SUBSTITUTE(G215,"&lt;p&gt;",""),"&lt;/p&gt;",""),"&lt;ul&gt;",""),"&lt;/ul&gt;",""),"&lt;/strong&gt;",""))</f>
        <v/>
      </c>
      <c r="I215" s="14" cm="1" t="str">
        <f t="array" ref="I215">IF(C215="","",IF(OR(H215="",H215=0,H215=FALSE),"-",H215))</f>
        <v/>
      </c>
      <c r="J215">
</c>
      <c r="K215">
</c>
      <c r="L215" s="9" cm="1" t="str">
        <f t="array" ref="L215">IF(C215="","",IF(K215="Mort / Plus rien à faire","KO","OK"))</f>
        <v/>
      </c>
      <c r="M215" s="18">
</c>
      <c r="N215" s="15" cm="1" t="str">
        <f t="array" ref="N215">IF(OR(C215="",M215="",M215=0),"",M215)</f>
        <v/>
      </c>
      <c r="O215" s="18">
</c>
      <c r="P215" s="15" cm="1" t="str">
        <f t="array" ref="P215">IF(C215="","",IF(OR(O215="",O215=0),"-",O215))</f>
        <v/>
      </c>
      <c r="Q215" s="19">
</c>
      <c r="R215" s="16" cm="1" t="str">
        <f t="array" ref="R215">IF(C215="","",ROUND(Q215/1000000,3)&amp;" M€")</f>
        <v/>
      </c>
      <c r="S215" s="17">
</c>
      <c r="T215" s="9" cm="1" t="str">
        <f t="array" ref="T215">IF(C215="","",SUBSTITUTE(S215,"","")&amp;"%")</f>
        <v/>
      </c>
      <c r="U215" s="14" cm="1" t="str">
        <f t="array" ref="U215">IF(($N215="")*($P215=""),"",IF(($N215&lt;&gt;"")*($N215&gt;TODAY()-9)*($N215&lt;TODAY()+1)*($P215&lt;&gt;"")*($P215&gt;=TODAY())*($P215&lt;=TODAY()+13),"Semaine passée &amp; à venir",IF(($N215&lt;&gt;"")*($N215&gt;TODAY()-9)*($N215&lt;TODAY()+1),"Semaine passée",IF(($P215&lt;&gt;"")*($P215&gt;=TODAY())*($P215&lt;=TODAY()+13),"À venir","Autre"))))</f>
        <v/>
      </c>
      <c r="V215" s="8">
</c>
      <c r="W215" s="8">
</c>
      <c r="X215" s="8">
</c>
      <c r="Y215" s="8">
</c>
      <c r="Z215" s="8">
</c>
      <c r="AA215" s="8">
</c>
      <c r="AB215" s="8">
</c>
      <c r="AC215" s="8">
</c>
      <c r="AD215" s="8">
</c>
      <c r="AE215" s="8">
</c>
      <c r="AF215" s="8">
</c>
      <c r="AG215" s="8">
</c>
      <c r="AH215" s="8">
</c>
      <c r="AI215" s="8">
</c>
      <c r="AJ215" s="8">
</c>
      <c r="AK215" s="8">
</c>
    </row>
    <row r="216" ht="76.5" customHeight="1">
      <c r="A216">
</c>
      <c r="B216">
</c>
      <c r="C216" s="17">
</c>
      <c r="D216" s="17">
</c>
      <c r="E216">
</c>
      <c r="F216">
</c>
      <c r="G216" s="13" cm="1" t="str">
        <f t="array" ref="G216">IF(F216="","",SUBSTITUTE(SUBSTITUTE(SUBSTITUTE(SUBSTITUTE(F216,"&lt;li&gt;",CHAR(10)),"&lt;/li&gt;",""),"&lt;br&gt;",CHAR(10)),"&lt;strong&gt;",""))</f>
        <v/>
      </c>
      <c r="H216" s="13" cm="1" t="str">
        <f t="array" ref="H216">IF(G216="","",SUBSTITUTE(SUBSTITUTE(SUBSTITUTE(SUBSTITUTE(SUBSTITUTE(G216,"&lt;p&gt;",""),"&lt;/p&gt;",""),"&lt;ul&gt;",""),"&lt;/ul&gt;",""),"&lt;/strong&gt;",""))</f>
        <v/>
      </c>
      <c r="I216" s="14" cm="1" t="str">
        <f t="array" ref="I216">IF(C216="","",IF(OR(H216="",H216=0,H216=FALSE),"-",H216))</f>
        <v/>
      </c>
      <c r="J216">
</c>
      <c r="K216">
</c>
      <c r="L216" s="9" cm="1" t="str">
        <f t="array" ref="L216">IF(C216="","",IF(K216="Mort / Plus rien à faire","KO","OK"))</f>
        <v/>
      </c>
      <c r="M216" s="18">
</c>
      <c r="N216" s="15" cm="1" t="str">
        <f t="array" ref="N216">IF(OR(C216="",M216="",M216=0),"",M216)</f>
        <v/>
      </c>
      <c r="O216" s="18">
</c>
      <c r="P216" s="15" cm="1" t="str">
        <f t="array" ref="P216">IF(C216="","",IF(OR(O216="",O216=0),"-",O216))</f>
        <v/>
      </c>
      <c r="Q216" s="19">
</c>
      <c r="R216" s="16" cm="1" t="str">
        <f t="array" ref="R216">IF(C216="","",ROUND(Q216/1000000,3)&amp;" M€")</f>
        <v/>
      </c>
      <c r="S216" s="17">
</c>
      <c r="T216" s="9" cm="1" t="str">
        <f t="array" ref="T216">IF(C216="","",SUBSTITUTE(S216,"","")&amp;"%")</f>
        <v/>
      </c>
      <c r="U216" s="14" cm="1" t="str">
        <f t="array" ref="U216">IF(($N216="")*($P216=""),"",IF(($N216&lt;&gt;"")*($N216&gt;TODAY()-9)*($N216&lt;TODAY()+1)*($P216&lt;&gt;"")*($P216&gt;=TODAY())*($P216&lt;=TODAY()+13),"Semaine passée &amp; à venir",IF(($N216&lt;&gt;"")*($N216&gt;TODAY()-9)*($N216&lt;TODAY()+1),"Semaine passée",IF(($P216&lt;&gt;"")*($P216&gt;=TODAY())*($P216&lt;=TODAY()+13),"À venir","Autre"))))</f>
        <v/>
      </c>
      <c r="V216" s="8">
</c>
      <c r="W216" s="8">
</c>
      <c r="X216" s="8">
</c>
      <c r="Y216" s="8">
</c>
      <c r="Z216" s="8">
</c>
      <c r="AA216" s="8">
</c>
      <c r="AB216" s="8">
</c>
      <c r="AC216" s="8">
</c>
      <c r="AD216" s="8">
</c>
      <c r="AE216" s="8">
</c>
      <c r="AF216" s="8">
</c>
      <c r="AG216" s="8">
</c>
      <c r="AH216" s="8">
</c>
      <c r="AI216" s="8">
</c>
      <c r="AJ216" s="8">
</c>
      <c r="AK216" s="8">
</c>
    </row>
    <row r="217" ht="76.5" customHeight="1">
      <c r="A217">
</c>
      <c r="B217">
</c>
      <c r="C217" s="17">
</c>
      <c r="D217" s="17">
</c>
      <c r="E217">
</c>
      <c r="F217">
</c>
      <c r="G217" s="13" cm="1" t="str">
        <f t="array" ref="G217">IF(F217="","",SUBSTITUTE(SUBSTITUTE(SUBSTITUTE(SUBSTITUTE(F217,"&lt;li&gt;",CHAR(10)),"&lt;/li&gt;",""),"&lt;br&gt;",CHAR(10)),"&lt;strong&gt;",""))</f>
        <v/>
      </c>
      <c r="H217" s="13" cm="1" t="str">
        <f t="array" ref="H217">IF(G217="","",SUBSTITUTE(SUBSTITUTE(SUBSTITUTE(SUBSTITUTE(SUBSTITUTE(G217,"&lt;p&gt;",""),"&lt;/p&gt;",""),"&lt;ul&gt;",""),"&lt;/ul&gt;",""),"&lt;/strong&gt;",""))</f>
        <v/>
      </c>
      <c r="I217" s="14" cm="1" t="str">
        <f t="array" ref="I217">IF(C217="","",IF(OR(H217="",H217=0,H217=FALSE),"-",H217))</f>
        <v/>
      </c>
      <c r="J217">
</c>
      <c r="K217">
</c>
      <c r="L217" s="9" cm="1" t="str">
        <f t="array" ref="L217">IF(C217="","",IF(K217="Mort / Plus rien à faire","KO","OK"))</f>
        <v/>
      </c>
      <c r="M217" s="18">
</c>
      <c r="N217" s="15" cm="1" t="str">
        <f t="array" ref="N217">IF(OR(C217="",M217="",M217=0),"",M217)</f>
        <v/>
      </c>
      <c r="O217" s="18">
</c>
      <c r="P217" s="15" cm="1" t="str">
        <f t="array" ref="P217">IF(C217="","",IF(OR(O217="",O217=0),"-",O217))</f>
        <v/>
      </c>
      <c r="Q217" s="19">
</c>
      <c r="R217" s="16" cm="1" t="str">
        <f t="array" ref="R217">IF(C217="","",ROUND(Q217/1000000,3)&amp;" M€")</f>
        <v/>
      </c>
      <c r="S217" s="17">
</c>
      <c r="T217" s="9" cm="1" t="str">
        <f t="array" ref="T217">IF(C217="","",SUBSTITUTE(S217,"","")&amp;"%")</f>
        <v/>
      </c>
      <c r="U217" s="14" cm="1" t="str">
        <f t="array" ref="U217">IF(($N217="")*($P217=""),"",IF(($N217&lt;&gt;"")*($N217&gt;TODAY()-9)*($N217&lt;TODAY()+1)*($P217&lt;&gt;"")*($P217&gt;=TODAY())*($P217&lt;=TODAY()+13),"Semaine passée &amp; à venir",IF(($N217&lt;&gt;"")*($N217&gt;TODAY()-9)*($N217&lt;TODAY()+1),"Semaine passée",IF(($P217&lt;&gt;"")*($P217&gt;=TODAY())*($P217&lt;=TODAY()+13),"À venir","Autre"))))</f>
        <v/>
      </c>
      <c r="V217" s="8">
</c>
      <c r="W217" s="8">
</c>
      <c r="X217" s="8">
</c>
      <c r="Y217" s="8">
</c>
      <c r="Z217" s="8">
</c>
      <c r="AA217" s="8">
</c>
      <c r="AB217" s="8">
</c>
      <c r="AC217" s="8">
</c>
      <c r="AD217" s="8">
</c>
      <c r="AE217" s="8">
</c>
      <c r="AF217" s="8">
</c>
      <c r="AG217" s="8">
</c>
      <c r="AH217" s="8">
</c>
      <c r="AI217" s="8">
</c>
      <c r="AJ217" s="8">
</c>
      <c r="AK217" s="8">
</c>
    </row>
    <row r="218" ht="76.5" customHeight="1">
      <c r="A218">
</c>
      <c r="B218">
</c>
      <c r="C218" s="17">
</c>
      <c r="D218" s="17">
</c>
      <c r="E218">
</c>
      <c r="F218">
</c>
      <c r="G218" s="13" cm="1" t="str">
        <f t="array" ref="G218">IF(F218="","",SUBSTITUTE(SUBSTITUTE(SUBSTITUTE(SUBSTITUTE(F218,"&lt;li&gt;",CHAR(10)),"&lt;/li&gt;",""),"&lt;br&gt;",CHAR(10)),"&lt;strong&gt;",""))</f>
        <v/>
      </c>
      <c r="H218" s="13" cm="1" t="str">
        <f t="array" ref="H218">IF(G218="","",SUBSTITUTE(SUBSTITUTE(SUBSTITUTE(SUBSTITUTE(SUBSTITUTE(G218,"&lt;p&gt;",""),"&lt;/p&gt;",""),"&lt;ul&gt;",""),"&lt;/ul&gt;",""),"&lt;/strong&gt;",""))</f>
        <v/>
      </c>
      <c r="I218" s="14" cm="1" t="str">
        <f t="array" ref="I218">IF(C218="","",IF(OR(H218="",H218=0,H218=FALSE),"-",H218))</f>
        <v/>
      </c>
      <c r="J218">
</c>
      <c r="K218">
</c>
      <c r="L218" s="9" cm="1" t="str">
        <f t="array" ref="L218">IF(C218="","",IF(K218="Mort / Plus rien à faire","KO","OK"))</f>
        <v/>
      </c>
      <c r="M218" s="18">
</c>
      <c r="N218" s="15" cm="1" t="str">
        <f t="array" ref="N218">IF(OR(C218="",M218="",M218=0),"",M218)</f>
        <v/>
      </c>
      <c r="O218" s="18">
</c>
      <c r="P218" s="15" cm="1" t="str">
        <f t="array" ref="P218">IF(C218="","",IF(OR(O218="",O218=0),"-",O218))</f>
        <v/>
      </c>
      <c r="Q218" s="19">
</c>
      <c r="R218" s="16" cm="1" t="str">
        <f t="array" ref="R218">IF(C218="","",ROUND(Q218/1000000,3)&amp;" M€")</f>
        <v/>
      </c>
      <c r="S218" s="17">
</c>
      <c r="T218" s="9" cm="1" t="str">
        <f t="array" ref="T218">IF(C218="","",SUBSTITUTE(S218,"","")&amp;"%")</f>
        <v/>
      </c>
      <c r="U218" s="14" cm="1" t="str">
        <f t="array" ref="U218">IF(($N218="")*($P218=""),"",IF(($N218&lt;&gt;"")*($N218&gt;TODAY()-9)*($N218&lt;TODAY()+1)*($P218&lt;&gt;"")*($P218&gt;=TODAY())*($P218&lt;=TODAY()+13),"Semaine passée &amp; à venir",IF(($N218&lt;&gt;"")*($N218&gt;TODAY()-9)*($N218&lt;TODAY()+1),"Semaine passée",IF(($P218&lt;&gt;"")*($P218&gt;=TODAY())*($P218&lt;=TODAY()+13),"À venir","Autre"))))</f>
        <v/>
      </c>
      <c r="V218" s="8">
</c>
      <c r="W218" s="8">
</c>
      <c r="X218" s="8">
</c>
      <c r="Y218" s="8">
</c>
      <c r="Z218" s="8">
</c>
      <c r="AA218" s="8">
</c>
      <c r="AB218" s="8">
</c>
      <c r="AC218" s="8">
</c>
      <c r="AD218" s="8">
</c>
      <c r="AE218" s="8">
</c>
      <c r="AF218" s="8">
</c>
      <c r="AG218" s="8">
</c>
      <c r="AH218" s="8">
</c>
      <c r="AI218" s="8">
</c>
      <c r="AJ218" s="8">
</c>
      <c r="AK218" s="8">
</c>
    </row>
    <row r="219" ht="76.5" customHeight="1">
      <c r="A219">
</c>
      <c r="B219">
</c>
      <c r="C219" s="17">
</c>
      <c r="D219" s="17">
</c>
      <c r="E219">
</c>
      <c r="F219">
</c>
      <c r="G219" s="13" cm="1" t="str">
        <f t="array" ref="G219">IF(F219="","",SUBSTITUTE(SUBSTITUTE(SUBSTITUTE(SUBSTITUTE(F219,"&lt;li&gt;",CHAR(10)),"&lt;/li&gt;",""),"&lt;br&gt;",CHAR(10)),"&lt;strong&gt;",""))</f>
        <v/>
      </c>
      <c r="H219" s="13" cm="1" t="str">
        <f t="array" ref="H219">IF(G219="","",SUBSTITUTE(SUBSTITUTE(SUBSTITUTE(SUBSTITUTE(SUBSTITUTE(G219,"&lt;p&gt;",""),"&lt;/p&gt;",""),"&lt;ul&gt;",""),"&lt;/ul&gt;",""),"&lt;/strong&gt;",""))</f>
        <v/>
      </c>
      <c r="I219" s="14" cm="1" t="str">
        <f t="array" ref="I219">IF(C219="","",IF(OR(H219="",H219=0,H219=FALSE),"-",H219))</f>
        <v/>
      </c>
      <c r="J219">
</c>
      <c r="K219">
</c>
      <c r="L219" s="9" cm="1" t="str">
        <f t="array" ref="L219">IF(C219="","",IF(K219="Mort / Plus rien à faire","KO","OK"))</f>
        <v/>
      </c>
      <c r="M219" s="18">
</c>
      <c r="N219" s="15" cm="1" t="str">
        <f t="array" ref="N219">IF(OR(C219="",M219="",M219=0),"",M219)</f>
        <v/>
      </c>
      <c r="O219" s="18">
</c>
      <c r="P219" s="15" cm="1" t="str">
        <f t="array" ref="P219">IF(C219="","",IF(OR(O219="",O219=0),"-",O219))</f>
        <v/>
      </c>
      <c r="Q219" s="19">
</c>
      <c r="R219" s="16" cm="1" t="str">
        <f t="array" ref="R219">IF(C219="","",ROUND(Q219/1000000,3)&amp;" M€")</f>
        <v/>
      </c>
      <c r="S219" s="17">
</c>
      <c r="T219" s="9" cm="1" t="str">
        <f t="array" ref="T219">IF(C219="","",SUBSTITUTE(S219,"","")&amp;"%")</f>
        <v/>
      </c>
      <c r="U219" s="14" cm="1" t="str">
        <f t="array" ref="U219">IF(($N219="")*($P219=""),"",IF(($N219&lt;&gt;"")*($N219&gt;TODAY()-9)*($N219&lt;TODAY()+1)*($P219&lt;&gt;"")*($P219&gt;=TODAY())*($P219&lt;=TODAY()+13),"Semaine passée &amp; à venir",IF(($N219&lt;&gt;"")*($N219&gt;TODAY()-9)*($N219&lt;TODAY()+1),"Semaine passée",IF(($P219&lt;&gt;"")*($P219&gt;=TODAY())*($P219&lt;=TODAY()+13),"À venir","Autre"))))</f>
        <v/>
      </c>
      <c r="V219" s="8">
</c>
      <c r="W219" s="8">
</c>
      <c r="X219" s="8">
</c>
      <c r="Y219" s="8">
</c>
      <c r="Z219" s="8">
</c>
      <c r="AA219" s="8">
</c>
      <c r="AB219" s="8">
</c>
      <c r="AC219" s="8">
</c>
      <c r="AD219" s="8">
</c>
      <c r="AE219" s="8">
</c>
      <c r="AF219" s="8">
</c>
      <c r="AG219" s="8">
</c>
      <c r="AH219" s="8">
</c>
      <c r="AI219" s="8">
</c>
      <c r="AJ219" s="8">
</c>
      <c r="AK219" s="8">
</c>
    </row>
    <row r="220" ht="76.5" customHeight="1">
      <c r="A220">
</c>
      <c r="B220">
</c>
      <c r="C220" s="17">
</c>
      <c r="D220" s="17">
</c>
      <c r="E220">
</c>
      <c r="F220">
</c>
      <c r="G220" s="13" cm="1" t="str">
        <f t="array" ref="G220">IF(F220="","",SUBSTITUTE(SUBSTITUTE(SUBSTITUTE(SUBSTITUTE(F220,"&lt;li&gt;",CHAR(10)),"&lt;/li&gt;",""),"&lt;br&gt;",CHAR(10)),"&lt;strong&gt;",""))</f>
        <v/>
      </c>
      <c r="H220" s="13" cm="1" t="str">
        <f t="array" ref="H220">IF(G220="","",SUBSTITUTE(SUBSTITUTE(SUBSTITUTE(SUBSTITUTE(SUBSTITUTE(G220,"&lt;p&gt;",""),"&lt;/p&gt;",""),"&lt;ul&gt;",""),"&lt;/ul&gt;",""),"&lt;/strong&gt;",""))</f>
        <v/>
      </c>
      <c r="I220" s="14" cm="1" t="str">
        <f t="array" ref="I220">IF(C220="","",IF(OR(H220="",H220=0,H220=FALSE),"-",H220))</f>
        <v/>
      </c>
      <c r="J220">
</c>
      <c r="K220">
</c>
      <c r="L220" s="9" cm="1" t="str">
        <f t="array" ref="L220">IF(C220="","",IF(K220="Mort / Plus rien à faire","KO","OK"))</f>
        <v/>
      </c>
      <c r="M220" s="18">
</c>
      <c r="N220" s="15" cm="1" t="str">
        <f t="array" ref="N220">IF(OR(C220="",M220="",M220=0),"",M220)</f>
        <v/>
      </c>
      <c r="O220" s="18">
</c>
      <c r="P220" s="15" cm="1" t="str">
        <f t="array" ref="P220">IF(C220="","",IF(OR(O220="",O220=0),"-",O220))</f>
        <v/>
      </c>
      <c r="Q220" s="19">
</c>
      <c r="R220" s="16" cm="1" t="str">
        <f t="array" ref="R220">IF(C220="","",ROUND(Q220/1000000,3)&amp;" M€")</f>
        <v/>
      </c>
      <c r="S220" s="17">
</c>
      <c r="T220" s="9" cm="1" t="str">
        <f t="array" ref="T220">IF(C220="","",SUBSTITUTE(S220,"","")&amp;"%")</f>
        <v/>
      </c>
      <c r="U220" s="14" cm="1" t="str">
        <f t="array" ref="U220">IF(($N220="")*($P220=""),"",IF(($N220&lt;&gt;"")*($N220&gt;TODAY()-9)*($N220&lt;TODAY()+1)*($P220&lt;&gt;"")*($P220&gt;=TODAY())*($P220&lt;=TODAY()+13),"Semaine passée &amp; à venir",IF(($N220&lt;&gt;"")*($N220&gt;TODAY()-9)*($N220&lt;TODAY()+1),"Semaine passée",IF(($P220&lt;&gt;"")*($P220&gt;=TODAY())*($P220&lt;=TODAY()+13),"À venir","Autre"))))</f>
        <v/>
      </c>
      <c r="V220" s="8">
</c>
      <c r="W220" s="8">
</c>
      <c r="X220" s="8">
</c>
      <c r="Y220" s="8">
</c>
      <c r="Z220" s="8">
</c>
      <c r="AA220" s="8">
</c>
      <c r="AB220" s="8">
</c>
      <c r="AC220" s="8">
</c>
      <c r="AD220" s="8">
</c>
      <c r="AE220" s="8">
</c>
      <c r="AF220" s="8">
</c>
      <c r="AG220" s="8">
</c>
      <c r="AH220" s="8">
</c>
      <c r="AI220" s="8">
</c>
      <c r="AJ220" s="8">
</c>
      <c r="AK220" s="8">
</c>
    </row>
    <row r="221" ht="76.5" customHeight="1">
      <c r="A221">
</c>
      <c r="B221">
</c>
      <c r="C221" s="17">
</c>
      <c r="D221" s="17">
</c>
      <c r="E221">
</c>
      <c r="F221">
</c>
      <c r="G221" s="13" cm="1" t="str">
        <f t="array" ref="G221">IF(F221="","",SUBSTITUTE(SUBSTITUTE(SUBSTITUTE(SUBSTITUTE(F221,"&lt;li&gt;",CHAR(10)),"&lt;/li&gt;",""),"&lt;br&gt;",CHAR(10)),"&lt;strong&gt;",""))</f>
        <v/>
      </c>
      <c r="H221" s="13" cm="1" t="str">
        <f t="array" ref="H221">IF(G221="","",SUBSTITUTE(SUBSTITUTE(SUBSTITUTE(SUBSTITUTE(SUBSTITUTE(G221,"&lt;p&gt;",""),"&lt;/p&gt;",""),"&lt;ul&gt;",""),"&lt;/ul&gt;",""),"&lt;/strong&gt;",""))</f>
        <v/>
      </c>
      <c r="I221" s="14" cm="1" t="str">
        <f t="array" ref="I221">IF(C221="","",IF(OR(H221="",H221=0,H221=FALSE),"-",H221))</f>
        <v/>
      </c>
      <c r="J221">
</c>
      <c r="K221">
</c>
      <c r="L221" s="9" cm="1" t="str">
        <f t="array" ref="L221">IF(C221="","",IF(K221="Mort / Plus rien à faire","KO","OK"))</f>
        <v/>
      </c>
      <c r="M221" s="18">
</c>
      <c r="N221" s="15" cm="1" t="str">
        <f t="array" ref="N221">IF(OR(C221="",M221="",M221=0),"",M221)</f>
        <v/>
      </c>
      <c r="O221" s="18">
</c>
      <c r="P221" s="15" cm="1" t="str">
        <f t="array" ref="P221">IF(C221="","",IF(OR(O221="",O221=0),"-",O221))</f>
        <v/>
      </c>
      <c r="Q221" s="19">
</c>
      <c r="R221" s="16" cm="1" t="str">
        <f t="array" ref="R221">IF(C221="","",ROUND(Q221/1000000,3)&amp;" M€")</f>
        <v/>
      </c>
      <c r="S221" s="17">
</c>
      <c r="T221" s="9" cm="1" t="str">
        <f t="array" ref="T221">IF(C221="","",SUBSTITUTE(S221,"","")&amp;"%")</f>
        <v/>
      </c>
      <c r="U221" s="14" cm="1" t="str">
        <f t="array" ref="U221">IF(($N221="")*($P221=""),"",IF(($N221&lt;&gt;"")*($N221&gt;TODAY()-9)*($N221&lt;TODAY()+1)*($P221&lt;&gt;"")*($P221&gt;=TODAY())*($P221&lt;=TODAY()+13),"Semaine passée &amp; à venir",IF(($N221&lt;&gt;"")*($N221&gt;TODAY()-9)*($N221&lt;TODAY()+1),"Semaine passée",IF(($P221&lt;&gt;"")*($P221&gt;=TODAY())*($P221&lt;=TODAY()+13),"À venir","Autre"))))</f>
        <v/>
      </c>
      <c r="V221" s="8">
</c>
      <c r="W221" s="8">
</c>
      <c r="X221" s="8">
</c>
      <c r="Y221" s="8">
</c>
      <c r="Z221" s="8">
</c>
      <c r="AA221" s="8">
</c>
      <c r="AB221" s="8">
</c>
      <c r="AC221" s="8">
</c>
      <c r="AD221" s="8">
</c>
      <c r="AE221" s="8">
</c>
      <c r="AF221" s="8">
</c>
      <c r="AG221" s="8">
</c>
      <c r="AH221" s="8">
</c>
      <c r="AI221" s="8">
</c>
      <c r="AJ221" s="8">
</c>
      <c r="AK221" s="8">
</c>
    </row>
    <row r="222" ht="76.5" customHeight="1">
      <c r="A222">
</c>
      <c r="B222">
</c>
      <c r="C222" s="17">
</c>
      <c r="D222" s="17">
</c>
      <c r="E222">
</c>
      <c r="F222">
</c>
      <c r="G222" s="13" cm="1" t="str">
        <f t="array" ref="G222">IF(F222="","",SUBSTITUTE(SUBSTITUTE(SUBSTITUTE(SUBSTITUTE(F222,"&lt;li&gt;",CHAR(10)),"&lt;/li&gt;",""),"&lt;br&gt;",CHAR(10)),"&lt;strong&gt;",""))</f>
        <v/>
      </c>
      <c r="H222" s="13" cm="1" t="str">
        <f t="array" ref="H222">IF(G222="","",SUBSTITUTE(SUBSTITUTE(SUBSTITUTE(SUBSTITUTE(SUBSTITUTE(G222,"&lt;p&gt;",""),"&lt;/p&gt;",""),"&lt;ul&gt;",""),"&lt;/ul&gt;",""),"&lt;/strong&gt;",""))</f>
        <v/>
      </c>
      <c r="I222" s="14" cm="1" t="str">
        <f t="array" ref="I222">IF(C222="","",IF(OR(H222="",H222=0,H222=FALSE),"-",H222))</f>
        <v/>
      </c>
      <c r="J222">
</c>
      <c r="K222">
</c>
      <c r="L222" s="9" cm="1" t="str">
        <f t="array" ref="L222">IF(C222="","",IF(K222="Mort / Plus rien à faire","KO","OK"))</f>
        <v/>
      </c>
      <c r="M222" s="18">
</c>
      <c r="N222" s="15" cm="1" t="str">
        <f t="array" ref="N222">IF(OR(C222="",M222="",M222=0),"",M222)</f>
        <v/>
      </c>
      <c r="O222" s="18">
</c>
      <c r="P222" s="15" cm="1" t="str">
        <f t="array" ref="P222">IF(C222="","",IF(OR(O222="",O222=0),"-",O222))</f>
        <v/>
      </c>
      <c r="Q222" s="19">
</c>
      <c r="R222" s="16" cm="1" t="str">
        <f t="array" ref="R222">IF(C222="","",ROUND(Q222/1000000,3)&amp;" M€")</f>
        <v/>
      </c>
      <c r="S222" s="17">
</c>
      <c r="T222" s="9" cm="1" t="str">
        <f t="array" ref="T222">IF(C222="","",SUBSTITUTE(S222,"","")&amp;"%")</f>
        <v/>
      </c>
      <c r="U222" s="14" cm="1" t="str">
        <f t="array" ref="U222">IF(($N222="")*($P222=""),"",IF(($N222&lt;&gt;"")*($N222&gt;TODAY()-9)*($N222&lt;TODAY()+1)*($P222&lt;&gt;"")*($P222&gt;=TODAY())*($P222&lt;=TODAY()+13),"Semaine passée &amp; à venir",IF(($N222&lt;&gt;"")*($N222&gt;TODAY()-9)*($N222&lt;TODAY()+1),"Semaine passée",IF(($P222&lt;&gt;"")*($P222&gt;=TODAY())*($P222&lt;=TODAY()+13),"À venir","Autre"))))</f>
        <v/>
      </c>
      <c r="V222" s="8">
</c>
      <c r="W222" s="8">
</c>
      <c r="X222" s="8">
</c>
      <c r="Y222" s="8">
</c>
      <c r="Z222" s="8">
</c>
      <c r="AA222" s="8">
</c>
      <c r="AB222" s="8">
</c>
      <c r="AC222" s="8">
</c>
      <c r="AD222" s="8">
</c>
      <c r="AE222" s="8">
</c>
      <c r="AF222" s="8">
</c>
      <c r="AG222" s="8">
</c>
      <c r="AH222" s="8">
</c>
      <c r="AI222" s="8">
</c>
      <c r="AJ222" s="8">
</c>
      <c r="AK222" s="8">
</c>
    </row>
    <row r="223" ht="76.5" customHeight="1">
      <c r="A223">
</c>
      <c r="B223">
</c>
      <c r="C223" s="17">
</c>
      <c r="D223" s="17">
</c>
      <c r="E223">
</c>
      <c r="F223">
</c>
      <c r="G223" s="13" cm="1" t="str">
        <f t="array" ref="G223">IF(F223="","",SUBSTITUTE(SUBSTITUTE(SUBSTITUTE(SUBSTITUTE(F223,"&lt;li&gt;",CHAR(10)),"&lt;/li&gt;",""),"&lt;br&gt;",CHAR(10)),"&lt;strong&gt;",""))</f>
        <v/>
      </c>
      <c r="H223" s="13" cm="1" t="str">
        <f t="array" ref="H223">IF(G223="","",SUBSTITUTE(SUBSTITUTE(SUBSTITUTE(SUBSTITUTE(SUBSTITUTE(G223,"&lt;p&gt;",""),"&lt;/p&gt;",""),"&lt;ul&gt;",""),"&lt;/ul&gt;",""),"&lt;/strong&gt;",""))</f>
        <v/>
      </c>
      <c r="I223" s="14" cm="1" t="str">
        <f t="array" ref="I223">IF(C223="","",IF(OR(H223="",H223=0,H223=FALSE),"-",H223))</f>
        <v/>
      </c>
      <c r="J223">
</c>
      <c r="K223">
</c>
      <c r="L223" s="9" cm="1" t="str">
        <f t="array" ref="L223">IF(C223="","",IF(K223="Mort / Plus rien à faire","KO","OK"))</f>
        <v/>
      </c>
      <c r="M223" s="18">
</c>
      <c r="N223" s="15" cm="1" t="str">
        <f t="array" ref="N223">IF(OR(C223="",M223="",M223=0),"",M223)</f>
        <v/>
      </c>
      <c r="O223" s="18">
</c>
      <c r="P223" s="15" cm="1" t="str">
        <f t="array" ref="P223">IF(C223="","",IF(OR(O223="",O223=0),"-",O223))</f>
        <v/>
      </c>
      <c r="Q223" s="19">
</c>
      <c r="R223" s="16" cm="1" t="str">
        <f t="array" ref="R223">IF(C223="","",ROUND(Q223/1000000,3)&amp;" M€")</f>
        <v/>
      </c>
      <c r="S223" s="17">
</c>
      <c r="T223" s="9" cm="1" t="str">
        <f t="array" ref="T223">IF(C223="","",SUBSTITUTE(S223,"","")&amp;"%")</f>
        <v/>
      </c>
      <c r="U223" s="14" cm="1" t="str">
        <f t="array" ref="U223">IF(($N223="")*($P223=""),"",IF(($N223&lt;&gt;"")*($N223&gt;TODAY()-9)*($N223&lt;TODAY()+1)*($P223&lt;&gt;"")*($P223&gt;=TODAY())*($P223&lt;=TODAY()+13),"Semaine passée &amp; à venir",IF(($N223&lt;&gt;"")*($N223&gt;TODAY()-9)*($N223&lt;TODAY()+1),"Semaine passée",IF(($P223&lt;&gt;"")*($P223&gt;=TODAY())*($P223&lt;=TODAY()+13),"À venir","Autre"))))</f>
        <v/>
      </c>
      <c r="V223" s="8">
</c>
      <c r="W223" s="8">
</c>
      <c r="X223" s="8">
</c>
      <c r="Y223" s="8">
</c>
      <c r="Z223" s="8">
</c>
      <c r="AA223" s="8">
</c>
      <c r="AB223" s="8">
</c>
      <c r="AC223" s="8">
</c>
      <c r="AD223" s="8">
</c>
      <c r="AE223" s="8">
</c>
      <c r="AF223" s="8">
</c>
      <c r="AG223" s="8">
</c>
      <c r="AH223" s="8">
</c>
      <c r="AI223" s="8">
</c>
      <c r="AJ223" s="8">
</c>
      <c r="AK223" s="8">
</c>
    </row>
    <row r="224" ht="76.5" customHeight="1">
      <c r="A224">
</c>
      <c r="B224">
</c>
      <c r="C224" s="17">
</c>
      <c r="D224" s="17">
</c>
      <c r="E224">
</c>
      <c r="F224">
</c>
      <c r="G224" s="13" cm="1" t="str">
        <f t="array" ref="G224">IF(F224="","",SUBSTITUTE(SUBSTITUTE(SUBSTITUTE(SUBSTITUTE(F224,"&lt;li&gt;",CHAR(10)),"&lt;/li&gt;",""),"&lt;br&gt;",CHAR(10)),"&lt;strong&gt;",""))</f>
        <v/>
      </c>
      <c r="H224" s="13" cm="1" t="str">
        <f t="array" ref="H224">IF(G224="","",SUBSTITUTE(SUBSTITUTE(SUBSTITUTE(SUBSTITUTE(SUBSTITUTE(G224,"&lt;p&gt;",""),"&lt;/p&gt;",""),"&lt;ul&gt;",""),"&lt;/ul&gt;",""),"&lt;/strong&gt;",""))</f>
        <v/>
      </c>
      <c r="I224" s="14" cm="1" t="str">
        <f t="array" ref="I224">IF(C224="","",IF(OR(H224="",H224=0,H224=FALSE),"-",H224))</f>
        <v/>
      </c>
      <c r="J224">
</c>
      <c r="K224">
</c>
      <c r="L224" s="9" cm="1" t="str">
        <f t="array" ref="L224">IF(C224="","",IF(K224="Mort / Plus rien à faire","KO","OK"))</f>
        <v/>
      </c>
      <c r="M224" s="18">
</c>
      <c r="N224" s="15" cm="1" t="str">
        <f t="array" ref="N224">IF(OR(C224="",M224="",M224=0),"",M224)</f>
        <v/>
      </c>
      <c r="O224" s="18">
</c>
      <c r="P224" s="15" cm="1" t="str">
        <f t="array" ref="P224">IF(C224="","",IF(OR(O224="",O224=0),"-",O224))</f>
        <v/>
      </c>
      <c r="Q224" s="19">
</c>
      <c r="R224" s="16" cm="1" t="str">
        <f t="array" ref="R224">IF(C224="","",ROUND(Q224/1000000,3)&amp;" M€")</f>
        <v/>
      </c>
      <c r="S224" s="17">
</c>
      <c r="T224" s="9" cm="1" t="str">
        <f t="array" ref="T224">IF(C224="","",SUBSTITUTE(S224,"","")&amp;"%")</f>
        <v/>
      </c>
      <c r="U224" s="14" cm="1" t="str">
        <f t="array" ref="U224">IF(($N224="")*($P224=""),"",IF(($N224&lt;&gt;"")*($N224&gt;TODAY()-9)*($N224&lt;TODAY()+1)*($P224&lt;&gt;"")*($P224&gt;=TODAY())*($P224&lt;=TODAY()+13),"Semaine passée &amp; à venir",IF(($N224&lt;&gt;"")*($N224&gt;TODAY()-9)*($N224&lt;TODAY()+1),"Semaine passée",IF(($P224&lt;&gt;"")*($P224&gt;=TODAY())*($P224&lt;=TODAY()+13),"À venir","Autre"))))</f>
        <v/>
      </c>
      <c r="V224" s="8">
</c>
      <c r="W224" s="8">
</c>
      <c r="X224" s="8">
</c>
      <c r="Y224" s="8">
</c>
      <c r="Z224" s="8">
</c>
      <c r="AA224" s="8">
</c>
      <c r="AB224" s="8">
</c>
      <c r="AC224" s="8">
</c>
      <c r="AD224" s="8">
</c>
      <c r="AE224" s="8">
</c>
      <c r="AF224" s="8">
</c>
      <c r="AG224" s="8">
</c>
      <c r="AH224" s="8">
</c>
      <c r="AI224" s="8">
</c>
      <c r="AJ224" s="8">
</c>
      <c r="AK224" s="8">
</c>
    </row>
    <row r="225" ht="76.5" customHeight="1">
      <c r="A225">
</c>
      <c r="B225">
</c>
      <c r="C225" s="17">
</c>
      <c r="D225" s="17">
</c>
      <c r="E225">
</c>
      <c r="F225">
</c>
      <c r="G225" s="13" cm="1" t="str">
        <f t="array" ref="G225">IF(F225="","",SUBSTITUTE(SUBSTITUTE(SUBSTITUTE(SUBSTITUTE(F225,"&lt;li&gt;",CHAR(10)),"&lt;/li&gt;",""),"&lt;br&gt;",CHAR(10)),"&lt;strong&gt;",""))</f>
        <v/>
      </c>
      <c r="H225" s="13" cm="1" t="str">
        <f t="array" ref="H225">IF(G225="","",SUBSTITUTE(SUBSTITUTE(SUBSTITUTE(SUBSTITUTE(SUBSTITUTE(G225,"&lt;p&gt;",""),"&lt;/p&gt;",""),"&lt;ul&gt;",""),"&lt;/ul&gt;",""),"&lt;/strong&gt;",""))</f>
        <v/>
      </c>
      <c r="I225" s="14" cm="1" t="str">
        <f t="array" ref="I225">IF(C225="","",IF(OR(H225="",H225=0,H225=FALSE),"-",H225))</f>
        <v/>
      </c>
      <c r="J225">
</c>
      <c r="K225">
</c>
      <c r="L225" s="9" cm="1" t="str">
        <f t="array" ref="L225">IF(C225="","",IF(K225="Mort / Plus rien à faire","KO","OK"))</f>
        <v/>
      </c>
      <c r="M225" s="18">
</c>
      <c r="N225" s="15" cm="1" t="str">
        <f t="array" ref="N225">IF(OR(C225="",M225="",M225=0),"",M225)</f>
        <v/>
      </c>
      <c r="O225" s="18">
</c>
      <c r="P225" s="15" cm="1" t="str">
        <f t="array" ref="P225">IF(C225="","",IF(OR(O225="",O225=0),"-",O225))</f>
        <v/>
      </c>
      <c r="Q225" s="19">
</c>
      <c r="R225" s="16" cm="1" t="str">
        <f t="array" ref="R225">IF(C225="","",ROUND(Q225/1000000,3)&amp;" M€")</f>
        <v/>
      </c>
      <c r="S225" s="17">
</c>
      <c r="T225" s="9" cm="1" t="str">
        <f t="array" ref="T225">IF(C225="","",SUBSTITUTE(S225,"","")&amp;"%")</f>
        <v/>
      </c>
      <c r="U225" s="14" cm="1" t="str">
        <f t="array" ref="U225">IF(($N225="")*($P225=""),"",IF(($N225&lt;&gt;"")*($N225&gt;TODAY()-9)*($N225&lt;TODAY()+1)*($P225&lt;&gt;"")*($P225&gt;=TODAY())*($P225&lt;=TODAY()+13),"Semaine passée &amp; à venir",IF(($N225&lt;&gt;"")*($N225&gt;TODAY()-9)*($N225&lt;TODAY()+1),"Semaine passée",IF(($P225&lt;&gt;"")*($P225&gt;=TODAY())*($P225&lt;=TODAY()+13),"À venir","Autre"))))</f>
        <v/>
      </c>
      <c r="V225" s="8">
</c>
      <c r="W225" s="8">
</c>
      <c r="X225" s="8">
</c>
      <c r="Y225" s="8">
</c>
      <c r="Z225" s="8">
</c>
      <c r="AA225" s="8">
</c>
      <c r="AB225" s="8">
</c>
      <c r="AC225" s="8">
</c>
      <c r="AD225" s="8">
</c>
      <c r="AE225" s="8">
</c>
      <c r="AF225" s="8">
</c>
      <c r="AG225" s="8">
</c>
      <c r="AH225" s="8">
</c>
      <c r="AI225" s="8">
</c>
      <c r="AJ225" s="8">
</c>
      <c r="AK225" s="8">
</c>
    </row>
    <row r="226" ht="76.5" customHeight="1">
      <c r="A226">
</c>
      <c r="B226">
</c>
      <c r="C226" s="17">
</c>
      <c r="D226" s="17">
</c>
      <c r="E226">
</c>
      <c r="F226">
</c>
      <c r="G226" s="13" cm="1" t="str">
        <f t="array" ref="G226">IF(F226="","",SUBSTITUTE(SUBSTITUTE(SUBSTITUTE(SUBSTITUTE(F226,"&lt;li&gt;",CHAR(10)),"&lt;/li&gt;",""),"&lt;br&gt;",CHAR(10)),"&lt;strong&gt;",""))</f>
        <v/>
      </c>
      <c r="H226" s="13" cm="1" t="str">
        <f t="array" ref="H226">IF(G226="","",SUBSTITUTE(SUBSTITUTE(SUBSTITUTE(SUBSTITUTE(SUBSTITUTE(G226,"&lt;p&gt;",""),"&lt;/p&gt;",""),"&lt;ul&gt;",""),"&lt;/ul&gt;",""),"&lt;/strong&gt;",""))</f>
        <v/>
      </c>
      <c r="I226" s="14" cm="1" t="str">
        <f t="array" ref="I226">IF(C226="","",IF(OR(H226="",H226=0,H226=FALSE),"-",H226))</f>
        <v/>
      </c>
      <c r="J226">
</c>
      <c r="K226">
</c>
      <c r="L226" s="9" cm="1" t="str">
        <f t="array" ref="L226">IF(C226="","",IF(K226="Mort / Plus rien à faire","KO","OK"))</f>
        <v/>
      </c>
      <c r="M226" s="18">
</c>
      <c r="N226" s="15" cm="1" t="str">
        <f t="array" ref="N226">IF(OR(C226="",M226="",M226=0),"",M226)</f>
        <v/>
      </c>
      <c r="O226" s="18">
</c>
      <c r="P226" s="15" cm="1" t="str">
        <f t="array" ref="P226">IF(C226="","",IF(OR(O226="",O226=0),"-",O226))</f>
        <v/>
      </c>
      <c r="Q226" s="19">
</c>
      <c r="R226" s="16" cm="1" t="str">
        <f t="array" ref="R226">IF(C226="","",ROUND(Q226/1000000,3)&amp;" M€")</f>
        <v/>
      </c>
      <c r="S226" s="17">
</c>
      <c r="T226" s="9" cm="1" t="str">
        <f t="array" ref="T226">IF(C226="","",SUBSTITUTE(S226,"","")&amp;"%")</f>
        <v/>
      </c>
      <c r="U226" s="14" cm="1" t="str">
        <f t="array" ref="U226">IF(($N226="")*($P226=""),"",IF(($N226&lt;&gt;"")*($N226&gt;TODAY()-9)*($N226&lt;TODAY()+1)*($P226&lt;&gt;"")*($P226&gt;=TODAY())*($P226&lt;=TODAY()+13),"Semaine passée &amp; à venir",IF(($N226&lt;&gt;"")*($N226&gt;TODAY()-9)*($N226&lt;TODAY()+1),"Semaine passée",IF(($P226&lt;&gt;"")*($P226&gt;=TODAY())*($P226&lt;=TODAY()+13),"À venir","Autre"))))</f>
        <v/>
      </c>
      <c r="V226" s="8">
</c>
      <c r="W226" s="8">
</c>
      <c r="X226" s="8">
</c>
      <c r="Y226" s="8">
</c>
      <c r="Z226" s="8">
</c>
      <c r="AA226" s="8">
</c>
      <c r="AB226" s="8">
</c>
      <c r="AC226" s="8">
</c>
      <c r="AD226" s="8">
</c>
      <c r="AE226" s="8">
</c>
      <c r="AF226" s="8">
</c>
      <c r="AG226" s="8">
</c>
      <c r="AH226" s="8">
</c>
      <c r="AI226" s="8">
</c>
      <c r="AJ226" s="8">
</c>
      <c r="AK226" s="8">
</c>
    </row>
    <row r="227" ht="76.5" customHeight="1">
      <c r="A227">
</c>
      <c r="B227">
</c>
      <c r="C227" s="17">
</c>
      <c r="D227" s="17">
</c>
      <c r="E227">
</c>
      <c r="F227">
</c>
      <c r="G227" s="13" cm="1" t="str">
        <f t="array" ref="G227">IF(F227="","",SUBSTITUTE(SUBSTITUTE(SUBSTITUTE(SUBSTITUTE(F227,"&lt;li&gt;",CHAR(10)),"&lt;/li&gt;",""),"&lt;br&gt;",CHAR(10)),"&lt;strong&gt;",""))</f>
        <v/>
      </c>
      <c r="H227" s="13" cm="1" t="str">
        <f t="array" ref="H227">IF(G227="","",SUBSTITUTE(SUBSTITUTE(SUBSTITUTE(SUBSTITUTE(SUBSTITUTE(G227,"&lt;p&gt;",""),"&lt;/p&gt;",""),"&lt;ul&gt;",""),"&lt;/ul&gt;",""),"&lt;/strong&gt;",""))</f>
        <v/>
      </c>
      <c r="I227" s="14" cm="1" t="str">
        <f t="array" ref="I227">IF(C227="","",IF(OR(H227="",H227=0,H227=FALSE),"-",H227))</f>
        <v/>
      </c>
      <c r="J227">
</c>
      <c r="K227">
</c>
      <c r="L227" s="9" cm="1" t="str">
        <f t="array" ref="L227">IF(C227="","",IF(K227="Mort / Plus rien à faire","KO","OK"))</f>
        <v/>
      </c>
      <c r="M227" s="18">
</c>
      <c r="N227" s="15" cm="1" t="str">
        <f t="array" ref="N227">IF(OR(C227="",M227="",M227=0),"",M227)</f>
        <v/>
      </c>
      <c r="O227" s="18">
</c>
      <c r="P227" s="15" cm="1" t="str">
        <f t="array" ref="P227">IF(C227="","",IF(OR(O227="",O227=0),"-",O227))</f>
        <v/>
      </c>
      <c r="Q227" s="19">
</c>
      <c r="R227" s="16" cm="1" t="str">
        <f t="array" ref="R227">IF(C227="","",ROUND(Q227/1000000,3)&amp;" M€")</f>
        <v/>
      </c>
      <c r="S227" s="17">
</c>
      <c r="T227" s="9" cm="1" t="str">
        <f t="array" ref="T227">IF(C227="","",SUBSTITUTE(S227,"","")&amp;"%")</f>
        <v/>
      </c>
      <c r="U227" s="14" cm="1" t="str">
        <f t="array" ref="U227">IF(($N227="")*($P227=""),"",IF(($N227&lt;&gt;"")*($N227&gt;TODAY()-9)*($N227&lt;TODAY()+1)*($P227&lt;&gt;"")*($P227&gt;=TODAY())*($P227&lt;=TODAY()+13),"Semaine passée &amp; à venir",IF(($N227&lt;&gt;"")*($N227&gt;TODAY()-9)*($N227&lt;TODAY()+1),"Semaine passée",IF(($P227&lt;&gt;"")*($P227&gt;=TODAY())*($P227&lt;=TODAY()+13),"À venir","Autre"))))</f>
        <v/>
      </c>
      <c r="V227" s="8">
</c>
      <c r="W227" s="8">
</c>
      <c r="X227" s="8">
</c>
      <c r="Y227" s="8">
</c>
      <c r="Z227" s="8">
</c>
      <c r="AA227" s="8">
</c>
      <c r="AB227" s="8">
</c>
      <c r="AC227" s="8">
</c>
      <c r="AD227" s="8">
</c>
      <c r="AE227" s="8">
</c>
      <c r="AF227" s="8">
</c>
      <c r="AG227" s="8">
</c>
      <c r="AH227" s="8">
</c>
      <c r="AI227" s="8">
</c>
      <c r="AJ227" s="8">
</c>
      <c r="AK227" s="8">
</c>
    </row>
    <row r="228" ht="76.5" customHeight="1">
      <c r="A228">
</c>
      <c r="B228">
</c>
      <c r="C228" s="17">
</c>
      <c r="D228" s="17">
</c>
      <c r="E228">
</c>
      <c r="F228">
</c>
      <c r="G228" s="13" cm="1" t="str">
        <f t="array" ref="G228">IF(F228="","",SUBSTITUTE(SUBSTITUTE(SUBSTITUTE(SUBSTITUTE(F228,"&lt;li&gt;",CHAR(10)),"&lt;/li&gt;",""),"&lt;br&gt;",CHAR(10)),"&lt;strong&gt;",""))</f>
        <v/>
      </c>
      <c r="H228" s="13" cm="1" t="str">
        <f t="array" ref="H228">IF(G228="","",SUBSTITUTE(SUBSTITUTE(SUBSTITUTE(SUBSTITUTE(SUBSTITUTE(G228,"&lt;p&gt;",""),"&lt;/p&gt;",""),"&lt;ul&gt;",""),"&lt;/ul&gt;",""),"&lt;/strong&gt;",""))</f>
        <v/>
      </c>
      <c r="I228" s="14" cm="1" t="str">
        <f t="array" ref="I228">IF(C228="","",IF(OR(H228="",H228=0,H228=FALSE),"-",H228))</f>
        <v/>
      </c>
      <c r="J228">
</c>
      <c r="K228">
</c>
      <c r="L228" s="9" cm="1" t="str">
        <f t="array" ref="L228">IF(C228="","",IF(K228="Mort / Plus rien à faire","KO","OK"))</f>
        <v/>
      </c>
      <c r="M228" s="18">
</c>
      <c r="N228" s="15" cm="1" t="str">
        <f t="array" ref="N228">IF(OR(C228="",M228="",M228=0),"",M228)</f>
        <v/>
      </c>
      <c r="O228" s="18">
</c>
      <c r="P228" s="15" cm="1" t="str">
        <f t="array" ref="P228">IF(C228="","",IF(OR(O228="",O228=0),"-",O228))</f>
        <v/>
      </c>
      <c r="Q228" s="19">
</c>
      <c r="R228" s="16" cm="1" t="str">
        <f t="array" ref="R228">IF(C228="","",ROUND(Q228/1000000,3)&amp;" M€")</f>
        <v/>
      </c>
      <c r="S228" s="17">
</c>
      <c r="T228" s="9" cm="1" t="str">
        <f t="array" ref="T228">IF(C228="","",SUBSTITUTE(S228,"","")&amp;"%")</f>
        <v/>
      </c>
      <c r="U228" s="14" cm="1" t="str">
        <f t="array" ref="U228">IF(($N228="")*($P228=""),"",IF(($N228&lt;&gt;"")*($N228&gt;TODAY()-9)*($N228&lt;TODAY()+1)*($P228&lt;&gt;"")*($P228&gt;=TODAY())*($P228&lt;=TODAY()+13),"Semaine passée &amp; à venir",IF(($N228&lt;&gt;"")*($N228&gt;TODAY()-9)*($N228&lt;TODAY()+1),"Semaine passée",IF(($P228&lt;&gt;"")*($P228&gt;=TODAY())*($P228&lt;=TODAY()+13),"À venir","Autre"))))</f>
        <v/>
      </c>
      <c r="V228" s="8">
</c>
      <c r="W228" s="8">
</c>
      <c r="X228" s="8">
</c>
      <c r="Y228" s="8">
</c>
      <c r="Z228" s="8">
</c>
      <c r="AA228" s="8">
</c>
      <c r="AB228" s="8">
</c>
      <c r="AC228" s="8">
</c>
      <c r="AD228" s="8">
</c>
      <c r="AE228" s="8">
</c>
      <c r="AF228" s="8">
</c>
      <c r="AG228" s="8">
</c>
      <c r="AH228" s="8">
</c>
      <c r="AI228" s="8">
</c>
      <c r="AJ228" s="8">
</c>
      <c r="AK228" s="8">
</c>
    </row>
    <row r="229" ht="76.5" customHeight="1">
      <c r="A229">
</c>
      <c r="B229">
</c>
      <c r="C229" s="17">
</c>
      <c r="D229" s="17">
</c>
      <c r="E229">
</c>
      <c r="F229">
</c>
      <c r="G229" s="13" cm="1" t="str">
        <f t="array" ref="G229">IF(F229="","",SUBSTITUTE(SUBSTITUTE(SUBSTITUTE(SUBSTITUTE(F229,"&lt;li&gt;",CHAR(10)),"&lt;/li&gt;",""),"&lt;br&gt;",CHAR(10)),"&lt;strong&gt;",""))</f>
        <v/>
      </c>
      <c r="H229" s="13" cm="1" t="str">
        <f t="array" ref="H229">IF(G229="","",SUBSTITUTE(SUBSTITUTE(SUBSTITUTE(SUBSTITUTE(SUBSTITUTE(G229,"&lt;p&gt;",""),"&lt;/p&gt;",""),"&lt;ul&gt;",""),"&lt;/ul&gt;",""),"&lt;/strong&gt;",""))</f>
        <v/>
      </c>
      <c r="I229" s="14" cm="1" t="str">
        <f t="array" ref="I229">IF(C229="","",IF(OR(H229="",H229=0,H229=FALSE),"-",H229))</f>
        <v/>
      </c>
      <c r="J229">
</c>
      <c r="K229">
</c>
      <c r="L229" s="9" cm="1" t="str">
        <f t="array" ref="L229">IF(C229="","",IF(K229="Mort / Plus rien à faire","KO","OK"))</f>
        <v/>
      </c>
      <c r="M229" s="18">
</c>
      <c r="N229" s="15" cm="1" t="str">
        <f t="array" ref="N229">IF(OR(C229="",M229="",M229=0),"",M229)</f>
        <v/>
      </c>
      <c r="O229" s="18">
</c>
      <c r="P229" s="15" cm="1" t="str">
        <f t="array" ref="P229">IF(C229="","",IF(OR(O229="",O229=0),"-",O229))</f>
        <v/>
      </c>
      <c r="Q229" s="19">
</c>
      <c r="R229" s="16" cm="1" t="str">
        <f t="array" ref="R229">IF(C229="","",ROUND(Q229/1000000,3)&amp;" M€")</f>
        <v/>
      </c>
      <c r="S229" s="17">
</c>
      <c r="T229" s="9" cm="1" t="str">
        <f t="array" ref="T229">IF(C229="","",SUBSTITUTE(S229,"","")&amp;"%")</f>
        <v/>
      </c>
      <c r="U229" s="14" cm="1" t="str">
        <f t="array" ref="U229">IF(($N229="")*($P229=""),"",IF(($N229&lt;&gt;"")*($N229&gt;TODAY()-9)*($N229&lt;TODAY()+1)*($P229&lt;&gt;"")*($P229&gt;=TODAY())*($P229&lt;=TODAY()+13),"Semaine passée &amp; à venir",IF(($N229&lt;&gt;"")*($N229&gt;TODAY()-9)*($N229&lt;TODAY()+1),"Semaine passée",IF(($P229&lt;&gt;"")*($P229&gt;=TODAY())*($P229&lt;=TODAY()+13),"À venir","Autre"))))</f>
        <v/>
      </c>
      <c r="V229" s="8">
</c>
      <c r="W229" s="8">
</c>
      <c r="X229" s="8">
</c>
      <c r="Y229" s="8">
</c>
      <c r="Z229" s="8">
</c>
      <c r="AA229" s="8">
</c>
      <c r="AB229" s="8">
</c>
      <c r="AC229" s="8">
</c>
      <c r="AD229" s="8">
</c>
      <c r="AE229" s="8">
</c>
      <c r="AF229" s="8">
</c>
      <c r="AG229" s="8">
</c>
      <c r="AH229" s="8">
</c>
      <c r="AI229" s="8">
</c>
      <c r="AJ229" s="8">
</c>
      <c r="AK229" s="8">
</c>
    </row>
    <row r="230" ht="76.5" customHeight="1">
      <c r="A230">
</c>
      <c r="B230">
</c>
      <c r="C230" s="17">
</c>
      <c r="D230" s="17">
</c>
      <c r="E230">
</c>
      <c r="F230">
</c>
      <c r="G230" s="13" cm="1" t="str">
        <f t="array" ref="G230">IF(F230="","",SUBSTITUTE(SUBSTITUTE(SUBSTITUTE(SUBSTITUTE(F230,"&lt;li&gt;",CHAR(10)),"&lt;/li&gt;",""),"&lt;br&gt;",CHAR(10)),"&lt;strong&gt;",""))</f>
        <v/>
      </c>
      <c r="H230" s="13" cm="1" t="str">
        <f t="array" ref="H230">IF(G230="","",SUBSTITUTE(SUBSTITUTE(SUBSTITUTE(SUBSTITUTE(SUBSTITUTE(G230,"&lt;p&gt;",""),"&lt;/p&gt;",""),"&lt;ul&gt;",""),"&lt;/ul&gt;",""),"&lt;/strong&gt;",""))</f>
        <v/>
      </c>
      <c r="I230" s="14" cm="1" t="str">
        <f t="array" ref="I230">IF(C230="","",IF(OR(H230="",H230=0,H230=FALSE),"-",H230))</f>
        <v/>
      </c>
      <c r="J230">
</c>
      <c r="K230">
</c>
      <c r="L230" s="9" cm="1" t="str">
        <f t="array" ref="L230">IF(C230="","",IF(K230="Mort / Plus rien à faire","KO","OK"))</f>
        <v/>
      </c>
      <c r="M230" s="18">
</c>
      <c r="N230" s="15" cm="1" t="str">
        <f t="array" ref="N230">IF(OR(C230="",M230="",M230=0),"",M230)</f>
        <v/>
      </c>
      <c r="O230" s="18">
</c>
      <c r="P230" s="15" cm="1" t="str">
        <f t="array" ref="P230">IF(C230="","",IF(OR(O230="",O230=0),"-",O230))</f>
        <v/>
      </c>
      <c r="Q230" s="19">
</c>
      <c r="R230" s="16" cm="1" t="str">
        <f t="array" ref="R230">IF(C230="","",ROUND(Q230/1000000,3)&amp;" M€")</f>
        <v/>
      </c>
      <c r="S230" s="17">
</c>
      <c r="T230" s="9" cm="1" t="str">
        <f t="array" ref="T230">IF(C230="","",SUBSTITUTE(S230,"","")&amp;"%")</f>
        <v/>
      </c>
      <c r="U230" s="14" cm="1" t="str">
        <f t="array" ref="U230">IF(($N230="")*($P230=""),"",IF(($N230&lt;&gt;"")*($N230&gt;TODAY()-9)*($N230&lt;TODAY()+1)*($P230&lt;&gt;"")*($P230&gt;=TODAY())*($P230&lt;=TODAY()+13),"Semaine passée &amp; à venir",IF(($N230&lt;&gt;"")*($N230&gt;TODAY()-9)*($N230&lt;TODAY()+1),"Semaine passée",IF(($P230&lt;&gt;"")*($P230&gt;=TODAY())*($P230&lt;=TODAY()+13),"À venir","Autre"))))</f>
        <v/>
      </c>
      <c r="V230" s="8">
</c>
      <c r="W230" s="8">
</c>
      <c r="X230" s="8">
</c>
      <c r="Y230" s="8">
</c>
      <c r="Z230" s="8">
</c>
      <c r="AA230" s="8">
</c>
      <c r="AB230" s="8">
</c>
      <c r="AC230" s="8">
</c>
      <c r="AD230" s="8">
</c>
      <c r="AE230" s="8">
</c>
      <c r="AF230" s="8">
</c>
      <c r="AG230" s="8">
</c>
      <c r="AH230" s="8">
</c>
      <c r="AI230" s="8">
</c>
      <c r="AJ230" s="8">
</c>
      <c r="AK230" s="8">
</c>
    </row>
    <row r="231" ht="76.5" customHeight="1">
      <c r="A231">
</c>
      <c r="B231">
</c>
      <c r="C231" s="17">
</c>
      <c r="D231" s="17">
</c>
      <c r="E231">
</c>
      <c r="F231">
</c>
      <c r="G231" s="13" cm="1" t="str">
        <f t="array" ref="G231">IF(F231="","",SUBSTITUTE(SUBSTITUTE(SUBSTITUTE(SUBSTITUTE(F231,"&lt;li&gt;",CHAR(10)),"&lt;/li&gt;",""),"&lt;br&gt;",CHAR(10)),"&lt;strong&gt;",""))</f>
        <v/>
      </c>
      <c r="H231" s="13" cm="1" t="str">
        <f t="array" ref="H231">IF(G231="","",SUBSTITUTE(SUBSTITUTE(SUBSTITUTE(SUBSTITUTE(SUBSTITUTE(G231,"&lt;p&gt;",""),"&lt;/p&gt;",""),"&lt;ul&gt;",""),"&lt;/ul&gt;",""),"&lt;/strong&gt;",""))</f>
        <v/>
      </c>
      <c r="I231" s="14" cm="1" t="str">
        <f t="array" ref="I231">IF(C231="","",IF(OR(H231="",H231=0,H231=FALSE),"-",H231))</f>
        <v/>
      </c>
      <c r="J231">
</c>
      <c r="K231">
</c>
      <c r="L231" s="9" cm="1" t="str">
        <f t="array" ref="L231">IF(C231="","",IF(K231="Mort / Plus rien à faire","KO","OK"))</f>
        <v/>
      </c>
      <c r="M231" s="18">
</c>
      <c r="N231" s="15" cm="1" t="str">
        <f t="array" ref="N231">IF(OR(C231="",M231="",M231=0),"",M231)</f>
        <v/>
      </c>
      <c r="O231" s="18">
</c>
      <c r="P231" s="15" cm="1" t="str">
        <f t="array" ref="P231">IF(C231="","",IF(OR(O231="",O231=0),"-",O231))</f>
        <v/>
      </c>
      <c r="Q231" s="19">
</c>
      <c r="R231" s="16" cm="1" t="str">
        <f t="array" ref="R231">IF(C231="","",ROUND(Q231/1000000,3)&amp;" M€")</f>
        <v/>
      </c>
      <c r="S231" s="17">
</c>
      <c r="T231" s="9" cm="1" t="str">
        <f t="array" ref="T231">IF(C231="","",SUBSTITUTE(S231,"","")&amp;"%")</f>
        <v/>
      </c>
      <c r="U231" s="14" cm="1" t="str">
        <f t="array" ref="U231">IF(($N231="")*($P231=""),"",IF(($N231&lt;&gt;"")*($N231&gt;TODAY()-9)*($N231&lt;TODAY()+1)*($P231&lt;&gt;"")*($P231&gt;=TODAY())*($P231&lt;=TODAY()+13),"Semaine passée &amp; à venir",IF(($N231&lt;&gt;"")*($N231&gt;TODAY()-9)*($N231&lt;TODAY()+1),"Semaine passée",IF(($P231&lt;&gt;"")*($P231&gt;=TODAY())*($P231&lt;=TODAY()+13),"À venir","Autre"))))</f>
        <v/>
      </c>
      <c r="V231" s="8">
</c>
      <c r="W231" s="8">
</c>
      <c r="X231" s="8">
</c>
      <c r="Y231" s="8">
</c>
      <c r="Z231" s="8">
</c>
      <c r="AA231" s="8">
</c>
      <c r="AB231" s="8">
</c>
      <c r="AC231" s="8">
</c>
      <c r="AD231" s="8">
</c>
      <c r="AE231" s="8">
</c>
      <c r="AF231" s="8">
</c>
      <c r="AG231" s="8">
</c>
      <c r="AH231" s="8">
</c>
      <c r="AI231" s="8">
</c>
      <c r="AJ231" s="8">
</c>
      <c r="AK231" s="8">
</c>
    </row>
    <row r="232" ht="76.5" customHeight="1">
      <c r="A232">
</c>
      <c r="B232">
</c>
      <c r="C232" s="17">
</c>
      <c r="D232" s="17">
</c>
      <c r="E232">
</c>
      <c r="F232">
</c>
      <c r="G232" s="13" cm="1" t="str">
        <f t="array" ref="G232">IF(F232="","",SUBSTITUTE(SUBSTITUTE(SUBSTITUTE(SUBSTITUTE(F232,"&lt;li&gt;",CHAR(10)),"&lt;/li&gt;",""),"&lt;br&gt;",CHAR(10)),"&lt;strong&gt;",""))</f>
        <v/>
      </c>
      <c r="H232" s="13" cm="1" t="str">
        <f t="array" ref="H232">IF(G232="","",SUBSTITUTE(SUBSTITUTE(SUBSTITUTE(SUBSTITUTE(SUBSTITUTE(G232,"&lt;p&gt;",""),"&lt;/p&gt;",""),"&lt;ul&gt;",""),"&lt;/ul&gt;",""),"&lt;/strong&gt;",""))</f>
        <v/>
      </c>
      <c r="I232" s="14" cm="1" t="str">
        <f t="array" ref="I232">IF(C232="","",IF(OR(H232="",H232=0,H232=FALSE),"-",H232))</f>
        <v/>
      </c>
      <c r="J232">
</c>
      <c r="K232">
</c>
      <c r="L232" s="9" cm="1" t="str">
        <f t="array" ref="L232">IF(C232="","",IF(K232="Mort / Plus rien à faire","KO","OK"))</f>
        <v/>
      </c>
      <c r="M232" s="18">
</c>
      <c r="N232" s="15" cm="1" t="str">
        <f t="array" ref="N232">IF(OR(C232="",M232="",M232=0),"",M232)</f>
        <v/>
      </c>
      <c r="O232" s="18">
</c>
      <c r="P232" s="15" cm="1" t="str">
        <f t="array" ref="P232">IF(C232="","",IF(OR(O232="",O232=0),"-",O232))</f>
        <v/>
      </c>
      <c r="Q232" s="19">
</c>
      <c r="R232" s="16" cm="1" t="str">
        <f t="array" ref="R232">IF(C232="","",ROUND(Q232/1000000,3)&amp;" M€")</f>
        <v/>
      </c>
      <c r="S232" s="17">
</c>
      <c r="T232" s="9" cm="1" t="str">
        <f t="array" ref="T232">IF(C232="","",SUBSTITUTE(S232,"","")&amp;"%")</f>
        <v/>
      </c>
      <c r="U232" s="14" cm="1" t="str">
        <f t="array" ref="U232">IF(($N232="")*($P232=""),"",IF(($N232&lt;&gt;"")*($N232&gt;TODAY()-9)*($N232&lt;TODAY()+1)*($P232&lt;&gt;"")*($P232&gt;=TODAY())*($P232&lt;=TODAY()+13),"Semaine passée &amp; à venir",IF(($N232&lt;&gt;"")*($N232&gt;TODAY()-9)*($N232&lt;TODAY()+1),"Semaine passée",IF(($P232&lt;&gt;"")*($P232&gt;=TODAY())*($P232&lt;=TODAY()+13),"À venir","Autre"))))</f>
        <v/>
      </c>
      <c r="V232" s="8">
</c>
      <c r="W232" s="8">
</c>
      <c r="X232" s="8">
</c>
      <c r="Y232" s="8">
</c>
      <c r="Z232" s="8">
</c>
      <c r="AA232" s="8">
</c>
      <c r="AB232" s="8">
</c>
      <c r="AC232" s="8">
</c>
      <c r="AD232" s="8">
</c>
      <c r="AE232" s="8">
</c>
      <c r="AF232" s="8">
</c>
      <c r="AG232" s="8">
</c>
      <c r="AH232" s="8">
</c>
      <c r="AI232" s="8">
</c>
      <c r="AJ232" s="8">
</c>
      <c r="AK232" s="8">
</c>
    </row>
    <row r="233" ht="76.5" customHeight="1">
      <c r="A233">
</c>
      <c r="B233">
</c>
      <c r="C233" s="17">
</c>
      <c r="D233" s="17">
</c>
      <c r="E233">
</c>
      <c r="F233">
</c>
      <c r="G233" s="13" cm="1" t="str">
        <f t="array" ref="G233">IF(F233="","",SUBSTITUTE(SUBSTITUTE(SUBSTITUTE(SUBSTITUTE(F233,"&lt;li&gt;",CHAR(10)),"&lt;/li&gt;",""),"&lt;br&gt;",CHAR(10)),"&lt;strong&gt;",""))</f>
        <v/>
      </c>
      <c r="H233" s="13" cm="1" t="str">
        <f t="array" ref="H233">IF(G233="","",SUBSTITUTE(SUBSTITUTE(SUBSTITUTE(SUBSTITUTE(SUBSTITUTE(G233,"&lt;p&gt;",""),"&lt;/p&gt;",""),"&lt;ul&gt;",""),"&lt;/ul&gt;",""),"&lt;/strong&gt;",""))</f>
        <v/>
      </c>
      <c r="I233" s="14" cm="1" t="str">
        <f t="array" ref="I233">IF(C233="","",IF(OR(H233="",H233=0,H233=FALSE),"-",H233))</f>
        <v/>
      </c>
      <c r="J233">
</c>
      <c r="K233">
</c>
      <c r="L233" s="9" cm="1" t="str">
        <f t="array" ref="L233">IF(C233="","",IF(K233="Mort / Plus rien à faire","KO","OK"))</f>
        <v/>
      </c>
      <c r="M233" s="18">
</c>
      <c r="N233" s="15" cm="1" t="str">
        <f t="array" ref="N233">IF(OR(C233="",M233="",M233=0),"",M233)</f>
        <v/>
      </c>
      <c r="O233" s="18">
</c>
      <c r="P233" s="15" cm="1" t="str">
        <f t="array" ref="P233">IF(C233="","",IF(OR(O233="",O233=0),"-",O233))</f>
        <v/>
      </c>
      <c r="Q233" s="19">
</c>
      <c r="R233" s="16" cm="1" t="str">
        <f t="array" ref="R233">IF(C233="","",ROUND(Q233/1000000,3)&amp;" M€")</f>
        <v/>
      </c>
      <c r="S233" s="17">
</c>
      <c r="T233" s="9" cm="1" t="str">
        <f t="array" ref="T233">IF(C233="","",SUBSTITUTE(S233,"","")&amp;"%")</f>
        <v/>
      </c>
      <c r="U233" s="14" cm="1" t="str">
        <f t="array" ref="U233">IF(($N233="")*($P233=""),"",IF(($N233&lt;&gt;"")*($N233&gt;TODAY()-9)*($N233&lt;TODAY()+1)*($P233&lt;&gt;"")*($P233&gt;=TODAY())*($P233&lt;=TODAY()+13),"Semaine passée &amp; à venir",IF(($N233&lt;&gt;"")*($N233&gt;TODAY()-9)*($N233&lt;TODAY()+1),"Semaine passée",IF(($P233&lt;&gt;"")*($P233&gt;=TODAY())*($P233&lt;=TODAY()+13),"À venir","Autre"))))</f>
        <v/>
      </c>
      <c r="V233" s="8">
</c>
      <c r="W233" s="8">
</c>
      <c r="X233" s="8">
</c>
      <c r="Y233" s="8">
</c>
      <c r="Z233" s="8">
</c>
      <c r="AA233" s="8">
</c>
      <c r="AB233" s="8">
</c>
      <c r="AC233" s="8">
</c>
      <c r="AD233" s="8">
</c>
      <c r="AE233" s="8">
</c>
      <c r="AF233" s="8">
</c>
      <c r="AG233" s="8">
</c>
      <c r="AH233" s="8">
</c>
      <c r="AI233" s="8">
</c>
      <c r="AJ233" s="8">
</c>
      <c r="AK233" s="8">
</c>
    </row>
    <row r="234" ht="76.5" customHeight="1">
      <c r="A234">
</c>
      <c r="B234">
</c>
      <c r="C234" s="17">
</c>
      <c r="D234" s="17">
</c>
      <c r="E234">
</c>
      <c r="F234">
</c>
      <c r="G234" s="13" cm="1" t="str">
        <f t="array" ref="G234">IF(F234="","",SUBSTITUTE(SUBSTITUTE(SUBSTITUTE(SUBSTITUTE(F234,"&lt;li&gt;",CHAR(10)),"&lt;/li&gt;",""),"&lt;br&gt;",CHAR(10)),"&lt;strong&gt;",""))</f>
        <v/>
      </c>
      <c r="H234" s="13" cm="1" t="str">
        <f t="array" ref="H234">IF(G234="","",SUBSTITUTE(SUBSTITUTE(SUBSTITUTE(SUBSTITUTE(SUBSTITUTE(G234,"&lt;p&gt;",""),"&lt;/p&gt;",""),"&lt;ul&gt;",""),"&lt;/ul&gt;",""),"&lt;/strong&gt;",""))</f>
        <v/>
      </c>
      <c r="I234" s="14" cm="1" t="str">
        <f t="array" ref="I234">IF(C234="","",IF(OR(H234="",H234=0,H234=FALSE),"-",H234))</f>
        <v/>
      </c>
      <c r="J234">
</c>
      <c r="K234">
</c>
      <c r="L234" s="9" cm="1" t="str">
        <f t="array" ref="L234">IF(C234="","",IF(K234="Mort / Plus rien à faire","KO","OK"))</f>
        <v/>
      </c>
      <c r="M234" s="18">
</c>
      <c r="N234" s="15" cm="1" t="str">
        <f t="array" ref="N234">IF(OR(C234="",M234="",M234=0),"",M234)</f>
        <v/>
      </c>
      <c r="O234" s="18">
</c>
      <c r="P234" s="15" cm="1" t="str">
        <f t="array" ref="P234">IF(C234="","",IF(OR(O234="",O234=0),"-",O234))</f>
        <v/>
      </c>
      <c r="Q234" s="19">
</c>
      <c r="R234" s="16" cm="1" t="str">
        <f t="array" ref="R234">IF(C234="","",ROUND(Q234/1000000,3)&amp;" M€")</f>
        <v/>
      </c>
      <c r="S234" s="17">
</c>
      <c r="T234" s="9" cm="1" t="str">
        <f t="array" ref="T234">IF(C234="","",SUBSTITUTE(S234,"","")&amp;"%")</f>
        <v/>
      </c>
      <c r="U234" s="14" cm="1" t="str">
        <f t="array" ref="U234">IF(($N234="")*($P234=""),"",IF(($N234&lt;&gt;"")*($N234&gt;TODAY()-9)*($N234&lt;TODAY()+1)*($P234&lt;&gt;"")*($P234&gt;=TODAY())*($P234&lt;=TODAY()+13),"Semaine passée &amp; à venir",IF(($N234&lt;&gt;"")*($N234&gt;TODAY()-9)*($N234&lt;TODAY()+1),"Semaine passée",IF(($P234&lt;&gt;"")*($P234&gt;=TODAY())*($P234&lt;=TODAY()+13),"À venir","Autre"))))</f>
        <v/>
      </c>
      <c r="V234" s="8">
</c>
      <c r="W234" s="8">
</c>
      <c r="X234" s="8">
</c>
      <c r="Y234" s="8">
</c>
      <c r="Z234" s="8">
</c>
      <c r="AA234" s="8">
</c>
      <c r="AB234" s="8">
</c>
      <c r="AC234" s="8">
</c>
      <c r="AD234" s="8">
</c>
      <c r="AE234" s="8">
</c>
      <c r="AF234" s="8">
</c>
      <c r="AG234" s="8">
</c>
      <c r="AH234" s="8">
</c>
      <c r="AI234" s="8">
</c>
      <c r="AJ234" s="8">
</c>
      <c r="AK234" s="8">
</c>
    </row>
    <row r="235" ht="76.5" customHeight="1">
      <c r="A235">
</c>
      <c r="B235">
</c>
      <c r="C235" s="17">
</c>
      <c r="D235" s="17">
</c>
      <c r="E235">
</c>
      <c r="F235">
</c>
      <c r="G235" s="13" cm="1" t="str">
        <f t="array" ref="G235">IF(F235="","",SUBSTITUTE(SUBSTITUTE(SUBSTITUTE(SUBSTITUTE(F235,"&lt;li&gt;",CHAR(10)),"&lt;/li&gt;",""),"&lt;br&gt;",CHAR(10)),"&lt;strong&gt;",""))</f>
        <v/>
      </c>
      <c r="H235" s="13" cm="1" t="str">
        <f t="array" ref="H235">IF(G235="","",SUBSTITUTE(SUBSTITUTE(SUBSTITUTE(SUBSTITUTE(SUBSTITUTE(G235,"&lt;p&gt;",""),"&lt;/p&gt;",""),"&lt;ul&gt;",""),"&lt;/ul&gt;",""),"&lt;/strong&gt;",""))</f>
        <v/>
      </c>
      <c r="I235" s="14" cm="1" t="str">
        <f t="array" ref="I235">IF(C235="","",IF(OR(H235="",H235=0,H235=FALSE),"-",H235))</f>
        <v/>
      </c>
      <c r="J235">
</c>
      <c r="K235">
</c>
      <c r="L235" s="9" cm="1" t="str">
        <f t="array" ref="L235">IF(C235="","",IF(K235="Mort / Plus rien à faire","KO","OK"))</f>
        <v/>
      </c>
      <c r="M235" s="18">
</c>
      <c r="N235" s="15" cm="1" t="str">
        <f t="array" ref="N235">IF(OR(C235="",M235="",M235=0),"",M235)</f>
        <v/>
      </c>
      <c r="O235" s="18">
</c>
      <c r="P235" s="15" cm="1" t="str">
        <f t="array" ref="P235">IF(C235="","",IF(OR(O235="",O235=0),"-",O235))</f>
        <v/>
      </c>
      <c r="Q235" s="19">
</c>
      <c r="R235" s="16" cm="1" t="str">
        <f t="array" ref="R235">IF(C235="","",ROUND(Q235/1000000,3)&amp;" M€")</f>
        <v/>
      </c>
      <c r="S235" s="17">
</c>
      <c r="T235" s="9" cm="1" t="str">
        <f t="array" ref="T235">IF(C235="","",SUBSTITUTE(S235,"","")&amp;"%")</f>
        <v/>
      </c>
      <c r="U235" s="14" cm="1" t="str">
        <f t="array" ref="U235">IF(($N235="")*($P235=""),"",IF(($N235&lt;&gt;"")*($N235&gt;TODAY()-9)*($N235&lt;TODAY()+1)*($P235&lt;&gt;"")*($P235&gt;=TODAY())*($P235&lt;=TODAY()+13),"Semaine passée &amp; à venir",IF(($N235&lt;&gt;"")*($N235&gt;TODAY()-9)*($N235&lt;TODAY()+1),"Semaine passée",IF(($P235&lt;&gt;"")*($P235&gt;=TODAY())*($P235&lt;=TODAY()+13),"À venir","Autre"))))</f>
        <v/>
      </c>
      <c r="V235" s="8">
</c>
      <c r="W235" s="8">
</c>
      <c r="X235" s="8">
</c>
      <c r="Y235" s="8">
</c>
      <c r="Z235" s="8">
</c>
      <c r="AA235" s="8">
</c>
      <c r="AB235" s="8">
</c>
      <c r="AC235" s="8">
</c>
      <c r="AD235" s="8">
</c>
      <c r="AE235" s="8">
</c>
      <c r="AF235" s="8">
</c>
      <c r="AG235" s="8">
</c>
      <c r="AH235" s="8">
</c>
      <c r="AI235" s="8">
</c>
      <c r="AJ235" s="8">
</c>
      <c r="AK235" s="8">
</c>
    </row>
    <row r="236" ht="76.5" customHeight="1">
      <c r="A236">
</c>
      <c r="B236">
</c>
      <c r="C236" s="17">
</c>
      <c r="D236" s="17">
</c>
      <c r="E236">
</c>
      <c r="F236">
</c>
      <c r="G236" s="13" cm="1" t="str">
        <f t="array" ref="G236">IF(F236="","",SUBSTITUTE(SUBSTITUTE(SUBSTITUTE(SUBSTITUTE(F236,"&lt;li&gt;",CHAR(10)),"&lt;/li&gt;",""),"&lt;br&gt;",CHAR(10)),"&lt;strong&gt;",""))</f>
        <v/>
      </c>
      <c r="H236" s="13" cm="1" t="str">
        <f t="array" ref="H236">IF(G236="","",SUBSTITUTE(SUBSTITUTE(SUBSTITUTE(SUBSTITUTE(SUBSTITUTE(G236,"&lt;p&gt;",""),"&lt;/p&gt;",""),"&lt;ul&gt;",""),"&lt;/ul&gt;",""),"&lt;/strong&gt;",""))</f>
        <v/>
      </c>
      <c r="I236" s="14" cm="1" t="str">
        <f t="array" ref="I236">IF(C236="","",IF(OR(H236="",H236=0,H236=FALSE),"-",H236))</f>
        <v/>
      </c>
      <c r="J236">
</c>
      <c r="K236">
</c>
      <c r="L236" s="9" cm="1" t="str">
        <f t="array" ref="L236">IF(C236="","",IF(K236="Mort / Plus rien à faire","KO","OK"))</f>
        <v/>
      </c>
      <c r="M236" s="18">
</c>
      <c r="N236" s="15" cm="1" t="str">
        <f t="array" ref="N236">IF(OR(C236="",M236="",M236=0),"",M236)</f>
        <v/>
      </c>
      <c r="O236" s="18">
</c>
      <c r="P236" s="15" cm="1" t="str">
        <f t="array" ref="P236">IF(C236="","",IF(OR(O236="",O236=0),"-",O236))</f>
        <v/>
      </c>
      <c r="Q236" s="19">
</c>
      <c r="R236" s="16" cm="1" t="str">
        <f t="array" ref="R236">IF(C236="","",ROUND(Q236/1000000,3)&amp;" M€")</f>
        <v/>
      </c>
      <c r="S236" s="17">
</c>
      <c r="T236" s="9" cm="1" t="str">
        <f t="array" ref="T236">IF(C236="","",SUBSTITUTE(S236,"","")&amp;"%")</f>
        <v/>
      </c>
      <c r="U236" s="14" cm="1" t="str">
        <f t="array" ref="U236">IF(($N236="")*($P236=""),"",IF(($N236&lt;&gt;"")*($N236&gt;TODAY()-9)*($N236&lt;TODAY()+1)*($P236&lt;&gt;"")*($P236&gt;=TODAY())*($P236&lt;=TODAY()+13),"Semaine passée &amp; à venir",IF(($N236&lt;&gt;"")*($N236&gt;TODAY()-9)*($N236&lt;TODAY()+1),"Semaine passée",IF(($P236&lt;&gt;"")*($P236&gt;=TODAY())*($P236&lt;=TODAY()+13),"À venir","Autre"))))</f>
        <v/>
      </c>
      <c r="V236" s="8">
</c>
      <c r="W236" s="8">
</c>
      <c r="X236" s="8">
</c>
      <c r="Y236" s="8">
</c>
      <c r="Z236" s="8">
</c>
      <c r="AA236" s="8">
</c>
      <c r="AB236" s="8">
</c>
      <c r="AC236" s="8">
</c>
      <c r="AD236" s="8">
</c>
      <c r="AE236" s="8">
</c>
      <c r="AF236" s="8">
</c>
      <c r="AG236" s="8">
</c>
      <c r="AH236" s="8">
</c>
      <c r="AI236" s="8">
</c>
      <c r="AJ236" s="8">
</c>
      <c r="AK236" s="8">
</c>
    </row>
    <row r="237" ht="76.5" customHeight="1">
      <c r="A237">
</c>
      <c r="B237">
</c>
      <c r="C237" s="17">
</c>
      <c r="D237" s="17">
</c>
      <c r="E237">
</c>
      <c r="F237">
</c>
      <c r="G237" s="13" cm="1" t="str">
        <f t="array" ref="G237">IF(F237="","",SUBSTITUTE(SUBSTITUTE(SUBSTITUTE(SUBSTITUTE(F237,"&lt;li&gt;",CHAR(10)),"&lt;/li&gt;",""),"&lt;br&gt;",CHAR(10)),"&lt;strong&gt;",""))</f>
        <v/>
      </c>
      <c r="H237" s="13" cm="1" t="str">
        <f t="array" ref="H237">IF(G237="","",SUBSTITUTE(SUBSTITUTE(SUBSTITUTE(SUBSTITUTE(SUBSTITUTE(G237,"&lt;p&gt;",""),"&lt;/p&gt;",""),"&lt;ul&gt;",""),"&lt;/ul&gt;",""),"&lt;/strong&gt;",""))</f>
        <v/>
      </c>
      <c r="I237" s="14" cm="1" t="str">
        <f t="array" ref="I237">IF(C237="","",IF(OR(H237="",H237=0,H237=FALSE),"-",H237))</f>
        <v/>
      </c>
      <c r="J237">
</c>
      <c r="K237">
</c>
      <c r="L237" s="9" cm="1" t="str">
        <f t="array" ref="L237">IF(C237="","",IF(K237="Mort / Plus rien à faire","KO","OK"))</f>
        <v/>
      </c>
      <c r="M237" s="18">
</c>
      <c r="N237" s="15" cm="1" t="str">
        <f t="array" ref="N237">IF(OR(C237="",M237="",M237=0),"",M237)</f>
        <v/>
      </c>
      <c r="O237" s="18">
</c>
      <c r="P237" s="15" cm="1" t="str">
        <f t="array" ref="P237">IF(C237="","",IF(OR(O237="",O237=0),"-",O237))</f>
        <v/>
      </c>
      <c r="Q237" s="19">
</c>
      <c r="R237" s="16" cm="1" t="str">
        <f t="array" ref="R237">IF(C237="","",ROUND(Q237/1000000,3)&amp;" M€")</f>
        <v/>
      </c>
      <c r="S237" s="17">
</c>
      <c r="T237" s="9" cm="1" t="str">
        <f t="array" ref="T237">IF(C237="","",SUBSTITUTE(S237,"","")&amp;"%")</f>
        <v/>
      </c>
      <c r="U237" s="14" cm="1" t="str">
        <f t="array" ref="U237">IF(($N237="")*($P237=""),"",IF(($N237&lt;&gt;"")*($N237&gt;TODAY()-9)*($N237&lt;TODAY()+1)*($P237&lt;&gt;"")*($P237&gt;=TODAY())*($P237&lt;=TODAY()+13),"Semaine passée &amp; à venir",IF(($N237&lt;&gt;"")*($N237&gt;TODAY()-9)*($N237&lt;TODAY()+1),"Semaine passée",IF(($P237&lt;&gt;"")*($P237&gt;=TODAY())*($P237&lt;=TODAY()+13),"À venir","Autre"))))</f>
        <v/>
      </c>
      <c r="V237" s="8">
</c>
      <c r="W237" s="8">
</c>
      <c r="X237" s="8">
</c>
      <c r="Y237" s="8">
</c>
      <c r="Z237" s="8">
</c>
      <c r="AA237" s="8">
</c>
      <c r="AB237" s="8">
</c>
      <c r="AC237" s="8">
</c>
      <c r="AD237" s="8">
</c>
      <c r="AE237" s="8">
</c>
      <c r="AF237" s="8">
</c>
      <c r="AG237" s="8">
</c>
      <c r="AH237" s="8">
</c>
      <c r="AI237" s="8">
</c>
      <c r="AJ237" s="8">
</c>
      <c r="AK237" s="8">
</c>
    </row>
    <row r="238" ht="76.5" customHeight="1">
      <c r="A238">
</c>
      <c r="B238">
</c>
      <c r="C238" s="17">
</c>
      <c r="D238" s="17">
</c>
      <c r="E238">
</c>
      <c r="F238">
</c>
      <c r="G238" s="13" cm="1" t="str">
        <f t="array" ref="G238">IF(F238="","",SUBSTITUTE(SUBSTITUTE(SUBSTITUTE(SUBSTITUTE(F238,"&lt;li&gt;",CHAR(10)),"&lt;/li&gt;",""),"&lt;br&gt;",CHAR(10)),"&lt;strong&gt;",""))</f>
        <v/>
      </c>
      <c r="H238" s="13" cm="1" t="str">
        <f t="array" ref="H238">IF(G238="","",SUBSTITUTE(SUBSTITUTE(SUBSTITUTE(SUBSTITUTE(SUBSTITUTE(G238,"&lt;p&gt;",""),"&lt;/p&gt;",""),"&lt;ul&gt;",""),"&lt;/ul&gt;",""),"&lt;/strong&gt;",""))</f>
        <v/>
      </c>
      <c r="I238" s="14" cm="1" t="str">
        <f t="array" ref="I238">IF(C238="","",IF(OR(H238="",H238=0,H238=FALSE),"-",H238))</f>
        <v/>
      </c>
      <c r="J238">
</c>
      <c r="K238">
</c>
      <c r="L238" s="9" cm="1" t="str">
        <f t="array" ref="L238">IF(C238="","",IF(K238="Mort / Plus rien à faire","KO","OK"))</f>
        <v/>
      </c>
      <c r="M238" s="18">
</c>
      <c r="N238" s="15" cm="1" t="str">
        <f t="array" ref="N238">IF(OR(C238="",M238="",M238=0),"",M238)</f>
        <v/>
      </c>
      <c r="O238" s="18">
</c>
      <c r="P238" s="15" cm="1" t="str">
        <f t="array" ref="P238">IF(C238="","",IF(OR(O238="",O238=0),"-",O238))</f>
        <v/>
      </c>
      <c r="Q238" s="19">
</c>
      <c r="R238" s="16" cm="1" t="str">
        <f t="array" ref="R238">IF(C238="","",ROUND(Q238/1000000,3)&amp;" M€")</f>
        <v/>
      </c>
      <c r="S238" s="17">
</c>
      <c r="T238" s="9" cm="1" t="str">
        <f t="array" ref="T238">IF(C238="","",SUBSTITUTE(S238,"","")&amp;"%")</f>
        <v/>
      </c>
      <c r="U238" s="14" cm="1" t="str">
        <f t="array" ref="U238">IF(($N238="")*($P238=""),"",IF(($N238&lt;&gt;"")*($N238&gt;TODAY()-9)*($N238&lt;TODAY()+1)*($P238&lt;&gt;"")*($P238&gt;=TODAY())*($P238&lt;=TODAY()+13),"Semaine passée &amp; à venir",IF(($N238&lt;&gt;"")*($N238&gt;TODAY()-9)*($N238&lt;TODAY()+1),"Semaine passée",IF(($P238&lt;&gt;"")*($P238&gt;=TODAY())*($P238&lt;=TODAY()+13),"À venir","Autre"))))</f>
        <v/>
      </c>
      <c r="V238" s="8">
</c>
      <c r="W238" s="8">
</c>
      <c r="X238" s="8">
</c>
      <c r="Y238" s="8">
</c>
      <c r="Z238" s="8">
</c>
      <c r="AA238" s="8">
</c>
      <c r="AB238" s="8">
</c>
      <c r="AC238" s="8">
</c>
      <c r="AD238" s="8">
</c>
      <c r="AE238" s="8">
</c>
      <c r="AF238" s="8">
</c>
      <c r="AG238" s="8">
</c>
      <c r="AH238" s="8">
</c>
      <c r="AI238" s="8">
</c>
      <c r="AJ238" s="8">
</c>
      <c r="AK238" s="8">
</c>
    </row>
    <row r="239" ht="76.5" customHeight="1">
      <c r="A239">
</c>
      <c r="B239">
</c>
      <c r="C239" s="17">
</c>
      <c r="D239" s="17">
</c>
      <c r="E239">
</c>
      <c r="F239">
</c>
      <c r="G239" s="13" cm="1" t="str">
        <f t="array" ref="G239">IF(F239="","",SUBSTITUTE(SUBSTITUTE(SUBSTITUTE(SUBSTITUTE(F239,"&lt;li&gt;",CHAR(10)),"&lt;/li&gt;",""),"&lt;br&gt;",CHAR(10)),"&lt;strong&gt;",""))</f>
        <v/>
      </c>
      <c r="H239" s="13" cm="1" t="str">
        <f t="array" ref="H239">IF(G239="","",SUBSTITUTE(SUBSTITUTE(SUBSTITUTE(SUBSTITUTE(SUBSTITUTE(G239,"&lt;p&gt;",""),"&lt;/p&gt;",""),"&lt;ul&gt;",""),"&lt;/ul&gt;",""),"&lt;/strong&gt;",""))</f>
        <v/>
      </c>
      <c r="I239" s="14" cm="1" t="str">
        <f t="array" ref="I239">IF(C239="","",IF(OR(H239="",H239=0,H239=FALSE),"-",H239))</f>
        <v/>
      </c>
      <c r="J239">
</c>
      <c r="K239">
</c>
      <c r="L239" s="9" cm="1" t="str">
        <f t="array" ref="L239">IF(C239="","",IF(K239="Mort / Plus rien à faire","KO","OK"))</f>
        <v/>
      </c>
      <c r="M239" s="18">
</c>
      <c r="N239" s="15" cm="1" t="str">
        <f t="array" ref="N239">IF(OR(C239="",M239="",M239=0),"",M239)</f>
        <v/>
      </c>
      <c r="O239" s="18">
</c>
      <c r="P239" s="15" cm="1" t="str">
        <f t="array" ref="P239">IF(C239="","",IF(OR(O239="",O239=0),"-",O239))</f>
        <v/>
      </c>
      <c r="Q239" s="19">
</c>
      <c r="R239" s="16" cm="1" t="str">
        <f t="array" ref="R239">IF(C239="","",ROUND(Q239/1000000,3)&amp;" M€")</f>
        <v/>
      </c>
      <c r="S239" s="17">
</c>
      <c r="T239" s="9" cm="1" t="str">
        <f t="array" ref="T239">IF(C239="","",SUBSTITUTE(S239,"","")&amp;"%")</f>
        <v/>
      </c>
      <c r="U239" s="14" cm="1" t="str">
        <f t="array" ref="U239">IF(($N239="")*($P239=""),"",IF(($N239&lt;&gt;"")*($N239&gt;TODAY()-9)*($N239&lt;TODAY()+1)*($P239&lt;&gt;"")*($P239&gt;=TODAY())*($P239&lt;=TODAY()+13),"Semaine passée &amp; à venir",IF(($N239&lt;&gt;"")*($N239&gt;TODAY()-9)*($N239&lt;TODAY()+1),"Semaine passée",IF(($P239&lt;&gt;"")*($P239&gt;=TODAY())*($P239&lt;=TODAY()+13),"À venir","Autre"))))</f>
        <v/>
      </c>
      <c r="V239" s="8">
</c>
      <c r="W239" s="8">
</c>
      <c r="X239" s="8">
</c>
      <c r="Y239" s="8">
</c>
      <c r="Z239" s="8">
</c>
      <c r="AA239" s="8">
</c>
      <c r="AB239" s="8">
</c>
      <c r="AC239" s="8">
</c>
      <c r="AD239" s="8">
</c>
      <c r="AE239" s="8">
</c>
      <c r="AF239" s="8">
</c>
      <c r="AG239" s="8">
</c>
      <c r="AH239" s="8">
</c>
      <c r="AI239" s="8">
</c>
      <c r="AJ239" s="8">
</c>
      <c r="AK239" s="8">
</c>
    </row>
    <row r="240" ht="76.5" customHeight="1">
      <c r="A240">
</c>
      <c r="B240">
</c>
      <c r="C240" s="17">
</c>
      <c r="D240" s="17">
</c>
      <c r="E240">
</c>
      <c r="F240">
</c>
      <c r="G240" s="13" cm="1" t="str">
        <f t="array" ref="G240">IF(F240="","",SUBSTITUTE(SUBSTITUTE(SUBSTITUTE(SUBSTITUTE(F240,"&lt;li&gt;",CHAR(10)),"&lt;/li&gt;",""),"&lt;br&gt;",CHAR(10)),"&lt;strong&gt;",""))</f>
        <v/>
      </c>
      <c r="H240" s="13" cm="1" t="str">
        <f t="array" ref="H240">IF(G240="","",SUBSTITUTE(SUBSTITUTE(SUBSTITUTE(SUBSTITUTE(SUBSTITUTE(G240,"&lt;p&gt;",""),"&lt;/p&gt;",""),"&lt;ul&gt;",""),"&lt;/ul&gt;",""),"&lt;/strong&gt;",""))</f>
        <v/>
      </c>
      <c r="I240" s="14" cm="1" t="str">
        <f t="array" ref="I240">IF(C240="","",IF(OR(H240="",H240=0,H240=FALSE),"-",H240))</f>
        <v/>
      </c>
      <c r="J240">
</c>
      <c r="K240">
</c>
      <c r="L240" s="9" cm="1" t="str">
        <f t="array" ref="L240">IF(C240="","",IF(K240="Mort / Plus rien à faire","KO","OK"))</f>
        <v/>
      </c>
      <c r="M240" s="18">
</c>
      <c r="N240" s="15" cm="1" t="str">
        <f t="array" ref="N240">IF(OR(C240="",M240="",M240=0),"",M240)</f>
        <v/>
      </c>
      <c r="O240" s="18">
</c>
      <c r="P240" s="15" cm="1" t="str">
        <f t="array" ref="P240">IF(C240="","",IF(OR(O240="",O240=0),"-",O240))</f>
        <v/>
      </c>
      <c r="Q240" s="19">
</c>
      <c r="R240" s="16" cm="1" t="str">
        <f t="array" ref="R240">IF(C240="","",ROUND(Q240/1000000,3)&amp;" M€")</f>
        <v/>
      </c>
      <c r="S240" s="17">
</c>
      <c r="T240" s="9" cm="1" t="str">
        <f t="array" ref="T240">IF(C240="","",SUBSTITUTE(S240,"","")&amp;"%")</f>
        <v/>
      </c>
      <c r="U240" s="14" cm="1" t="str">
        <f t="array" ref="U240">IF(($N240="")*($P240=""),"",IF(($N240&lt;&gt;"")*($N240&gt;TODAY()-9)*($N240&lt;TODAY()+1)*($P240&lt;&gt;"")*($P240&gt;=TODAY())*($P240&lt;=TODAY()+13),"Semaine passée &amp; à venir",IF(($N240&lt;&gt;"")*($N240&gt;TODAY()-9)*($N240&lt;TODAY()+1),"Semaine passée",IF(($P240&lt;&gt;"")*($P240&gt;=TODAY())*($P240&lt;=TODAY()+13),"À venir","Autre"))))</f>
        <v/>
      </c>
      <c r="V240" s="8">
</c>
      <c r="W240" s="8">
</c>
      <c r="X240" s="8">
</c>
      <c r="Y240" s="8">
</c>
      <c r="Z240" s="8">
</c>
      <c r="AA240" s="8">
</c>
      <c r="AB240" s="8">
</c>
      <c r="AC240" s="8">
</c>
      <c r="AD240" s="8">
</c>
      <c r="AE240" s="8">
</c>
      <c r="AF240" s="8">
</c>
      <c r="AG240" s="8">
</c>
      <c r="AH240" s="8">
</c>
      <c r="AI240" s="8">
</c>
      <c r="AJ240" s="8">
</c>
      <c r="AK240" s="8">
</c>
    </row>
    <row r="241" ht="76.5" customHeight="1">
      <c r="A241">
</c>
      <c r="B241">
</c>
      <c r="C241" s="17">
</c>
      <c r="D241" s="17">
</c>
      <c r="E241">
</c>
      <c r="F241">
</c>
      <c r="G241" s="13" cm="1" t="str">
        <f t="array" ref="G241">IF(F241="","",SUBSTITUTE(SUBSTITUTE(SUBSTITUTE(SUBSTITUTE(F241,"&lt;li&gt;",CHAR(10)),"&lt;/li&gt;",""),"&lt;br&gt;",CHAR(10)),"&lt;strong&gt;",""))</f>
        <v/>
      </c>
      <c r="H241" s="13" cm="1" t="str">
        <f t="array" ref="H241">IF(G241="","",SUBSTITUTE(SUBSTITUTE(SUBSTITUTE(SUBSTITUTE(SUBSTITUTE(G241,"&lt;p&gt;",""),"&lt;/p&gt;",""),"&lt;ul&gt;",""),"&lt;/ul&gt;",""),"&lt;/strong&gt;",""))</f>
        <v/>
      </c>
      <c r="I241" s="14" cm="1" t="str">
        <f t="array" ref="I241">IF(C241="","",IF(OR(H241="",H241=0,H241=FALSE),"-",H241))</f>
        <v/>
      </c>
      <c r="J241">
</c>
      <c r="K241">
</c>
      <c r="L241" s="9" cm="1" t="str">
        <f t="array" ref="L241">IF(C241="","",IF(K241="Mort / Plus rien à faire","KO","OK"))</f>
        <v/>
      </c>
      <c r="M241" s="18">
</c>
      <c r="N241" s="15" cm="1" t="str">
        <f t="array" ref="N241">IF(OR(C241="",M241="",M241=0),"",M241)</f>
        <v/>
      </c>
      <c r="O241" s="18">
</c>
      <c r="P241" s="15" cm="1" t="str">
        <f t="array" ref="P241">IF(C241="","",IF(OR(O241="",O241=0),"-",O241))</f>
        <v/>
      </c>
      <c r="Q241" s="19">
</c>
      <c r="R241" s="16" cm="1" t="str">
        <f t="array" ref="R241">IF(C241="","",ROUND(Q241/1000000,3)&amp;" M€")</f>
        <v/>
      </c>
      <c r="S241" s="17">
</c>
      <c r="T241" s="9" cm="1" t="str">
        <f t="array" ref="T241">IF(C241="","",SUBSTITUTE(S241,"","")&amp;"%")</f>
        <v/>
      </c>
      <c r="U241" s="14" cm="1" t="str">
        <f t="array" ref="U241">IF(($N241="")*($P241=""),"",IF(($N241&lt;&gt;"")*($N241&gt;TODAY()-9)*($N241&lt;TODAY()+1)*($P241&lt;&gt;"")*($P241&gt;=TODAY())*($P241&lt;=TODAY()+13),"Semaine passée &amp; à venir",IF(($N241&lt;&gt;"")*($N241&gt;TODAY()-9)*($N241&lt;TODAY()+1),"Semaine passée",IF(($P241&lt;&gt;"")*($P241&gt;=TODAY())*($P241&lt;=TODAY()+13),"À venir","Autre"))))</f>
        <v/>
      </c>
      <c r="V241" s="8">
</c>
      <c r="W241" s="8">
</c>
      <c r="X241" s="8">
</c>
      <c r="Y241" s="8">
</c>
      <c r="Z241" s="8">
</c>
      <c r="AA241" s="8">
</c>
      <c r="AB241" s="8">
</c>
      <c r="AC241" s="8">
</c>
      <c r="AD241" s="8">
</c>
      <c r="AE241" s="8">
</c>
      <c r="AF241" s="8">
</c>
      <c r="AG241" s="8">
</c>
      <c r="AH241" s="8">
</c>
      <c r="AI241" s="8">
</c>
      <c r="AJ241" s="8">
</c>
      <c r="AK241" s="8">
</c>
    </row>
    <row r="242" ht="76.5" customHeight="1">
      <c r="A242">
</c>
      <c r="B242">
</c>
      <c r="C242" s="17">
</c>
      <c r="D242" s="17">
</c>
      <c r="E242">
</c>
      <c r="F242">
</c>
      <c r="G242" s="13" cm="1" t="str">
        <f t="array" ref="G242">IF(F242="","",SUBSTITUTE(SUBSTITUTE(SUBSTITUTE(SUBSTITUTE(F242,"&lt;li&gt;",CHAR(10)),"&lt;/li&gt;",""),"&lt;br&gt;",CHAR(10)),"&lt;strong&gt;",""))</f>
        <v/>
      </c>
      <c r="H242" s="13" cm="1" t="str">
        <f t="array" ref="H242">IF(G242="","",SUBSTITUTE(SUBSTITUTE(SUBSTITUTE(SUBSTITUTE(SUBSTITUTE(G242,"&lt;p&gt;",""),"&lt;/p&gt;",""),"&lt;ul&gt;",""),"&lt;/ul&gt;",""),"&lt;/strong&gt;",""))</f>
        <v/>
      </c>
      <c r="I242" s="14" cm="1" t="str">
        <f t="array" ref="I242">IF(C242="","",IF(OR(H242="",H242=0,H242=FALSE),"-",H242))</f>
        <v/>
      </c>
      <c r="J242">
</c>
      <c r="K242">
</c>
      <c r="L242" s="9" cm="1" t="str">
        <f t="array" ref="L242">IF(C242="","",IF(K242="Mort / Plus rien à faire","KO","OK"))</f>
        <v/>
      </c>
      <c r="M242" s="18">
</c>
      <c r="N242" s="15" cm="1" t="str">
        <f t="array" ref="N242">IF(OR(C242="",M242="",M242=0),"",M242)</f>
        <v/>
      </c>
      <c r="O242" s="18">
</c>
      <c r="P242" s="15" cm="1" t="str">
        <f t="array" ref="P242">IF(C242="","",IF(OR(O242="",O242=0),"-",O242))</f>
        <v/>
      </c>
      <c r="Q242" s="19">
</c>
      <c r="R242" s="16" cm="1" t="str">
        <f t="array" ref="R242">IF(C242="","",ROUND(Q242/1000000,3)&amp;" M€")</f>
        <v/>
      </c>
      <c r="S242" s="17">
</c>
      <c r="T242" s="9" cm="1" t="str">
        <f t="array" ref="T242">IF(C242="","",SUBSTITUTE(S242,"","")&amp;"%")</f>
        <v/>
      </c>
      <c r="U242" s="14" cm="1" t="str">
        <f t="array" ref="U242">IF(($N242="")*($P242=""),"",IF(($N242&lt;&gt;"")*($N242&gt;TODAY()-9)*($N242&lt;TODAY()+1)*($P242&lt;&gt;"")*($P242&gt;=TODAY())*($P242&lt;=TODAY()+13),"Semaine passée &amp; à venir",IF(($N242&lt;&gt;"")*($N242&gt;TODAY()-9)*($N242&lt;TODAY()+1),"Semaine passée",IF(($P242&lt;&gt;"")*($P242&gt;=TODAY())*($P242&lt;=TODAY()+13),"À venir","Autre"))))</f>
        <v/>
      </c>
      <c r="V242" s="8">
</c>
      <c r="W242" s="8">
</c>
      <c r="X242" s="8">
</c>
      <c r="Y242" s="8">
</c>
      <c r="Z242" s="8">
</c>
      <c r="AA242" s="8">
</c>
      <c r="AB242" s="8">
</c>
      <c r="AC242" s="8">
</c>
      <c r="AD242" s="8">
</c>
      <c r="AE242" s="8">
</c>
      <c r="AF242" s="8">
</c>
      <c r="AG242" s="8">
</c>
      <c r="AH242" s="8">
</c>
      <c r="AI242" s="8">
</c>
      <c r="AJ242" s="8">
</c>
      <c r="AK242" s="8">
</c>
    </row>
    <row r="243" ht="76.5" customHeight="1">
      <c r="A243">
</c>
      <c r="B243">
</c>
      <c r="C243" s="17">
</c>
      <c r="D243" s="17">
</c>
      <c r="E243">
</c>
      <c r="F243">
</c>
      <c r="G243" s="13" cm="1" t="str">
        <f t="array" ref="G243">IF(F243="","",SUBSTITUTE(SUBSTITUTE(SUBSTITUTE(SUBSTITUTE(F243,"&lt;li&gt;",CHAR(10)),"&lt;/li&gt;",""),"&lt;br&gt;",CHAR(10)),"&lt;strong&gt;",""))</f>
        <v/>
      </c>
      <c r="H243" s="13" cm="1" t="str">
        <f t="array" ref="H243">IF(G243="","",SUBSTITUTE(SUBSTITUTE(SUBSTITUTE(SUBSTITUTE(SUBSTITUTE(G243,"&lt;p&gt;",""),"&lt;/p&gt;",""),"&lt;ul&gt;",""),"&lt;/ul&gt;",""),"&lt;/strong&gt;",""))</f>
        <v/>
      </c>
      <c r="I243" s="14" cm="1" t="str">
        <f t="array" ref="I243">IF(C243="","",IF(OR(H243="",H243=0,H243=FALSE),"-",H243))</f>
        <v/>
      </c>
      <c r="J243">
</c>
      <c r="K243">
</c>
      <c r="L243" s="9" cm="1" t="str">
        <f t="array" ref="L243">IF(C243="","",IF(K243="Mort / Plus rien à faire","KO","OK"))</f>
        <v/>
      </c>
      <c r="M243" s="18">
</c>
      <c r="N243" s="15" cm="1" t="str">
        <f t="array" ref="N243">IF(OR(C243="",M243="",M243=0),"",M243)</f>
        <v/>
      </c>
      <c r="O243" s="18">
</c>
      <c r="P243" s="15" cm="1" t="str">
        <f t="array" ref="P243">IF(C243="","",IF(OR(O243="",O243=0),"-",O243))</f>
        <v/>
      </c>
      <c r="Q243" s="19">
</c>
      <c r="R243" s="16" cm="1" t="str">
        <f t="array" ref="R243">IF(C243="","",ROUND(Q243/1000000,3)&amp;" M€")</f>
        <v/>
      </c>
      <c r="S243" s="17">
</c>
      <c r="T243" s="9" cm="1" t="str">
        <f t="array" ref="T243">IF(C243="","",SUBSTITUTE(S243,"","")&amp;"%")</f>
        <v/>
      </c>
      <c r="U243" s="14" cm="1" t="str">
        <f t="array" ref="U243">IF(($N243="")*($P243=""),"",IF(($N243&lt;&gt;"")*($N243&gt;TODAY()-9)*($N243&lt;TODAY()+1)*($P243&lt;&gt;"")*($P243&gt;=TODAY())*($P243&lt;=TODAY()+13),"Semaine passée &amp; à venir",IF(($N243&lt;&gt;"")*($N243&gt;TODAY()-9)*($N243&lt;TODAY()+1),"Semaine passée",IF(($P243&lt;&gt;"")*($P243&gt;=TODAY())*($P243&lt;=TODAY()+13),"À venir","Autre"))))</f>
        <v/>
      </c>
      <c r="V243" s="8">
</c>
      <c r="W243" s="8">
</c>
      <c r="X243" s="8">
</c>
      <c r="Y243" s="8">
</c>
      <c r="Z243" s="8">
</c>
      <c r="AA243" s="8">
</c>
      <c r="AB243" s="8">
</c>
      <c r="AC243" s="8">
</c>
      <c r="AD243" s="8">
</c>
      <c r="AE243" s="8">
</c>
      <c r="AF243" s="8">
</c>
      <c r="AG243" s="8">
</c>
      <c r="AH243" s="8">
</c>
      <c r="AI243" s="8">
</c>
      <c r="AJ243" s="8">
</c>
      <c r="AK243" s="8">
</c>
    </row>
    <row r="244" ht="76.5" customHeight="1">
      <c r="A244">
</c>
      <c r="B244">
</c>
      <c r="C244" s="17">
</c>
      <c r="D244" s="17">
</c>
      <c r="E244">
</c>
      <c r="F244">
</c>
      <c r="G244" s="13" cm="1" t="str">
        <f t="array" ref="G244">IF(F244="","",SUBSTITUTE(SUBSTITUTE(SUBSTITUTE(SUBSTITUTE(F244,"&lt;li&gt;",CHAR(10)),"&lt;/li&gt;",""),"&lt;br&gt;",CHAR(10)),"&lt;strong&gt;",""))</f>
        <v/>
      </c>
      <c r="H244" s="13" cm="1" t="str">
        <f t="array" ref="H244">IF(G244="","",SUBSTITUTE(SUBSTITUTE(SUBSTITUTE(SUBSTITUTE(SUBSTITUTE(G244,"&lt;p&gt;",""),"&lt;/p&gt;",""),"&lt;ul&gt;",""),"&lt;/ul&gt;",""),"&lt;/strong&gt;",""))</f>
        <v/>
      </c>
      <c r="I244" s="14" cm="1" t="str">
        <f t="array" ref="I244">IF(C244="","",IF(OR(H244="",H244=0,H244=FALSE),"-",H244))</f>
        <v/>
      </c>
      <c r="J244">
</c>
      <c r="K244">
</c>
      <c r="L244" s="9" cm="1" t="str">
        <f t="array" ref="L244">IF(C244="","",IF(K244="Mort / Plus rien à faire","KO","OK"))</f>
        <v/>
      </c>
      <c r="M244" s="18">
</c>
      <c r="N244" s="15" cm="1" t="str">
        <f t="array" ref="N244">IF(OR(C244="",M244="",M244=0),"",M244)</f>
        <v/>
      </c>
      <c r="O244" s="18">
</c>
      <c r="P244" s="15" cm="1" t="str">
        <f t="array" ref="P244">IF(C244="","",IF(OR(O244="",O244=0),"-",O244))</f>
        <v/>
      </c>
      <c r="Q244" s="19">
</c>
      <c r="R244" s="16" cm="1" t="str">
        <f t="array" ref="R244">IF(C244="","",ROUND(Q244/1000000,3)&amp;" M€")</f>
        <v/>
      </c>
      <c r="S244" s="17">
</c>
      <c r="T244" s="9" cm="1" t="str">
        <f t="array" ref="T244">IF(C244="","",SUBSTITUTE(S244,"","")&amp;"%")</f>
        <v/>
      </c>
      <c r="U244" s="14" cm="1" t="str">
        <f t="array" ref="U244">IF(($N244="")*($P244=""),"",IF(($N244&lt;&gt;"")*($N244&gt;TODAY()-9)*($N244&lt;TODAY()+1)*($P244&lt;&gt;"")*($P244&gt;=TODAY())*($P244&lt;=TODAY()+13),"Semaine passée &amp; à venir",IF(($N244&lt;&gt;"")*($N244&gt;TODAY()-9)*($N244&lt;TODAY()+1),"Semaine passée",IF(($P244&lt;&gt;"")*($P244&gt;=TODAY())*($P244&lt;=TODAY()+13),"À venir","Autre"))))</f>
        <v/>
      </c>
      <c r="V244" s="8">
</c>
      <c r="W244" s="8">
</c>
      <c r="X244" s="8">
</c>
      <c r="Y244" s="8">
</c>
      <c r="Z244" s="8">
</c>
      <c r="AA244" s="8">
</c>
      <c r="AB244" s="8">
</c>
      <c r="AC244" s="8">
</c>
      <c r="AD244" s="8">
</c>
      <c r="AE244" s="8">
</c>
      <c r="AF244" s="8">
</c>
      <c r="AG244" s="8">
</c>
      <c r="AH244" s="8">
</c>
      <c r="AI244" s="8">
</c>
      <c r="AJ244" s="8">
</c>
      <c r="AK244" s="8">
</c>
    </row>
    <row r="245" ht="76.5" customHeight="1">
      <c r="A245">
</c>
      <c r="B245">
</c>
      <c r="C245" s="17">
</c>
      <c r="D245" s="17">
</c>
      <c r="E245">
</c>
      <c r="F245">
</c>
      <c r="G245" s="13" cm="1" t="str">
        <f t="array" ref="G245">IF(F245="","",SUBSTITUTE(SUBSTITUTE(SUBSTITUTE(SUBSTITUTE(F245,"&lt;li&gt;",CHAR(10)),"&lt;/li&gt;",""),"&lt;br&gt;",CHAR(10)),"&lt;strong&gt;",""))</f>
        <v/>
      </c>
      <c r="H245" s="13" cm="1" t="str">
        <f t="array" ref="H245">IF(G245="","",SUBSTITUTE(SUBSTITUTE(SUBSTITUTE(SUBSTITUTE(SUBSTITUTE(G245,"&lt;p&gt;",""),"&lt;/p&gt;",""),"&lt;ul&gt;",""),"&lt;/ul&gt;",""),"&lt;/strong&gt;",""))</f>
        <v/>
      </c>
      <c r="I245" s="14" cm="1" t="str">
        <f t="array" ref="I245">IF(C245="","",IF(OR(H245="",H245=0,H245=FALSE),"-",H245))</f>
        <v/>
      </c>
      <c r="J245">
</c>
      <c r="K245">
</c>
      <c r="L245" s="9" cm="1" t="str">
        <f t="array" ref="L245">IF(C245="","",IF(K245="Mort / Plus rien à faire","KO","OK"))</f>
        <v/>
      </c>
      <c r="M245" s="18">
</c>
      <c r="N245" s="15" cm="1" t="str">
        <f t="array" ref="N245">IF(OR(C245="",M245="",M245=0),"",M245)</f>
        <v/>
      </c>
      <c r="O245" s="18">
</c>
      <c r="P245" s="15" cm="1" t="str">
        <f t="array" ref="P245">IF(C245="","",IF(OR(O245="",O245=0),"-",O245))</f>
        <v/>
      </c>
      <c r="Q245" s="19">
</c>
      <c r="R245" s="16" cm="1" t="str">
        <f t="array" ref="R245">IF(C245="","",ROUND(Q245/1000000,3)&amp;" M€")</f>
        <v/>
      </c>
      <c r="S245" s="17">
</c>
      <c r="T245" s="9" cm="1" t="str">
        <f t="array" ref="T245">IF(C245="","",SUBSTITUTE(S245,"","")&amp;"%")</f>
        <v/>
      </c>
      <c r="U245" s="14" cm="1" t="str">
        <f t="array" ref="U245">IF(($N245="")*($P245=""),"",IF(($N245&lt;&gt;"")*($N245&gt;TODAY()-9)*($N245&lt;TODAY()+1)*($P245&lt;&gt;"")*($P245&gt;=TODAY())*($P245&lt;=TODAY()+13),"Semaine passée &amp; à venir",IF(($N245&lt;&gt;"")*($N245&gt;TODAY()-9)*($N245&lt;TODAY()+1),"Semaine passée",IF(($P245&lt;&gt;"")*($P245&gt;=TODAY())*($P245&lt;=TODAY()+13),"À venir","Autre"))))</f>
        <v/>
      </c>
      <c r="V245" s="8">
</c>
      <c r="W245" s="8">
</c>
      <c r="X245" s="8">
</c>
      <c r="Y245" s="8">
</c>
      <c r="Z245" s="8">
</c>
      <c r="AA245" s="8">
</c>
      <c r="AB245" s="8">
</c>
      <c r="AC245" s="8">
</c>
      <c r="AD245" s="8">
</c>
      <c r="AE245" s="8">
</c>
      <c r="AF245" s="8">
</c>
      <c r="AG245" s="8">
</c>
      <c r="AH245" s="8">
</c>
      <c r="AI245" s="8">
</c>
      <c r="AJ245" s="8">
</c>
      <c r="AK245" s="8">
</c>
    </row>
    <row r="246" ht="76.5" customHeight="1">
      <c r="A246">
</c>
      <c r="B246">
</c>
      <c r="C246" s="17">
</c>
      <c r="D246" s="17">
</c>
      <c r="E246">
</c>
      <c r="F246">
</c>
      <c r="G246" s="13" cm="1" t="str">
        <f t="array" ref="G246">IF(F246="","",SUBSTITUTE(SUBSTITUTE(SUBSTITUTE(SUBSTITUTE(F246,"&lt;li&gt;",CHAR(10)),"&lt;/li&gt;",""),"&lt;br&gt;",CHAR(10)),"&lt;strong&gt;",""))</f>
        <v/>
      </c>
      <c r="H246" s="13" cm="1" t="str">
        <f t="array" ref="H246">IF(G246="","",SUBSTITUTE(SUBSTITUTE(SUBSTITUTE(SUBSTITUTE(SUBSTITUTE(G246,"&lt;p&gt;",""),"&lt;/p&gt;",""),"&lt;ul&gt;",""),"&lt;/ul&gt;",""),"&lt;/strong&gt;",""))</f>
        <v/>
      </c>
      <c r="I246" s="14" cm="1" t="str">
        <f t="array" ref="I246">IF(C246="","",IF(OR(H246="",H246=0,H246=FALSE),"-",H246))</f>
        <v/>
      </c>
      <c r="J246">
</c>
      <c r="K246">
</c>
      <c r="L246" s="9" cm="1" t="str">
        <f t="array" ref="L246">IF(C246="","",IF(K246="Mort / Plus rien à faire","KO","OK"))</f>
        <v/>
      </c>
      <c r="M246" s="18">
</c>
      <c r="N246" s="15" cm="1" t="str">
        <f t="array" ref="N246">IF(OR(C246="",M246="",M246=0),"",M246)</f>
        <v/>
      </c>
      <c r="O246" s="18">
</c>
      <c r="P246" s="15" cm="1" t="str">
        <f t="array" ref="P246">IF(C246="","",IF(OR(O246="",O246=0),"-",O246))</f>
        <v/>
      </c>
      <c r="Q246" s="19">
</c>
      <c r="R246" s="16" cm="1" t="str">
        <f t="array" ref="R246">IF(C246="","",ROUND(Q246/1000000,3)&amp;" M€")</f>
        <v/>
      </c>
      <c r="S246" s="17">
</c>
      <c r="T246" s="9" cm="1" t="str">
        <f t="array" ref="T246">IF(C246="","",SUBSTITUTE(S246,"","")&amp;"%")</f>
        <v/>
      </c>
      <c r="U246" s="14" cm="1" t="str">
        <f t="array" ref="U246">IF(($N246="")*($P246=""),"",IF(($N246&lt;&gt;"")*($N246&gt;TODAY()-9)*($N246&lt;TODAY()+1)*($P246&lt;&gt;"")*($P246&gt;=TODAY())*($P246&lt;=TODAY()+13),"Semaine passée &amp; à venir",IF(($N246&lt;&gt;"")*($N246&gt;TODAY()-9)*($N246&lt;TODAY()+1),"Semaine passée",IF(($P246&lt;&gt;"")*($P246&gt;=TODAY())*($P246&lt;=TODAY()+13),"À venir","Autre"))))</f>
        <v/>
      </c>
      <c r="V246" s="8">
</c>
      <c r="W246" s="8">
</c>
      <c r="X246" s="8">
</c>
      <c r="Y246" s="8">
</c>
      <c r="Z246" s="8">
</c>
      <c r="AA246" s="8">
</c>
      <c r="AB246" s="8">
</c>
      <c r="AC246" s="8">
</c>
      <c r="AD246" s="8">
</c>
      <c r="AE246" s="8">
</c>
      <c r="AF246" s="8">
</c>
      <c r="AG246" s="8">
</c>
      <c r="AH246" s="8">
</c>
      <c r="AI246" s="8">
</c>
      <c r="AJ246" s="8">
</c>
      <c r="AK246" s="8">
</c>
    </row>
    <row r="247" ht="76.5" customHeight="1">
      <c r="A247">
</c>
      <c r="B247">
</c>
      <c r="C247" s="17">
</c>
      <c r="D247" s="17">
</c>
      <c r="E247">
</c>
      <c r="F247">
</c>
      <c r="G247" s="13" cm="1" t="str">
        <f t="array" ref="G247">IF(F247="","",SUBSTITUTE(SUBSTITUTE(SUBSTITUTE(SUBSTITUTE(F247,"&lt;li&gt;",CHAR(10)),"&lt;/li&gt;",""),"&lt;br&gt;",CHAR(10)),"&lt;strong&gt;",""))</f>
        <v/>
      </c>
      <c r="H247" s="13" cm="1" t="str">
        <f t="array" ref="H247">IF(G247="","",SUBSTITUTE(SUBSTITUTE(SUBSTITUTE(SUBSTITUTE(SUBSTITUTE(G247,"&lt;p&gt;",""),"&lt;/p&gt;",""),"&lt;ul&gt;",""),"&lt;/ul&gt;",""),"&lt;/strong&gt;",""))</f>
        <v/>
      </c>
      <c r="I247" s="14" cm="1" t="str">
        <f t="array" ref="I247">IF(C247="","",IF(OR(H247="",H247=0,H247=FALSE),"-",H247))</f>
        <v/>
      </c>
      <c r="J247">
</c>
      <c r="K247">
</c>
      <c r="L247" s="9" cm="1" t="str">
        <f t="array" ref="L247">IF(C247="","",IF(K247="Mort / Plus rien à faire","KO","OK"))</f>
        <v/>
      </c>
      <c r="M247" s="18">
</c>
      <c r="N247" s="15" cm="1" t="str">
        <f t="array" ref="N247">IF(OR(C247="",M247="",M247=0),"",M247)</f>
        <v/>
      </c>
      <c r="O247" s="18">
</c>
      <c r="P247" s="15" cm="1" t="str">
        <f t="array" ref="P247">IF(C247="","",IF(OR(O247="",O247=0),"-",O247))</f>
        <v/>
      </c>
      <c r="Q247" s="19">
</c>
      <c r="R247" s="16" cm="1" t="str">
        <f t="array" ref="R247">IF(C247="","",ROUND(Q247/1000000,3)&amp;" M€")</f>
        <v/>
      </c>
      <c r="S247" s="17">
</c>
      <c r="T247" s="9" cm="1" t="str">
        <f t="array" ref="T247">IF(C247="","",SUBSTITUTE(S247,"","")&amp;"%")</f>
        <v/>
      </c>
      <c r="U247" s="14" cm="1" t="str">
        <f t="array" ref="U247">IF(($N247="")*($P247=""),"",IF(($N247&lt;&gt;"")*($N247&gt;TODAY()-9)*($N247&lt;TODAY()+1)*($P247&lt;&gt;"")*($P247&gt;=TODAY())*($P247&lt;=TODAY()+13),"Semaine passée &amp; à venir",IF(($N247&lt;&gt;"")*($N247&gt;TODAY()-9)*($N247&lt;TODAY()+1),"Semaine passée",IF(($P247&lt;&gt;"")*($P247&gt;=TODAY())*($P247&lt;=TODAY()+13),"À venir","Autre"))))</f>
        <v/>
      </c>
      <c r="V247" s="8">
</c>
      <c r="W247" s="8">
</c>
      <c r="X247" s="8">
</c>
      <c r="Y247" s="8">
</c>
      <c r="Z247" s="8">
</c>
      <c r="AA247" s="8">
</c>
      <c r="AB247" s="8">
</c>
      <c r="AC247" s="8">
</c>
      <c r="AD247" s="8">
</c>
      <c r="AE247" s="8">
</c>
      <c r="AF247" s="8">
</c>
      <c r="AG247" s="8">
</c>
      <c r="AH247" s="8">
</c>
      <c r="AI247" s="8">
</c>
      <c r="AJ247" s="8">
</c>
      <c r="AK247" s="8">
</c>
    </row>
    <row r="248" ht="76.5" customHeight="1">
      <c r="A248">
</c>
      <c r="B248">
</c>
      <c r="C248" s="17">
</c>
      <c r="D248" s="17">
</c>
      <c r="E248">
</c>
      <c r="F248">
</c>
      <c r="G248" s="13" cm="1" t="str">
        <f t="array" ref="G248">IF(F248="","",SUBSTITUTE(SUBSTITUTE(SUBSTITUTE(SUBSTITUTE(F248,"&lt;li&gt;",CHAR(10)),"&lt;/li&gt;",""),"&lt;br&gt;",CHAR(10)),"&lt;strong&gt;",""))</f>
        <v/>
      </c>
      <c r="H248" s="13" cm="1" t="str">
        <f t="array" ref="H248">IF(G248="","",SUBSTITUTE(SUBSTITUTE(SUBSTITUTE(SUBSTITUTE(SUBSTITUTE(G248,"&lt;p&gt;",""),"&lt;/p&gt;",""),"&lt;ul&gt;",""),"&lt;/ul&gt;",""),"&lt;/strong&gt;",""))</f>
        <v/>
      </c>
      <c r="I248" s="14" cm="1" t="str">
        <f t="array" ref="I248">IF(C248="","",IF(OR(H248="",H248=0,H248=FALSE),"-",H248))</f>
        <v/>
      </c>
      <c r="J248">
</c>
      <c r="K248">
</c>
      <c r="L248" s="9" cm="1" t="str">
        <f t="array" ref="L248">IF(C248="","",IF(K248="Mort / Plus rien à faire","KO","OK"))</f>
        <v/>
      </c>
      <c r="M248" s="18">
</c>
      <c r="N248" s="15" cm="1" t="str">
        <f t="array" ref="N248">IF(OR(C248="",M248="",M248=0),"",M248)</f>
        <v/>
      </c>
      <c r="O248" s="18">
</c>
      <c r="P248" s="15" cm="1" t="str">
        <f t="array" ref="P248">IF(C248="","",IF(OR(O248="",O248=0),"-",O248))</f>
        <v/>
      </c>
      <c r="Q248" s="19">
</c>
      <c r="R248" s="16" cm="1" t="str">
        <f t="array" ref="R248">IF(C248="","",ROUND(Q248/1000000,3)&amp;" M€")</f>
        <v/>
      </c>
      <c r="S248" s="17">
</c>
      <c r="T248" s="9" cm="1" t="str">
        <f t="array" ref="T248">IF(C248="","",SUBSTITUTE(S248,"","")&amp;"%")</f>
        <v/>
      </c>
      <c r="U248" s="14" cm="1" t="str">
        <f t="array" ref="U248">IF(($N248="")*($P248=""),"",IF(($N248&lt;&gt;"")*($N248&gt;TODAY()-9)*($N248&lt;TODAY()+1)*($P248&lt;&gt;"")*($P248&gt;=TODAY())*($P248&lt;=TODAY()+13),"Semaine passée &amp; à venir",IF(($N248&lt;&gt;"")*($N248&gt;TODAY()-9)*($N248&lt;TODAY()+1),"Semaine passée",IF(($P248&lt;&gt;"")*($P248&gt;=TODAY())*($P248&lt;=TODAY()+13),"À venir","Autre"))))</f>
        <v/>
      </c>
      <c r="V248" s="8">
</c>
      <c r="W248" s="8">
</c>
      <c r="X248" s="8">
</c>
      <c r="Y248" s="8">
</c>
      <c r="Z248" s="8">
</c>
      <c r="AA248" s="8">
</c>
      <c r="AB248" s="8">
</c>
      <c r="AC248" s="8">
</c>
      <c r="AD248" s="8">
</c>
      <c r="AE248" s="8">
</c>
      <c r="AF248" s="8">
</c>
      <c r="AG248" s="8">
</c>
      <c r="AH248" s="8">
</c>
      <c r="AI248" s="8">
</c>
      <c r="AJ248" s="8">
</c>
      <c r="AK248" s="8">
</c>
    </row>
    <row r="249" ht="76.5" customHeight="1">
      <c r="A249">
</c>
      <c r="B249">
</c>
      <c r="C249" s="17">
</c>
      <c r="D249" s="17">
</c>
      <c r="E249">
</c>
      <c r="F249">
</c>
      <c r="G249" s="13" cm="1" t="str">
        <f t="array" ref="G249">IF(F249="","",SUBSTITUTE(SUBSTITUTE(SUBSTITUTE(SUBSTITUTE(F249,"&lt;li&gt;",CHAR(10)),"&lt;/li&gt;",""),"&lt;br&gt;",CHAR(10)),"&lt;strong&gt;",""))</f>
        <v/>
      </c>
      <c r="H249" s="13" cm="1" t="str">
        <f t="array" ref="H249">IF(G249="","",SUBSTITUTE(SUBSTITUTE(SUBSTITUTE(SUBSTITUTE(SUBSTITUTE(G249,"&lt;p&gt;",""),"&lt;/p&gt;",""),"&lt;ul&gt;",""),"&lt;/ul&gt;",""),"&lt;/strong&gt;",""))</f>
        <v/>
      </c>
      <c r="I249" s="14" cm="1" t="str">
        <f t="array" ref="I249">IF(C249="","",IF(OR(H249="",H249=0,H249=FALSE),"-",H249))</f>
        <v/>
      </c>
      <c r="J249">
</c>
      <c r="K249">
</c>
      <c r="L249" s="9" cm="1" t="str">
        <f t="array" ref="L249">IF(C249="","",IF(K249="Mort / Plus rien à faire","KO","OK"))</f>
        <v/>
      </c>
      <c r="M249" s="18">
</c>
      <c r="N249" s="15" cm="1" t="str">
        <f t="array" ref="N249">IF(OR(C249="",M249="",M249=0),"",M249)</f>
        <v/>
      </c>
      <c r="O249" s="18">
</c>
      <c r="P249" s="15" cm="1" t="str">
        <f t="array" ref="P249">IF(C249="","",IF(OR(O249="",O249=0),"-",O249))</f>
        <v/>
      </c>
      <c r="Q249" s="19">
</c>
      <c r="R249" s="16" cm="1" t="str">
        <f t="array" ref="R249">IF(C249="","",ROUND(Q249/1000000,3)&amp;" M€")</f>
        <v/>
      </c>
      <c r="S249" s="17">
</c>
      <c r="T249" s="9" cm="1" t="str">
        <f t="array" ref="T249">IF(C249="","",SUBSTITUTE(S249,"","")&amp;"%")</f>
        <v/>
      </c>
      <c r="U249" s="14" cm="1" t="str">
        <f t="array" ref="U249">IF(($N249="")*($P249=""),"",IF(($N249&lt;&gt;"")*($N249&gt;TODAY()-9)*($N249&lt;TODAY()+1)*($P249&lt;&gt;"")*($P249&gt;=TODAY())*($P249&lt;=TODAY()+13),"Semaine passée &amp; à venir",IF(($N249&lt;&gt;"")*($N249&gt;TODAY()-9)*($N249&lt;TODAY()+1),"Semaine passée",IF(($P249&lt;&gt;"")*($P249&gt;=TODAY())*($P249&lt;=TODAY()+13),"À venir","Autre"))))</f>
        <v/>
      </c>
      <c r="V249" s="8">
</c>
      <c r="W249" s="8">
</c>
      <c r="X249" s="8">
</c>
      <c r="Y249" s="8">
</c>
      <c r="Z249" s="8">
</c>
      <c r="AA249" s="8">
</c>
      <c r="AB249" s="8">
</c>
      <c r="AC249" s="8">
</c>
      <c r="AD249" s="8">
</c>
      <c r="AE249" s="8">
</c>
      <c r="AF249" s="8">
</c>
      <c r="AG249" s="8">
</c>
      <c r="AH249" s="8">
</c>
      <c r="AI249" s="8">
</c>
      <c r="AJ249" s="8">
</c>
      <c r="AK249" s="8">
</c>
    </row>
    <row r="250" ht="76.5" customHeight="1">
      <c r="A250">
</c>
      <c r="B250">
</c>
      <c r="C250" s="17">
</c>
      <c r="D250" s="17">
</c>
      <c r="E250">
</c>
      <c r="F250">
</c>
      <c r="G250" s="13" cm="1" t="str">
        <f t="array" ref="G250">IF(F250="","",SUBSTITUTE(SUBSTITUTE(SUBSTITUTE(SUBSTITUTE(F250,"&lt;li&gt;",CHAR(10)),"&lt;/li&gt;",""),"&lt;br&gt;",CHAR(10)),"&lt;strong&gt;",""))</f>
        <v/>
      </c>
      <c r="H250" s="13" cm="1" t="str">
        <f t="array" ref="H250">IF(G250="","",SUBSTITUTE(SUBSTITUTE(SUBSTITUTE(SUBSTITUTE(SUBSTITUTE(G250,"&lt;p&gt;",""),"&lt;/p&gt;",""),"&lt;ul&gt;",""),"&lt;/ul&gt;",""),"&lt;/strong&gt;",""))</f>
        <v/>
      </c>
      <c r="I250" s="14" cm="1" t="str">
        <f t="array" ref="I250">IF(C250="","",IF(OR(H250="",H250=0,H250=FALSE),"-",H250))</f>
        <v/>
      </c>
      <c r="J250">
</c>
      <c r="K250">
</c>
      <c r="L250" s="9" cm="1" t="str">
        <f t="array" ref="L250">IF(C250="","",IF(K250="Mort / Plus rien à faire","KO","OK"))</f>
        <v/>
      </c>
      <c r="M250" s="18">
</c>
      <c r="N250" s="15" cm="1" t="str">
        <f t="array" ref="N250">IF(OR(C250="",M250="",M250=0),"",M250)</f>
        <v/>
      </c>
      <c r="O250" s="18">
</c>
      <c r="P250" s="15" cm="1" t="str">
        <f t="array" ref="P250">IF(C250="","",IF(OR(O250="",O250=0),"-",O250))</f>
        <v/>
      </c>
      <c r="Q250" s="19">
</c>
      <c r="R250" s="16" cm="1" t="str">
        <f t="array" ref="R250">IF(C250="","",ROUND(Q250/1000000,3)&amp;" M€")</f>
        <v/>
      </c>
      <c r="S250" s="17">
</c>
      <c r="T250" s="9" cm="1" t="str">
        <f t="array" ref="T250">IF(C250="","",SUBSTITUTE(S250,"","")&amp;"%")</f>
        <v/>
      </c>
      <c r="U250" s="14" cm="1" t="str">
        <f t="array" ref="U250">IF(($N250="")*($P250=""),"",IF(($N250&lt;&gt;"")*($N250&gt;TODAY()-9)*($N250&lt;TODAY()+1)*($P250&lt;&gt;"")*($P250&gt;=TODAY())*($P250&lt;=TODAY()+13),"Semaine passée &amp; à venir",IF(($N250&lt;&gt;"")*($N250&gt;TODAY()-9)*($N250&lt;TODAY()+1),"Semaine passée",IF(($P250&lt;&gt;"")*($P250&gt;=TODAY())*($P250&lt;=TODAY()+13),"À venir","Autre"))))</f>
        <v/>
      </c>
      <c r="V250" s="8">
</c>
      <c r="W250" s="8">
</c>
      <c r="X250" s="8">
</c>
      <c r="Y250" s="8">
</c>
      <c r="Z250" s="8">
</c>
      <c r="AA250" s="8">
</c>
      <c r="AB250" s="8">
</c>
      <c r="AC250" s="8">
</c>
      <c r="AD250" s="8">
</c>
      <c r="AE250" s="8">
</c>
      <c r="AF250" s="8">
</c>
      <c r="AG250" s="8">
</c>
      <c r="AH250" s="8">
</c>
      <c r="AI250" s="8">
</c>
      <c r="AJ250" s="8">
</c>
      <c r="AK250" s="8">
</c>
    </row>
    <row r="251" ht="76.5" customHeight="1">
      <c r="A251">
</c>
      <c r="B251">
</c>
      <c r="C251" s="17">
</c>
      <c r="D251" s="17">
</c>
      <c r="E251">
</c>
      <c r="F251">
</c>
      <c r="G251" s="13" cm="1" t="str">
        <f t="array" ref="G251">IF(F251="","",SUBSTITUTE(SUBSTITUTE(SUBSTITUTE(SUBSTITUTE(F251,"&lt;li&gt;",CHAR(10)),"&lt;/li&gt;",""),"&lt;br&gt;",CHAR(10)),"&lt;strong&gt;",""))</f>
        <v/>
      </c>
      <c r="H251" s="13" cm="1" t="str">
        <f t="array" ref="H251">IF(G251="","",SUBSTITUTE(SUBSTITUTE(SUBSTITUTE(SUBSTITUTE(SUBSTITUTE(G251,"&lt;p&gt;",""),"&lt;/p&gt;",""),"&lt;ul&gt;",""),"&lt;/ul&gt;",""),"&lt;/strong&gt;",""))</f>
        <v/>
      </c>
      <c r="I251" s="14" cm="1" t="str">
        <f t="array" ref="I251">IF(C251="","",IF(OR(H251="",H251=0,H251=FALSE),"-",H251))</f>
        <v/>
      </c>
      <c r="J251">
</c>
      <c r="K251">
</c>
      <c r="L251" s="9" cm="1" t="str">
        <f t="array" ref="L251">IF(C251="","",IF(K251="Mort / Plus rien à faire","KO","OK"))</f>
        <v/>
      </c>
      <c r="M251" s="18">
</c>
      <c r="N251" s="15" cm="1" t="str">
        <f t="array" ref="N251">IF(OR(C251="",M251="",M251=0),"",M251)</f>
        <v/>
      </c>
      <c r="O251" s="18">
</c>
      <c r="P251" s="15" cm="1" t="str">
        <f t="array" ref="P251">IF(C251="","",IF(OR(O251="",O251=0),"-",O251))</f>
        <v/>
      </c>
      <c r="Q251" s="19">
</c>
      <c r="R251" s="16" cm="1" t="str">
        <f t="array" ref="R251">IF(C251="","",ROUND(Q251/1000000,3)&amp;" M€")</f>
        <v/>
      </c>
      <c r="S251" s="17">
</c>
      <c r="T251" s="9" cm="1" t="str">
        <f t="array" ref="T251">IF(C251="","",SUBSTITUTE(S251,"","")&amp;"%")</f>
        <v/>
      </c>
      <c r="U251" s="14" cm="1" t="str">
        <f t="array" ref="U251">IF(($N251="")*($P251=""),"",IF(($N251&lt;&gt;"")*($N251&gt;TODAY()-9)*($N251&lt;TODAY()+1)*($P251&lt;&gt;"")*($P251&gt;=TODAY())*($P251&lt;=TODAY()+13),"Semaine passée &amp; à venir",IF(($N251&lt;&gt;"")*($N251&gt;TODAY()-9)*($N251&lt;TODAY()+1),"Semaine passée",IF(($P251&lt;&gt;"")*($P251&gt;=TODAY())*($P251&lt;=TODAY()+13),"À venir","Autre"))))</f>
        <v/>
      </c>
      <c r="V251" s="8">
</c>
      <c r="W251" s="8">
</c>
      <c r="X251" s="8">
</c>
      <c r="Y251" s="8">
</c>
      <c r="Z251" s="8">
</c>
      <c r="AA251" s="8">
</c>
      <c r="AB251" s="8">
</c>
      <c r="AC251" s="8">
</c>
      <c r="AD251" s="8">
</c>
      <c r="AE251" s="8">
</c>
      <c r="AF251" s="8">
</c>
      <c r="AG251" s="8">
</c>
      <c r="AH251" s="8">
</c>
      <c r="AI251" s="8">
</c>
      <c r="AJ251" s="8">
</c>
      <c r="AK251" s="8">
</c>
    </row>
    <row r="252" ht="76.5" customHeight="1">
      <c r="A252">
</c>
      <c r="B252">
</c>
      <c r="C252" s="17">
</c>
      <c r="D252" s="17">
</c>
      <c r="E252">
</c>
      <c r="F252">
</c>
      <c r="G252" s="13" cm="1" t="str">
        <f t="array" ref="G252">IF(F252="","",SUBSTITUTE(SUBSTITUTE(SUBSTITUTE(SUBSTITUTE(F252,"&lt;li&gt;",CHAR(10)),"&lt;/li&gt;",""),"&lt;br&gt;",CHAR(10)),"&lt;strong&gt;",""))</f>
        <v/>
      </c>
      <c r="H252" s="13" cm="1" t="str">
        <f t="array" ref="H252">IF(G252="","",SUBSTITUTE(SUBSTITUTE(SUBSTITUTE(SUBSTITUTE(SUBSTITUTE(G252,"&lt;p&gt;",""),"&lt;/p&gt;",""),"&lt;ul&gt;",""),"&lt;/ul&gt;",""),"&lt;/strong&gt;",""))</f>
        <v/>
      </c>
      <c r="I252" s="14" cm="1" t="str">
        <f t="array" ref="I252">IF(C252="","",IF(OR(H252="",H252=0,H252=FALSE),"-",H252))</f>
        <v/>
      </c>
      <c r="J252">
</c>
      <c r="K252">
</c>
      <c r="L252" s="9" cm="1" t="str">
        <f t="array" ref="L252">IF(C252="","",IF(K252="Mort / Plus rien à faire","KO","OK"))</f>
        <v/>
      </c>
      <c r="M252" s="18">
</c>
      <c r="N252" s="15" cm="1" t="str">
        <f t="array" ref="N252">IF(OR(C252="",M252="",M252=0),"",M252)</f>
        <v/>
      </c>
      <c r="O252" s="18">
</c>
      <c r="P252" s="15" cm="1" t="str">
        <f t="array" ref="P252">IF(C252="","",IF(OR(O252="",O252=0),"-",O252))</f>
        <v/>
      </c>
      <c r="Q252" s="19">
</c>
      <c r="R252" s="16" cm="1" t="str">
        <f t="array" ref="R252">IF(C252="","",ROUND(Q252/1000000,3)&amp;" M€")</f>
        <v/>
      </c>
      <c r="S252" s="17">
</c>
      <c r="T252" s="9" cm="1" t="str">
        <f t="array" ref="T252">IF(C252="","",SUBSTITUTE(S252,"","")&amp;"%")</f>
        <v/>
      </c>
      <c r="U252" s="14" cm="1" t="str">
        <f t="array" ref="U252">IF(($N252="")*($P252=""),"",IF(($N252&lt;&gt;"")*($N252&gt;TODAY()-9)*($N252&lt;TODAY()+1)*($P252&lt;&gt;"")*($P252&gt;=TODAY())*($P252&lt;=TODAY()+13),"Semaine passée &amp; à venir",IF(($N252&lt;&gt;"")*($N252&gt;TODAY()-9)*($N252&lt;TODAY()+1),"Semaine passée",IF(($P252&lt;&gt;"")*($P252&gt;=TODAY())*($P252&lt;=TODAY()+13),"À venir","Autre"))))</f>
        <v/>
      </c>
      <c r="V252" s="8">
</c>
      <c r="W252" s="8">
</c>
      <c r="X252" s="8">
</c>
      <c r="Y252" s="8">
</c>
      <c r="Z252" s="8">
</c>
      <c r="AA252" s="8">
</c>
      <c r="AB252" s="8">
</c>
      <c r="AC252" s="8">
</c>
      <c r="AD252" s="8">
</c>
      <c r="AE252" s="8">
</c>
      <c r="AF252" s="8">
</c>
      <c r="AG252" s="8">
</c>
      <c r="AH252" s="8">
</c>
      <c r="AI252" s="8">
</c>
      <c r="AJ252" s="8">
</c>
      <c r="AK252" s="8">
</c>
    </row>
    <row r="253" ht="76.5" customHeight="1">
      <c r="A253">
</c>
      <c r="B253">
</c>
      <c r="C253" s="17">
</c>
      <c r="D253" s="17">
</c>
      <c r="E253">
</c>
      <c r="F253">
</c>
      <c r="G253" s="13" cm="1" t="str">
        <f t="array" ref="G253">IF(F253="","",SUBSTITUTE(SUBSTITUTE(SUBSTITUTE(SUBSTITUTE(F253,"&lt;li&gt;",CHAR(10)),"&lt;/li&gt;",""),"&lt;br&gt;",CHAR(10)),"&lt;strong&gt;",""))</f>
        <v/>
      </c>
      <c r="H253" s="13" cm="1" t="str">
        <f t="array" ref="H253">IF(G253="","",SUBSTITUTE(SUBSTITUTE(SUBSTITUTE(SUBSTITUTE(SUBSTITUTE(G253,"&lt;p&gt;",""),"&lt;/p&gt;",""),"&lt;ul&gt;",""),"&lt;/ul&gt;",""),"&lt;/strong&gt;",""))</f>
        <v/>
      </c>
      <c r="I253" s="14" cm="1" t="str">
        <f t="array" ref="I253">IF(C253="","",IF(OR(H253="",H253=0,H253=FALSE),"-",H253))</f>
        <v/>
      </c>
      <c r="J253">
</c>
      <c r="K253">
</c>
      <c r="L253" s="9" cm="1" t="str">
        <f t="array" ref="L253">IF(C253="","",IF(K253="Mort / Plus rien à faire","KO","OK"))</f>
        <v/>
      </c>
      <c r="M253" s="18">
</c>
      <c r="N253" s="15" cm="1" t="str">
        <f t="array" ref="N253">IF(OR(C253="",M253="",M253=0),"",M253)</f>
        <v/>
      </c>
      <c r="O253" s="18">
</c>
      <c r="P253" s="15" cm="1" t="str">
        <f t="array" ref="P253">IF(C253="","",IF(OR(O253="",O253=0),"-",O253))</f>
        <v/>
      </c>
      <c r="Q253" s="19">
</c>
      <c r="R253" s="16" cm="1" t="str">
        <f t="array" ref="R253">IF(C253="","",ROUND(Q253/1000000,3)&amp;" M€")</f>
        <v/>
      </c>
      <c r="S253" s="17">
</c>
      <c r="T253" s="9" cm="1" t="str">
        <f t="array" ref="T253">IF(C253="","",SUBSTITUTE(S253,"","")&amp;"%")</f>
        <v/>
      </c>
      <c r="U253" s="14" cm="1" t="str">
        <f t="array" ref="U253">IF(($N253="")*($P253=""),"",IF(($N253&lt;&gt;"")*($N253&gt;TODAY()-9)*($N253&lt;TODAY()+1)*($P253&lt;&gt;"")*($P253&gt;=TODAY())*($P253&lt;=TODAY()+13),"Semaine passée &amp; à venir",IF(($N253&lt;&gt;"")*($N253&gt;TODAY()-9)*($N253&lt;TODAY()+1),"Semaine passée",IF(($P253&lt;&gt;"")*($P253&gt;=TODAY())*($P253&lt;=TODAY()+13),"À venir","Autre"))))</f>
        <v/>
      </c>
      <c r="V253" s="8">
</c>
      <c r="W253" s="8">
</c>
      <c r="X253" s="8">
</c>
      <c r="Y253" s="8">
</c>
      <c r="Z253" s="8">
</c>
      <c r="AA253" s="8">
</c>
      <c r="AB253" s="8">
</c>
      <c r="AC253" s="8">
</c>
      <c r="AD253" s="8">
</c>
      <c r="AE253" s="8">
</c>
      <c r="AF253" s="8">
</c>
      <c r="AG253" s="8">
</c>
      <c r="AH253" s="8">
</c>
      <c r="AI253" s="8">
</c>
      <c r="AJ253" s="8">
</c>
      <c r="AK253" s="8">
</c>
    </row>
    <row r="254" ht="76.5" customHeight="1">
      <c r="A254">
</c>
      <c r="B254">
</c>
      <c r="C254" s="17">
</c>
      <c r="D254" s="17">
</c>
      <c r="E254">
</c>
      <c r="F254">
</c>
      <c r="G254" s="13" cm="1" t="str">
        <f t="array" ref="G254">IF(F254="","",SUBSTITUTE(SUBSTITUTE(SUBSTITUTE(SUBSTITUTE(F254,"&lt;li&gt;",CHAR(10)),"&lt;/li&gt;",""),"&lt;br&gt;",CHAR(10)),"&lt;strong&gt;",""))</f>
        <v/>
      </c>
      <c r="H254" s="13" cm="1" t="str">
        <f t="array" ref="H254">IF(G254="","",SUBSTITUTE(SUBSTITUTE(SUBSTITUTE(SUBSTITUTE(SUBSTITUTE(G254,"&lt;p&gt;",""),"&lt;/p&gt;",""),"&lt;ul&gt;",""),"&lt;/ul&gt;",""),"&lt;/strong&gt;",""))</f>
        <v/>
      </c>
      <c r="I254" s="14" cm="1" t="str">
        <f t="array" ref="I254">IF(C254="","",IF(OR(H254="",H254=0,H254=FALSE),"-",H254))</f>
        <v/>
      </c>
      <c r="J254">
</c>
      <c r="K254">
</c>
      <c r="L254" s="9" cm="1" t="str">
        <f t="array" ref="L254">IF(C254="","",IF(K254="Mort / Plus rien à faire","KO","OK"))</f>
        <v/>
      </c>
      <c r="M254" s="18">
</c>
      <c r="N254" s="15" cm="1" t="str">
        <f t="array" ref="N254">IF(OR(C254="",M254="",M254=0),"",M254)</f>
        <v/>
      </c>
      <c r="O254" s="18">
</c>
      <c r="P254" s="15" cm="1" t="str">
        <f t="array" ref="P254">IF(C254="","",IF(OR(O254="",O254=0),"-",O254))</f>
        <v/>
      </c>
      <c r="Q254" s="19">
</c>
      <c r="R254" s="16" cm="1" t="str">
        <f t="array" ref="R254">IF(C254="","",ROUND(Q254/1000000,3)&amp;" M€")</f>
        <v/>
      </c>
      <c r="S254" s="17">
</c>
      <c r="T254" s="9" cm="1" t="str">
        <f t="array" ref="T254">IF(C254="","",SUBSTITUTE(S254,"","")&amp;"%")</f>
        <v/>
      </c>
      <c r="U254" s="14" cm="1" t="str">
        <f t="array" ref="U254">IF(($N254="")*($P254=""),"",IF(($N254&lt;&gt;"")*($N254&gt;TODAY()-9)*($N254&lt;TODAY()+1)*($P254&lt;&gt;"")*($P254&gt;=TODAY())*($P254&lt;=TODAY()+13),"Semaine passée &amp; à venir",IF(($N254&lt;&gt;"")*($N254&gt;TODAY()-9)*($N254&lt;TODAY()+1),"Semaine passée",IF(($P254&lt;&gt;"")*($P254&gt;=TODAY())*($P254&lt;=TODAY()+13),"À venir","Autre"))))</f>
        <v/>
      </c>
      <c r="V254" s="8">
</c>
      <c r="W254" s="8">
</c>
      <c r="X254" s="8">
</c>
      <c r="Y254" s="8">
</c>
      <c r="Z254" s="8">
</c>
      <c r="AA254" s="8">
</c>
      <c r="AB254" s="8">
</c>
      <c r="AC254" s="8">
</c>
      <c r="AD254" s="8">
</c>
      <c r="AE254" s="8">
</c>
      <c r="AF254" s="8">
</c>
      <c r="AG254" s="8">
</c>
      <c r="AH254" s="8">
</c>
      <c r="AI254" s="8">
</c>
      <c r="AJ254" s="8">
</c>
      <c r="AK254" s="8">
</c>
    </row>
    <row r="255" ht="76.5" customHeight="1">
      <c r="A255">
</c>
      <c r="B255">
</c>
      <c r="C255" s="17">
</c>
      <c r="D255" s="17">
</c>
      <c r="E255">
</c>
      <c r="F255">
</c>
      <c r="G255" s="13" cm="1" t="str">
        <f t="array" ref="G255">IF(F255="","",SUBSTITUTE(SUBSTITUTE(SUBSTITUTE(SUBSTITUTE(F255,"&lt;li&gt;",CHAR(10)),"&lt;/li&gt;",""),"&lt;br&gt;",CHAR(10)),"&lt;strong&gt;",""))</f>
        <v/>
      </c>
      <c r="H255" s="13" cm="1" t="str">
        <f t="array" ref="H255">IF(G255="","",SUBSTITUTE(SUBSTITUTE(SUBSTITUTE(SUBSTITUTE(SUBSTITUTE(G255,"&lt;p&gt;",""),"&lt;/p&gt;",""),"&lt;ul&gt;",""),"&lt;/ul&gt;",""),"&lt;/strong&gt;",""))</f>
        <v/>
      </c>
      <c r="I255" s="14" cm="1" t="str">
        <f t="array" ref="I255">IF(C255="","",IF(OR(H255="",H255=0,H255=FALSE),"-",H255))</f>
        <v/>
      </c>
      <c r="J255">
</c>
      <c r="K255">
</c>
      <c r="L255" s="9" cm="1" t="str">
        <f t="array" ref="L255">IF(C255="","",IF(K255="Mort / Plus rien à faire","KO","OK"))</f>
        <v/>
      </c>
      <c r="M255" s="18">
</c>
      <c r="N255" s="15" cm="1" t="str">
        <f t="array" ref="N255">IF(OR(C255="",M255="",M255=0),"",M255)</f>
        <v/>
      </c>
      <c r="O255" s="18">
</c>
      <c r="P255" s="15" cm="1" t="str">
        <f t="array" ref="P255">IF(C255="","",IF(OR(O255="",O255=0),"-",O255))</f>
        <v/>
      </c>
      <c r="Q255" s="19">
</c>
      <c r="R255" s="16" cm="1" t="str">
        <f t="array" ref="R255">IF(C255="","",ROUND(Q255/1000000,3)&amp;" M€")</f>
        <v/>
      </c>
      <c r="S255" s="17">
</c>
      <c r="T255" s="9" cm="1" t="str">
        <f t="array" ref="T255">IF(C255="","",SUBSTITUTE(S255,"","")&amp;"%")</f>
        <v/>
      </c>
      <c r="U255" s="14" cm="1" t="str">
        <f t="array" ref="U255">IF(($N255="")*($P255=""),"",IF(($N255&lt;&gt;"")*($N255&gt;TODAY()-9)*($N255&lt;TODAY()+1)*($P255&lt;&gt;"")*($P255&gt;=TODAY())*($P255&lt;=TODAY()+13),"Semaine passée &amp; à venir",IF(($N255&lt;&gt;"")*($N255&gt;TODAY()-9)*($N255&lt;TODAY()+1),"Semaine passée",IF(($P255&lt;&gt;"")*($P255&gt;=TODAY())*($P255&lt;=TODAY()+13),"À venir","Autre"))))</f>
        <v/>
      </c>
      <c r="V255" s="8">
</c>
      <c r="W255" s="8">
</c>
      <c r="X255" s="8">
</c>
      <c r="Y255" s="8">
</c>
      <c r="Z255" s="8">
</c>
      <c r="AA255" s="8">
</c>
      <c r="AB255" s="8">
</c>
      <c r="AC255" s="8">
</c>
      <c r="AD255" s="8">
</c>
      <c r="AE255" s="8">
</c>
      <c r="AF255" s="8">
</c>
      <c r="AG255" s="8">
</c>
      <c r="AH255" s="8">
</c>
      <c r="AI255" s="8">
</c>
      <c r="AJ255" s="8">
</c>
      <c r="AK255" s="8">
</c>
    </row>
    <row r="256" ht="76.5" customHeight="1">
      <c r="A256">
</c>
      <c r="B256">
</c>
      <c r="C256" s="17">
</c>
      <c r="D256" s="17">
</c>
      <c r="E256">
</c>
      <c r="F256">
</c>
      <c r="G256" s="13" cm="1" t="str">
        <f t="array" ref="G256">IF(F256="","",SUBSTITUTE(SUBSTITUTE(SUBSTITUTE(SUBSTITUTE(F256,"&lt;li&gt;",CHAR(10)),"&lt;/li&gt;",""),"&lt;br&gt;",CHAR(10)),"&lt;strong&gt;",""))</f>
        <v/>
      </c>
      <c r="H256" s="13" cm="1" t="str">
        <f t="array" ref="H256">IF(G256="","",SUBSTITUTE(SUBSTITUTE(SUBSTITUTE(SUBSTITUTE(SUBSTITUTE(G256,"&lt;p&gt;",""),"&lt;/p&gt;",""),"&lt;ul&gt;",""),"&lt;/ul&gt;",""),"&lt;/strong&gt;",""))</f>
        <v/>
      </c>
      <c r="I256" s="14" cm="1" t="str">
        <f t="array" ref="I256">IF(C256="","",IF(OR(H256="",H256=0,H256=FALSE),"-",H256))</f>
        <v/>
      </c>
      <c r="J256">
</c>
      <c r="K256">
</c>
      <c r="L256" s="9" cm="1" t="str">
        <f t="array" ref="L256">IF(C256="","",IF(K256="Mort / Plus rien à faire","KO","OK"))</f>
        <v/>
      </c>
      <c r="M256" s="18">
</c>
      <c r="N256" s="15" cm="1" t="str">
        <f t="array" ref="N256">IF(OR(C256="",M256="",M256=0),"",M256)</f>
        <v/>
      </c>
      <c r="O256" s="18">
</c>
      <c r="P256" s="15" cm="1" t="str">
        <f t="array" ref="P256">IF(C256="","",IF(OR(O256="",O256=0),"-",O256))</f>
        <v/>
      </c>
      <c r="Q256" s="19">
</c>
      <c r="R256" s="16" cm="1" t="str">
        <f t="array" ref="R256">IF(C256="","",ROUND(Q256/1000000,3)&amp;" M€")</f>
        <v/>
      </c>
      <c r="S256" s="17">
</c>
      <c r="T256" s="9" cm="1" t="str">
        <f t="array" ref="T256">IF(C256="","",SUBSTITUTE(S256,"","")&amp;"%")</f>
        <v/>
      </c>
      <c r="U256" s="14" cm="1" t="str">
        <f t="array" ref="U256">IF(($N256="")*($P256=""),"",IF(($N256&lt;&gt;"")*($N256&gt;TODAY()-9)*($N256&lt;TODAY()+1)*($P256&lt;&gt;"")*($P256&gt;=TODAY())*($P256&lt;=TODAY()+13),"Semaine passée &amp; à venir",IF(($N256&lt;&gt;"")*($N256&gt;TODAY()-9)*($N256&lt;TODAY()+1),"Semaine passée",IF(($P256&lt;&gt;"")*($P256&gt;=TODAY())*($P256&lt;=TODAY()+13),"À venir","Autre"))))</f>
        <v/>
      </c>
      <c r="V256" s="8">
</c>
      <c r="W256" s="8">
</c>
      <c r="X256" s="8">
</c>
      <c r="Y256" s="8">
</c>
      <c r="Z256" s="8">
</c>
      <c r="AA256" s="8">
</c>
      <c r="AB256" s="8">
</c>
      <c r="AC256" s="8">
</c>
      <c r="AD256" s="8">
</c>
      <c r="AE256" s="8">
</c>
      <c r="AF256" s="8">
</c>
      <c r="AG256" s="8">
</c>
      <c r="AH256" s="8">
</c>
      <c r="AI256" s="8">
</c>
      <c r="AJ256" s="8">
</c>
      <c r="AK256" s="8">
</c>
    </row>
    <row r="257" ht="76.5" customHeight="1">
      <c r="A257">
</c>
      <c r="B257">
</c>
      <c r="C257" s="17">
</c>
      <c r="D257" s="17">
</c>
      <c r="E257">
</c>
      <c r="F257">
</c>
      <c r="G257" s="13" cm="1" t="str">
        <f t="array" ref="G257">IF(F257="","",SUBSTITUTE(SUBSTITUTE(SUBSTITUTE(SUBSTITUTE(F257,"&lt;li&gt;",CHAR(10)),"&lt;/li&gt;",""),"&lt;br&gt;",CHAR(10)),"&lt;strong&gt;",""))</f>
        <v/>
      </c>
      <c r="H257" s="13" cm="1" t="str">
        <f t="array" ref="H257">IF(G257="","",SUBSTITUTE(SUBSTITUTE(SUBSTITUTE(SUBSTITUTE(SUBSTITUTE(G257,"&lt;p&gt;",""),"&lt;/p&gt;",""),"&lt;ul&gt;",""),"&lt;/ul&gt;",""),"&lt;/strong&gt;",""))</f>
        <v/>
      </c>
      <c r="I257" s="14" cm="1" t="str">
        <f t="array" ref="I257">IF(C257="","",IF(OR(H257="",H257=0,H257=FALSE),"-",H257))</f>
        <v/>
      </c>
      <c r="J257">
</c>
      <c r="K257">
</c>
      <c r="L257" s="9" cm="1" t="str">
        <f t="array" ref="L257">IF(C257="","",IF(K257="Mort / Plus rien à faire","KO","OK"))</f>
        <v/>
      </c>
      <c r="M257" s="18">
</c>
      <c r="N257" s="15" cm="1" t="str">
        <f t="array" ref="N257">IF(OR(C257="",M257="",M257=0),"",M257)</f>
        <v/>
      </c>
      <c r="O257" s="18">
</c>
      <c r="P257" s="15" cm="1" t="str">
        <f t="array" ref="P257">IF(C257="","",IF(OR(O257="",O257=0),"-",O257))</f>
        <v/>
      </c>
      <c r="Q257" s="19">
</c>
      <c r="R257" s="16" cm="1" t="str">
        <f t="array" ref="R257">IF(C257="","",ROUND(Q257/1000000,3)&amp;" M€")</f>
        <v/>
      </c>
      <c r="S257" s="17">
</c>
      <c r="T257" s="9" cm="1" t="str">
        <f t="array" ref="T257">IF(C257="","",SUBSTITUTE(S257,"","")&amp;"%")</f>
        <v/>
      </c>
      <c r="U257" s="14" cm="1" t="str">
        <f t="array" ref="U257">IF(($N257="")*($P257=""),"",IF(($N257&lt;&gt;"")*($N257&gt;TODAY()-9)*($N257&lt;TODAY()+1)*($P257&lt;&gt;"")*($P257&gt;=TODAY())*($P257&lt;=TODAY()+13),"Semaine passée &amp; à venir",IF(($N257&lt;&gt;"")*($N257&gt;TODAY()-9)*($N257&lt;TODAY()+1),"Semaine passée",IF(($P257&lt;&gt;"")*($P257&gt;=TODAY())*($P257&lt;=TODAY()+13),"À venir","Autre"))))</f>
        <v/>
      </c>
      <c r="V257" s="8">
</c>
      <c r="W257" s="8">
</c>
      <c r="X257" s="8">
</c>
      <c r="Y257" s="8">
</c>
      <c r="Z257" s="8">
</c>
      <c r="AA257" s="8">
</c>
      <c r="AB257" s="8">
</c>
      <c r="AC257" s="8">
</c>
      <c r="AD257" s="8">
</c>
      <c r="AE257" s="8">
</c>
      <c r="AF257" s="8">
</c>
      <c r="AG257" s="8">
</c>
      <c r="AH257" s="8">
</c>
      <c r="AI257" s="8">
</c>
      <c r="AJ257" s="8">
</c>
      <c r="AK257" s="8">
</c>
    </row>
    <row r="258" ht="76.5" customHeight="1">
      <c r="A258">
</c>
      <c r="B258">
</c>
      <c r="C258" s="17">
</c>
      <c r="D258" s="17">
</c>
      <c r="E258">
</c>
      <c r="F258">
</c>
      <c r="G258" s="13" cm="1" t="str">
        <f t="array" ref="G258">IF(F258="","",SUBSTITUTE(SUBSTITUTE(SUBSTITUTE(SUBSTITUTE(F258,"&lt;li&gt;",CHAR(10)),"&lt;/li&gt;",""),"&lt;br&gt;",CHAR(10)),"&lt;strong&gt;",""))</f>
        <v/>
      </c>
      <c r="H258" s="13" cm="1" t="str">
        <f t="array" ref="H258">IF(G258="","",SUBSTITUTE(SUBSTITUTE(SUBSTITUTE(SUBSTITUTE(SUBSTITUTE(G258,"&lt;p&gt;",""),"&lt;/p&gt;",""),"&lt;ul&gt;",""),"&lt;/ul&gt;",""),"&lt;/strong&gt;",""))</f>
        <v/>
      </c>
      <c r="I258" s="14" cm="1" t="str">
        <f t="array" ref="I258">IF(C258="","",IF(OR(H258="",H258=0,H258=FALSE),"-",H258))</f>
        <v/>
      </c>
      <c r="J258">
</c>
      <c r="K258">
</c>
      <c r="L258" s="9" cm="1" t="str">
        <f t="array" ref="L258">IF(C258="","",IF(K258="Mort / Plus rien à faire","KO","OK"))</f>
        <v/>
      </c>
      <c r="M258" s="18">
</c>
      <c r="N258" s="15" cm="1" t="str">
        <f t="array" ref="N258">IF(OR(C258="",M258="",M258=0),"",M258)</f>
        <v/>
      </c>
      <c r="O258" s="18">
</c>
      <c r="P258" s="15" cm="1" t="str">
        <f t="array" ref="P258">IF(C258="","",IF(OR(O258="",O258=0),"-",O258))</f>
        <v/>
      </c>
      <c r="Q258" s="19">
</c>
      <c r="R258" s="16" cm="1" t="str">
        <f t="array" ref="R258">IF(C258="","",ROUND(Q258/1000000,3)&amp;" M€")</f>
        <v/>
      </c>
      <c r="S258" s="17">
</c>
      <c r="T258" s="9" cm="1" t="str">
        <f t="array" ref="T258">IF(C258="","",SUBSTITUTE(S258,"","")&amp;"%")</f>
        <v/>
      </c>
      <c r="U258" s="14" cm="1" t="str">
        <f t="array" ref="U258">IF(($N258="")*($P258=""),"",IF(($N258&lt;&gt;"")*($N258&gt;TODAY()-9)*($N258&lt;TODAY()+1)*($P258&lt;&gt;"")*($P258&gt;=TODAY())*($P258&lt;=TODAY()+13),"Semaine passée &amp; à venir",IF(($N258&lt;&gt;"")*($N258&gt;TODAY()-9)*($N258&lt;TODAY()+1),"Semaine passée",IF(($P258&lt;&gt;"")*($P258&gt;=TODAY())*($P258&lt;=TODAY()+13),"À venir","Autre"))))</f>
        <v/>
      </c>
      <c r="V258" s="8">
</c>
      <c r="W258" s="8">
</c>
      <c r="X258" s="8">
</c>
      <c r="Y258" s="8">
</c>
      <c r="Z258" s="8">
</c>
      <c r="AA258" s="8">
</c>
      <c r="AB258" s="8">
</c>
      <c r="AC258" s="8">
</c>
      <c r="AD258" s="8">
</c>
      <c r="AE258" s="8">
</c>
      <c r="AF258" s="8">
</c>
      <c r="AG258" s="8">
</c>
      <c r="AH258" s="8">
</c>
      <c r="AI258" s="8">
</c>
      <c r="AJ258" s="8">
</c>
      <c r="AK258" s="8">
</c>
    </row>
    <row r="259" ht="76.5" customHeight="1">
      <c r="A259">
</c>
      <c r="B259">
</c>
      <c r="C259" s="17">
</c>
      <c r="D259" s="17">
</c>
      <c r="E259">
</c>
      <c r="F259">
</c>
      <c r="G259" s="13" cm="1" t="str">
        <f t="array" ref="G259">IF(F259="","",SUBSTITUTE(SUBSTITUTE(SUBSTITUTE(SUBSTITUTE(F259,"&lt;li&gt;",CHAR(10)),"&lt;/li&gt;",""),"&lt;br&gt;",CHAR(10)),"&lt;strong&gt;",""))</f>
        <v/>
      </c>
      <c r="H259" s="13" cm="1" t="str">
        <f t="array" ref="H259">IF(G259="","",SUBSTITUTE(SUBSTITUTE(SUBSTITUTE(SUBSTITUTE(SUBSTITUTE(G259,"&lt;p&gt;",""),"&lt;/p&gt;",""),"&lt;ul&gt;",""),"&lt;/ul&gt;",""),"&lt;/strong&gt;",""))</f>
        <v/>
      </c>
      <c r="I259" s="14" cm="1" t="str">
        <f t="array" ref="I259">IF(C259="","",IF(OR(H259="",H259=0,H259=FALSE),"-",H259))</f>
        <v/>
      </c>
      <c r="J259">
</c>
      <c r="K259">
</c>
      <c r="L259" s="9" cm="1" t="str">
        <f t="array" ref="L259">IF(C259="","",IF(K259="Mort / Plus rien à faire","KO","OK"))</f>
        <v/>
      </c>
      <c r="M259" s="18">
</c>
      <c r="N259" s="15" cm="1" t="str">
        <f t="array" ref="N259">IF(OR(C259="",M259="",M259=0),"",M259)</f>
        <v/>
      </c>
      <c r="O259" s="18">
</c>
      <c r="P259" s="15" cm="1" t="str">
        <f t="array" ref="P259">IF(C259="","",IF(OR(O259="",O259=0),"-",O259))</f>
        <v/>
      </c>
      <c r="Q259" s="19">
</c>
      <c r="R259" s="16" cm="1" t="str">
        <f t="array" ref="R259">IF(C259="","",ROUND(Q259/1000000,3)&amp;" M€")</f>
        <v/>
      </c>
      <c r="S259" s="17">
</c>
      <c r="T259" s="9" cm="1" t="str">
        <f t="array" ref="T259">IF(C259="","",SUBSTITUTE(S259,"","")&amp;"%")</f>
        <v/>
      </c>
      <c r="U259" s="14" cm="1" t="str">
        <f t="array" ref="U259">IF(($N259="")*($P259=""),"",IF(($N259&lt;&gt;"")*($N259&gt;TODAY()-9)*($N259&lt;TODAY()+1)*($P259&lt;&gt;"")*($P259&gt;=TODAY())*($P259&lt;=TODAY()+13),"Semaine passée &amp; à venir",IF(($N259&lt;&gt;"")*($N259&gt;TODAY()-9)*($N259&lt;TODAY()+1),"Semaine passée",IF(($P259&lt;&gt;"")*($P259&gt;=TODAY())*($P259&lt;=TODAY()+13),"À venir","Autre"))))</f>
        <v/>
      </c>
      <c r="V259" s="8">
</c>
      <c r="W259" s="8">
</c>
      <c r="X259" s="8">
</c>
      <c r="Y259" s="8">
</c>
      <c r="Z259" s="8">
</c>
      <c r="AA259" s="8">
</c>
      <c r="AB259" s="8">
</c>
      <c r="AC259" s="8">
</c>
      <c r="AD259" s="8">
</c>
      <c r="AE259" s="8">
</c>
      <c r="AF259" s="8">
</c>
      <c r="AG259" s="8">
</c>
      <c r="AH259" s="8">
</c>
      <c r="AI259" s="8">
</c>
      <c r="AJ259" s="8">
</c>
      <c r="AK259" s="8">
</c>
    </row>
    <row r="260" ht="76.5" customHeight="1">
      <c r="A260">
</c>
      <c r="B260">
</c>
      <c r="C260" s="17">
</c>
      <c r="D260" s="17">
</c>
      <c r="E260">
</c>
      <c r="F260">
</c>
      <c r="G260" s="13" cm="1" t="str">
        <f t="array" ref="G260">IF(F260="","",SUBSTITUTE(SUBSTITUTE(SUBSTITUTE(SUBSTITUTE(F260,"&lt;li&gt;",CHAR(10)),"&lt;/li&gt;",""),"&lt;br&gt;",CHAR(10)),"&lt;strong&gt;",""))</f>
        <v/>
      </c>
      <c r="H260" s="13" cm="1" t="str">
        <f t="array" ref="H260">IF(G260="","",SUBSTITUTE(SUBSTITUTE(SUBSTITUTE(SUBSTITUTE(SUBSTITUTE(G260,"&lt;p&gt;",""),"&lt;/p&gt;",""),"&lt;ul&gt;",""),"&lt;/ul&gt;",""),"&lt;/strong&gt;",""))</f>
        <v/>
      </c>
      <c r="I260" s="14" cm="1" t="str">
        <f t="array" ref="I260">IF(C260="","",IF(OR(H260="",H260=0,H260=FALSE),"-",H260))</f>
        <v/>
      </c>
      <c r="J260">
</c>
      <c r="K260">
</c>
      <c r="L260" s="9" cm="1" t="str">
        <f t="array" ref="L260">IF(C260="","",IF(K260="Mort / Plus rien à faire","KO","OK"))</f>
        <v/>
      </c>
      <c r="M260" s="18">
</c>
      <c r="N260" s="15" cm="1" t="str">
        <f t="array" ref="N260">IF(OR(C260="",M260="",M260=0),"",M260)</f>
        <v/>
      </c>
      <c r="O260" s="18">
</c>
      <c r="P260" s="15" cm="1" t="str">
        <f t="array" ref="P260">IF(C260="","",IF(OR(O260="",O260=0),"-",O260))</f>
        <v/>
      </c>
      <c r="Q260" s="19">
</c>
      <c r="R260" s="16" cm="1" t="str">
        <f t="array" ref="R260">IF(C260="","",ROUND(Q260/1000000,3)&amp;" M€")</f>
        <v/>
      </c>
      <c r="S260" s="17">
</c>
      <c r="T260" s="9" cm="1" t="str">
        <f t="array" ref="T260">IF(C260="","",SUBSTITUTE(S260,"","")&amp;"%")</f>
        <v/>
      </c>
      <c r="U260" s="14" cm="1" t="str">
        <f t="array" ref="U260">IF(($N260="")*($P260=""),"",IF(($N260&lt;&gt;"")*($N260&gt;TODAY()-9)*($N260&lt;TODAY()+1)*($P260&lt;&gt;"")*($P260&gt;=TODAY())*($P260&lt;=TODAY()+13),"Semaine passée &amp; à venir",IF(($N260&lt;&gt;"")*($N260&gt;TODAY()-9)*($N260&lt;TODAY()+1),"Semaine passée",IF(($P260&lt;&gt;"")*($P260&gt;=TODAY())*($P260&lt;=TODAY()+13),"À venir","Autre"))))</f>
        <v/>
      </c>
      <c r="V260" s="8">
</c>
      <c r="W260" s="8">
</c>
      <c r="X260" s="8">
</c>
      <c r="Y260" s="8">
</c>
      <c r="Z260" s="8">
</c>
      <c r="AA260" s="8">
</c>
      <c r="AB260" s="8">
</c>
      <c r="AC260" s="8">
</c>
      <c r="AD260" s="8">
</c>
      <c r="AE260" s="8">
</c>
      <c r="AF260" s="8">
</c>
      <c r="AG260" s="8">
</c>
      <c r="AH260" s="8">
</c>
      <c r="AI260" s="8">
</c>
      <c r="AJ260" s="8">
</c>
      <c r="AK260" s="8">
</c>
    </row>
    <row r="261" ht="76.5" customHeight="1">
      <c r="A261">
</c>
      <c r="B261">
</c>
      <c r="C261" s="17">
</c>
      <c r="D261" s="17">
</c>
      <c r="E261">
</c>
      <c r="F261">
</c>
      <c r="G261" s="13" cm="1" t="str">
        <f t="array" ref="G261">IF(F261="","",SUBSTITUTE(SUBSTITUTE(SUBSTITUTE(SUBSTITUTE(F261,"&lt;li&gt;",CHAR(10)),"&lt;/li&gt;",""),"&lt;br&gt;",CHAR(10)),"&lt;strong&gt;",""))</f>
        <v/>
      </c>
      <c r="H261" s="13" cm="1" t="str">
        <f t="array" ref="H261">IF(G261="","",SUBSTITUTE(SUBSTITUTE(SUBSTITUTE(SUBSTITUTE(SUBSTITUTE(G261,"&lt;p&gt;",""),"&lt;/p&gt;",""),"&lt;ul&gt;",""),"&lt;/ul&gt;",""),"&lt;/strong&gt;",""))</f>
        <v/>
      </c>
      <c r="I261" s="14" cm="1" t="str">
        <f t="array" ref="I261">IF(C261="","",IF(OR(H261="",H261=0,H261=FALSE),"-",H261))</f>
        <v/>
      </c>
      <c r="J261">
</c>
      <c r="K261">
</c>
      <c r="L261" s="9" cm="1" t="str">
        <f t="array" ref="L261">IF(C261="","",IF(K261="Mort / Plus rien à faire","KO","OK"))</f>
        <v/>
      </c>
      <c r="M261" s="18">
</c>
      <c r="N261" s="15" cm="1" t="str">
        <f t="array" ref="N261">IF(OR(C261="",M261="",M261=0),"",M261)</f>
        <v/>
      </c>
      <c r="O261" s="18">
</c>
      <c r="P261" s="15" cm="1" t="str">
        <f t="array" ref="P261">IF(C261="","",IF(OR(O261="",O261=0),"-",O261))</f>
        <v/>
      </c>
      <c r="Q261" s="19">
</c>
      <c r="R261" s="16" cm="1" t="str">
        <f t="array" ref="R261">IF(C261="","",ROUND(Q261/1000000,3)&amp;" M€")</f>
        <v/>
      </c>
      <c r="S261" s="17">
</c>
      <c r="T261" s="9" cm="1" t="str">
        <f t="array" ref="T261">IF(C261="","",SUBSTITUTE(S261,"","")&amp;"%")</f>
        <v/>
      </c>
      <c r="U261" s="14" cm="1" t="str">
        <f t="array" ref="U261">IF(($N261="")*($P261=""),"",IF(($N261&lt;&gt;"")*($N261&gt;TODAY()-9)*($N261&lt;TODAY()+1)*($P261&lt;&gt;"")*($P261&gt;=TODAY())*($P261&lt;=TODAY()+13),"Semaine passée &amp; à venir",IF(($N261&lt;&gt;"")*($N261&gt;TODAY()-9)*($N261&lt;TODAY()+1),"Semaine passée",IF(($P261&lt;&gt;"")*($P261&gt;=TODAY())*($P261&lt;=TODAY()+13),"À venir","Autre"))))</f>
        <v/>
      </c>
      <c r="V261" s="8">
</c>
      <c r="W261" s="8">
</c>
      <c r="X261" s="8">
</c>
      <c r="Y261" s="8">
</c>
      <c r="Z261" s="8">
</c>
      <c r="AA261" s="8">
</c>
      <c r="AB261" s="8">
</c>
      <c r="AC261" s="8">
</c>
      <c r="AD261" s="8">
</c>
      <c r="AE261" s="8">
</c>
      <c r="AF261" s="8">
</c>
      <c r="AG261" s="8">
</c>
      <c r="AH261" s="8">
</c>
      <c r="AI261" s="8">
</c>
      <c r="AJ261" s="8">
</c>
      <c r="AK261" s="8">
</c>
    </row>
    <row r="262" ht="76.5" customHeight="1">
      <c r="A262">
</c>
      <c r="B262">
</c>
      <c r="C262" s="17">
</c>
      <c r="D262" s="17">
</c>
      <c r="E262">
</c>
      <c r="F262">
</c>
      <c r="G262" s="13" cm="1" t="str">
        <f t="array" ref="G262">IF(F262="","",SUBSTITUTE(SUBSTITUTE(SUBSTITUTE(SUBSTITUTE(F262,"&lt;li&gt;",CHAR(10)),"&lt;/li&gt;",""),"&lt;br&gt;",CHAR(10)),"&lt;strong&gt;",""))</f>
        <v/>
      </c>
      <c r="H262" s="13" cm="1" t="str">
        <f t="array" ref="H262">IF(G262="","",SUBSTITUTE(SUBSTITUTE(SUBSTITUTE(SUBSTITUTE(SUBSTITUTE(G262,"&lt;p&gt;",""),"&lt;/p&gt;",""),"&lt;ul&gt;",""),"&lt;/ul&gt;",""),"&lt;/strong&gt;",""))</f>
        <v/>
      </c>
      <c r="I262" s="14" cm="1" t="str">
        <f t="array" ref="I262">IF(C262="","",IF(OR(H262="",H262=0,H262=FALSE),"-",H262))</f>
        <v/>
      </c>
      <c r="J262">
</c>
      <c r="K262">
</c>
      <c r="L262" s="9" cm="1" t="str">
        <f t="array" ref="L262">IF(C262="","",IF(K262="Mort / Plus rien à faire","KO","OK"))</f>
        <v/>
      </c>
      <c r="M262" s="18">
</c>
      <c r="N262" s="15" cm="1" t="str">
        <f t="array" ref="N262">IF(OR(C262="",M262="",M262=0),"",M262)</f>
        <v/>
      </c>
      <c r="O262" s="18">
</c>
      <c r="P262" s="15" cm="1" t="str">
        <f t="array" ref="P262">IF(C262="","",IF(OR(O262="",O262=0),"-",O262))</f>
        <v/>
      </c>
      <c r="Q262" s="19">
</c>
      <c r="R262" s="16" cm="1" t="str">
        <f t="array" ref="R262">IF(C262="","",ROUND(Q262/1000000,3)&amp;" M€")</f>
        <v/>
      </c>
      <c r="S262" s="17">
</c>
      <c r="T262" s="9" cm="1" t="str">
        <f t="array" ref="T262">IF(C262="","",SUBSTITUTE(S262,"","")&amp;"%")</f>
        <v/>
      </c>
      <c r="U262" s="14" cm="1" t="str">
        <f t="array" ref="U262">IF(($N262="")*($P262=""),"",IF(($N262&lt;&gt;"")*($N262&gt;TODAY()-9)*($N262&lt;TODAY()+1)*($P262&lt;&gt;"")*($P262&gt;=TODAY())*($P262&lt;=TODAY()+13),"Semaine passée &amp; à venir",IF(($N262&lt;&gt;"")*($N262&gt;TODAY()-9)*($N262&lt;TODAY()+1),"Semaine passée",IF(($P262&lt;&gt;"")*($P262&gt;=TODAY())*($P262&lt;=TODAY()+13),"À venir","Autre"))))</f>
        <v/>
      </c>
      <c r="V262" s="8">
</c>
      <c r="W262" s="8">
</c>
      <c r="X262" s="8">
</c>
      <c r="Y262" s="8">
</c>
      <c r="Z262" s="8">
</c>
      <c r="AA262" s="8">
</c>
      <c r="AB262" s="8">
</c>
      <c r="AC262" s="8">
</c>
      <c r="AD262" s="8">
</c>
      <c r="AE262" s="8">
</c>
      <c r="AF262" s="8">
</c>
      <c r="AG262" s="8">
</c>
      <c r="AH262" s="8">
</c>
      <c r="AI262" s="8">
</c>
      <c r="AJ262" s="8">
</c>
      <c r="AK262" s="8">
</c>
    </row>
    <row r="263" ht="76.5" customHeight="1">
      <c r="A263">
</c>
      <c r="B263">
</c>
      <c r="C263" s="17">
</c>
      <c r="D263" s="17">
</c>
      <c r="E263">
</c>
      <c r="F263">
</c>
      <c r="G263" s="13" cm="1" t="str">
        <f t="array" ref="G263">IF(F263="","",SUBSTITUTE(SUBSTITUTE(SUBSTITUTE(SUBSTITUTE(F263,"&lt;li&gt;",CHAR(10)),"&lt;/li&gt;",""),"&lt;br&gt;",CHAR(10)),"&lt;strong&gt;",""))</f>
        <v/>
      </c>
      <c r="H263" s="13" cm="1" t="str">
        <f t="array" ref="H263">IF(G263="","",SUBSTITUTE(SUBSTITUTE(SUBSTITUTE(SUBSTITUTE(SUBSTITUTE(G263,"&lt;p&gt;",""),"&lt;/p&gt;",""),"&lt;ul&gt;",""),"&lt;/ul&gt;",""),"&lt;/strong&gt;",""))</f>
        <v/>
      </c>
      <c r="I263" s="14" cm="1" t="str">
        <f t="array" ref="I263">IF(C263="","",IF(OR(H263="",H263=0,H263=FALSE),"-",H263))</f>
        <v/>
      </c>
      <c r="J263">
</c>
      <c r="K263">
</c>
      <c r="L263" s="9" cm="1" t="str">
        <f t="array" ref="L263">IF(C263="","",IF(K263="Mort / Plus rien à faire","KO","OK"))</f>
        <v/>
      </c>
      <c r="M263" s="18">
</c>
      <c r="N263" s="15" cm="1" t="str">
        <f t="array" ref="N263">IF(OR(C263="",M263="",M263=0),"",M263)</f>
        <v/>
      </c>
      <c r="O263" s="18">
</c>
      <c r="P263" s="15" cm="1" t="str">
        <f t="array" ref="P263">IF(C263="","",IF(OR(O263="",O263=0),"-",O263))</f>
        <v/>
      </c>
      <c r="Q263" s="19">
</c>
      <c r="R263" s="16" cm="1" t="str">
        <f t="array" ref="R263">IF(C263="","",ROUND(Q263/1000000,3)&amp;" M€")</f>
        <v/>
      </c>
      <c r="S263" s="17">
</c>
      <c r="T263" s="9" cm="1" t="str">
        <f t="array" ref="T263">IF(C263="","",SUBSTITUTE(S263,"","")&amp;"%")</f>
        <v/>
      </c>
      <c r="U263" s="14" cm="1" t="str">
        <f t="array" ref="U263">IF(($N263="")*($P263=""),"",IF(($N263&lt;&gt;"")*($N263&gt;TODAY()-9)*($N263&lt;TODAY()+1)*($P263&lt;&gt;"")*($P263&gt;=TODAY())*($P263&lt;=TODAY()+13),"Semaine passée &amp; à venir",IF(($N263&lt;&gt;"")*($N263&gt;TODAY()-9)*($N263&lt;TODAY()+1),"Semaine passée",IF(($P263&lt;&gt;"")*($P263&gt;=TODAY())*($P263&lt;=TODAY()+13),"À venir","Autre"))))</f>
        <v/>
      </c>
      <c r="V263" s="8">
</c>
      <c r="W263" s="8">
</c>
      <c r="X263" s="8">
</c>
      <c r="Y263" s="8">
</c>
      <c r="Z263" s="8">
</c>
      <c r="AA263" s="8">
</c>
      <c r="AB263" s="8">
</c>
      <c r="AC263" s="8">
</c>
      <c r="AD263" s="8">
</c>
      <c r="AE263" s="8">
</c>
      <c r="AF263" s="8">
</c>
      <c r="AG263" s="8">
</c>
      <c r="AH263" s="8">
</c>
      <c r="AI263" s="8">
</c>
      <c r="AJ263" s="8">
</c>
      <c r="AK263" s="8">
</c>
    </row>
    <row r="264" ht="76.5" customHeight="1">
      <c r="A264">
</c>
      <c r="B264">
</c>
      <c r="C264" s="17">
</c>
      <c r="D264" s="17">
</c>
      <c r="E264">
</c>
      <c r="F264">
</c>
      <c r="G264" s="13" cm="1" t="str">
        <f t="array" ref="G264">IF(F264="","",SUBSTITUTE(SUBSTITUTE(SUBSTITUTE(SUBSTITUTE(F264,"&lt;li&gt;",CHAR(10)),"&lt;/li&gt;",""),"&lt;br&gt;",CHAR(10)),"&lt;strong&gt;",""))</f>
        <v/>
      </c>
      <c r="H264" s="13" cm="1" t="str">
        <f t="array" ref="H264">IF(G264="","",SUBSTITUTE(SUBSTITUTE(SUBSTITUTE(SUBSTITUTE(SUBSTITUTE(G264,"&lt;p&gt;",""),"&lt;/p&gt;",""),"&lt;ul&gt;",""),"&lt;/ul&gt;",""),"&lt;/strong&gt;",""))</f>
        <v/>
      </c>
      <c r="I264" s="14" cm="1" t="str">
        <f t="array" ref="I264">IF(C264="","",IF(OR(H264="",H264=0,H264=FALSE),"-",H264))</f>
        <v/>
      </c>
      <c r="J264">
</c>
      <c r="K264">
</c>
      <c r="L264" s="9" cm="1" t="str">
        <f t="array" ref="L264">IF(C264="","",IF(K264="Mort / Plus rien à faire","KO","OK"))</f>
        <v/>
      </c>
      <c r="M264" s="18">
</c>
      <c r="N264" s="15" cm="1" t="str">
        <f t="array" ref="N264">IF(OR(C264="",M264="",M264=0),"",M264)</f>
        <v/>
      </c>
      <c r="O264" s="18">
</c>
      <c r="P264" s="15" cm="1" t="str">
        <f t="array" ref="P264">IF(C264="","",IF(OR(O264="",O264=0),"-",O264))</f>
        <v/>
      </c>
      <c r="Q264" s="19">
</c>
      <c r="R264" s="16" cm="1" t="str">
        <f t="array" ref="R264">IF(C264="","",ROUND(Q264/1000000,3)&amp;" M€")</f>
        <v/>
      </c>
      <c r="S264" s="17">
</c>
      <c r="T264" s="9" cm="1" t="str">
        <f t="array" ref="T264">IF(C264="","",SUBSTITUTE(S264,"","")&amp;"%")</f>
        <v/>
      </c>
      <c r="U264" s="14" cm="1" t="str">
        <f t="array" ref="U264">IF(($N264="")*($P264=""),"",IF(($N264&lt;&gt;"")*($N264&gt;TODAY()-9)*($N264&lt;TODAY()+1)*($P264&lt;&gt;"")*($P264&gt;=TODAY())*($P264&lt;=TODAY()+13),"Semaine passée &amp; à venir",IF(($N264&lt;&gt;"")*($N264&gt;TODAY()-9)*($N264&lt;TODAY()+1),"Semaine passée",IF(($P264&lt;&gt;"")*($P264&gt;=TODAY())*($P264&lt;=TODAY()+13),"À venir","Autre"))))</f>
        <v/>
      </c>
      <c r="V264" s="8">
</c>
      <c r="W264" s="8">
</c>
      <c r="X264" s="8">
</c>
      <c r="Y264" s="8">
</c>
      <c r="Z264" s="8">
</c>
      <c r="AA264" s="8">
</c>
      <c r="AB264" s="8">
</c>
      <c r="AC264" s="8">
</c>
      <c r="AD264" s="8">
</c>
      <c r="AE264" s="8">
</c>
      <c r="AF264" s="8">
</c>
      <c r="AG264" s="8">
</c>
      <c r="AH264" s="8">
</c>
      <c r="AI264" s="8">
</c>
      <c r="AJ264" s="8">
</c>
      <c r="AK264" s="8">
</c>
    </row>
    <row r="265" ht="76.5" customHeight="1">
      <c r="A265">
</c>
      <c r="B265">
</c>
      <c r="C265" s="17">
</c>
      <c r="D265" s="17">
</c>
      <c r="E265">
</c>
      <c r="F265">
</c>
      <c r="G265" s="13" cm="1" t="str">
        <f t="array" ref="G265">IF(F265="","",SUBSTITUTE(SUBSTITUTE(SUBSTITUTE(SUBSTITUTE(F265,"&lt;li&gt;",CHAR(10)),"&lt;/li&gt;",""),"&lt;br&gt;",CHAR(10)),"&lt;strong&gt;",""))</f>
        <v/>
      </c>
      <c r="H265" s="13" cm="1" t="str">
        <f t="array" ref="H265">IF(G265="","",SUBSTITUTE(SUBSTITUTE(SUBSTITUTE(SUBSTITUTE(SUBSTITUTE(G265,"&lt;p&gt;",""),"&lt;/p&gt;",""),"&lt;ul&gt;",""),"&lt;/ul&gt;",""),"&lt;/strong&gt;",""))</f>
        <v/>
      </c>
      <c r="I265" s="14" cm="1" t="str">
        <f t="array" ref="I265">IF(C265="","",IF(OR(H265="",H265=0,H265=FALSE),"-",H265))</f>
        <v/>
      </c>
      <c r="J265">
</c>
      <c r="K265">
</c>
      <c r="L265" s="9" cm="1" t="str">
        <f t="array" ref="L265">IF(C265="","",IF(K265="Mort / Plus rien à faire","KO","OK"))</f>
        <v/>
      </c>
      <c r="M265" s="18">
</c>
      <c r="N265" s="15" cm="1" t="str">
        <f t="array" ref="N265">IF(OR(C265="",M265="",M265=0),"",M265)</f>
        <v/>
      </c>
      <c r="O265" s="18">
</c>
      <c r="P265" s="15" cm="1" t="str">
        <f t="array" ref="P265">IF(C265="","",IF(OR(O265="",O265=0),"-",O265))</f>
        <v/>
      </c>
      <c r="Q265" s="19">
</c>
      <c r="R265" s="16" cm="1" t="str">
        <f t="array" ref="R265">IF(C265="","",ROUND(Q265/1000000,3)&amp;" M€")</f>
        <v/>
      </c>
      <c r="S265" s="17">
</c>
      <c r="T265" s="9" cm="1" t="str">
        <f t="array" ref="T265">IF(C265="","",SUBSTITUTE(S265,"","")&amp;"%")</f>
        <v/>
      </c>
      <c r="U265" s="14" cm="1" t="str">
        <f t="array" ref="U265">IF(($N265="")*($P265=""),"",IF(($N265&lt;&gt;"")*($N265&gt;TODAY()-9)*($N265&lt;TODAY()+1)*($P265&lt;&gt;"")*($P265&gt;=TODAY())*($P265&lt;=TODAY()+13),"Semaine passée &amp; à venir",IF(($N265&lt;&gt;"")*($N265&gt;TODAY()-9)*($N265&lt;TODAY()+1),"Semaine passée",IF(($P265&lt;&gt;"")*($P265&gt;=TODAY())*($P265&lt;=TODAY()+13),"À venir","Autre"))))</f>
        <v/>
      </c>
      <c r="V265" s="8">
</c>
      <c r="W265" s="8">
</c>
      <c r="X265" s="8">
</c>
      <c r="Y265" s="8">
</c>
      <c r="Z265" s="8">
</c>
      <c r="AA265" s="8">
</c>
      <c r="AB265" s="8">
</c>
      <c r="AC265" s="8">
</c>
      <c r="AD265" s="8">
</c>
      <c r="AE265" s="8">
</c>
      <c r="AF265" s="8">
</c>
      <c r="AG265" s="8">
</c>
      <c r="AH265" s="8">
</c>
      <c r="AI265" s="8">
</c>
      <c r="AJ265" s="8">
</c>
      <c r="AK265" s="8">
</c>
    </row>
    <row r="266" ht="76.5" customHeight="1">
      <c r="A266">
</c>
      <c r="B266">
</c>
      <c r="C266" s="17">
</c>
      <c r="D266" s="17">
</c>
      <c r="E266">
</c>
      <c r="F266">
</c>
      <c r="G266" s="13" cm="1" t="str">
        <f t="array" ref="G266">IF(F266="","",SUBSTITUTE(SUBSTITUTE(SUBSTITUTE(SUBSTITUTE(F266,"&lt;li&gt;",CHAR(10)),"&lt;/li&gt;",""),"&lt;br&gt;",CHAR(10)),"&lt;strong&gt;",""))</f>
        <v/>
      </c>
      <c r="H266" s="13" cm="1" t="str">
        <f t="array" ref="H266">IF(G266="","",SUBSTITUTE(SUBSTITUTE(SUBSTITUTE(SUBSTITUTE(SUBSTITUTE(G266,"&lt;p&gt;",""),"&lt;/p&gt;",""),"&lt;ul&gt;",""),"&lt;/ul&gt;",""),"&lt;/strong&gt;",""))</f>
        <v/>
      </c>
      <c r="I266" s="14" cm="1" t="str">
        <f t="array" ref="I266">IF(C266="","",IF(OR(H266="",H266=0,H266=FALSE),"-",H266))</f>
        <v/>
      </c>
      <c r="J266">
</c>
      <c r="K266">
</c>
      <c r="L266" s="9" cm="1" t="str">
        <f t="array" ref="L266">IF(C266="","",IF(K266="Mort / Plus rien à faire","KO","OK"))</f>
        <v/>
      </c>
      <c r="M266" s="18">
</c>
      <c r="N266" s="15" cm="1" t="str">
        <f t="array" ref="N266">IF(OR(C266="",M266="",M266=0),"",M266)</f>
        <v/>
      </c>
      <c r="O266" s="18">
</c>
      <c r="P266" s="15" cm="1" t="str">
        <f t="array" ref="P266">IF(C266="","",IF(OR(O266="",O266=0),"-",O266))</f>
        <v/>
      </c>
      <c r="Q266" s="19">
</c>
      <c r="R266" s="16" cm="1" t="str">
        <f t="array" ref="R266">IF(C266="","",ROUND(Q266/1000000,3)&amp;" M€")</f>
        <v/>
      </c>
      <c r="S266" s="17">
</c>
      <c r="T266" s="9" cm="1" t="str">
        <f t="array" ref="T266">IF(C266="","",SUBSTITUTE(S266,"","")&amp;"%")</f>
        <v/>
      </c>
      <c r="U266" s="14" cm="1" t="str">
        <f t="array" ref="U266">IF(($N266="")*($P266=""),"",IF(($N266&lt;&gt;"")*($N266&gt;TODAY()-9)*($N266&lt;TODAY()+1)*($P266&lt;&gt;"")*($P266&gt;=TODAY())*($P266&lt;=TODAY()+13),"Semaine passée &amp; à venir",IF(($N266&lt;&gt;"")*($N266&gt;TODAY()-9)*($N266&lt;TODAY()+1),"Semaine passée",IF(($P266&lt;&gt;"")*($P266&gt;=TODAY())*($P266&lt;=TODAY()+13),"À venir","Autre"))))</f>
        <v/>
      </c>
      <c r="V266" s="8">
</c>
      <c r="W266" s="8">
</c>
      <c r="X266" s="8">
</c>
      <c r="Y266" s="8">
</c>
      <c r="Z266" s="8">
</c>
      <c r="AA266" s="8">
</c>
      <c r="AB266" s="8">
</c>
      <c r="AC266" s="8">
</c>
      <c r="AD266" s="8">
</c>
      <c r="AE266" s="8">
</c>
      <c r="AF266" s="8">
</c>
      <c r="AG266" s="8">
</c>
      <c r="AH266" s="8">
</c>
      <c r="AI266" s="8">
</c>
      <c r="AJ266" s="8">
</c>
      <c r="AK266" s="8">
</c>
    </row>
    <row r="267" ht="76.5" customHeight="1">
      <c r="A267">
</c>
      <c r="B267">
</c>
      <c r="C267" s="17">
</c>
      <c r="D267" s="17">
</c>
      <c r="E267">
</c>
      <c r="F267">
</c>
      <c r="G267" s="13" cm="1" t="str">
        <f t="array" ref="G267">IF(F267="","",SUBSTITUTE(SUBSTITUTE(SUBSTITUTE(SUBSTITUTE(F267,"&lt;li&gt;",CHAR(10)),"&lt;/li&gt;",""),"&lt;br&gt;",CHAR(10)),"&lt;strong&gt;",""))</f>
        <v/>
      </c>
      <c r="H267" s="13" cm="1" t="str">
        <f t="array" ref="H267">IF(G267="","",SUBSTITUTE(SUBSTITUTE(SUBSTITUTE(SUBSTITUTE(SUBSTITUTE(G267,"&lt;p&gt;",""),"&lt;/p&gt;",""),"&lt;ul&gt;",""),"&lt;/ul&gt;",""),"&lt;/strong&gt;",""))</f>
        <v/>
      </c>
      <c r="I267" s="14" cm="1" t="str">
        <f t="array" ref="I267">IF(C267="","",IF(OR(H267="",H267=0,H267=FALSE),"-",H267))</f>
        <v/>
      </c>
      <c r="J267">
</c>
      <c r="K267">
</c>
      <c r="L267" s="9" cm="1" t="str">
        <f t="array" ref="L267">IF(C267="","",IF(K267="Mort / Plus rien à faire","KO","OK"))</f>
        <v/>
      </c>
      <c r="M267" s="18">
</c>
      <c r="N267" s="15" cm="1" t="str">
        <f t="array" ref="N267">IF(OR(C267="",M267="",M267=0),"",M267)</f>
        <v/>
      </c>
      <c r="O267" s="18">
</c>
      <c r="P267" s="15" cm="1" t="str">
        <f t="array" ref="P267">IF(C267="","",IF(OR(O267="",O267=0),"-",O267))</f>
        <v/>
      </c>
      <c r="Q267" s="19">
</c>
      <c r="R267" s="16" cm="1" t="str">
        <f t="array" ref="R267">IF(C267="","",ROUND(Q267/1000000,3)&amp;" M€")</f>
        <v/>
      </c>
      <c r="S267" s="17">
</c>
      <c r="T267" s="9" cm="1" t="str">
        <f t="array" ref="T267">IF(C267="","",SUBSTITUTE(S267,"","")&amp;"%")</f>
        <v/>
      </c>
      <c r="U267" s="14" cm="1" t="str">
        <f t="array" ref="U267">IF(($N267="")*($P267=""),"",IF(($N267&lt;&gt;"")*($N267&gt;TODAY()-9)*($N267&lt;TODAY()+1)*($P267&lt;&gt;"")*($P267&gt;=TODAY())*($P267&lt;=TODAY()+13),"Semaine passée &amp; à venir",IF(($N267&lt;&gt;"")*($N267&gt;TODAY()-9)*($N267&lt;TODAY()+1),"Semaine passée",IF(($P267&lt;&gt;"")*($P267&gt;=TODAY())*($P267&lt;=TODAY()+13),"À venir","Autre"))))</f>
        <v/>
      </c>
      <c r="V267" s="8">
</c>
      <c r="W267" s="8">
</c>
      <c r="X267" s="8">
</c>
      <c r="Y267" s="8">
</c>
      <c r="Z267" s="8">
</c>
      <c r="AA267" s="8">
</c>
      <c r="AB267" s="8">
</c>
      <c r="AC267" s="8">
</c>
      <c r="AD267" s="8">
</c>
      <c r="AE267" s="8">
</c>
      <c r="AF267" s="8">
</c>
      <c r="AG267" s="8">
</c>
      <c r="AH267" s="8">
</c>
      <c r="AI267" s="8">
</c>
      <c r="AJ267" s="8">
</c>
      <c r="AK267" s="8">
</c>
    </row>
    <row r="268" ht="76.5" customHeight="1">
      <c r="A268">
</c>
      <c r="B268">
</c>
      <c r="C268" s="17">
</c>
      <c r="D268" s="17">
</c>
      <c r="E268">
</c>
      <c r="F268">
</c>
      <c r="G268" s="13" cm="1" t="str">
        <f t="array" ref="G268">IF(F268="","",SUBSTITUTE(SUBSTITUTE(SUBSTITUTE(SUBSTITUTE(F268,"&lt;li&gt;",CHAR(10)),"&lt;/li&gt;",""),"&lt;br&gt;",CHAR(10)),"&lt;strong&gt;",""))</f>
        <v/>
      </c>
      <c r="H268" s="13" cm="1" t="str">
        <f t="array" ref="H268">IF(G268="","",SUBSTITUTE(SUBSTITUTE(SUBSTITUTE(SUBSTITUTE(SUBSTITUTE(G268,"&lt;p&gt;",""),"&lt;/p&gt;",""),"&lt;ul&gt;",""),"&lt;/ul&gt;",""),"&lt;/strong&gt;",""))</f>
        <v/>
      </c>
      <c r="I268" s="14" cm="1" t="str">
        <f t="array" ref="I268">IF(C268="","",IF(OR(H268="",H268=0,H268=FALSE),"-",H268))</f>
        <v/>
      </c>
      <c r="J268">
</c>
      <c r="K268">
</c>
      <c r="L268" s="9" cm="1" t="str">
        <f t="array" ref="L268">IF(C268="","",IF(K268="Mort / Plus rien à faire","KO","OK"))</f>
        <v/>
      </c>
      <c r="M268" s="18">
</c>
      <c r="N268" s="15" cm="1" t="str">
        <f t="array" ref="N268">IF(OR(C268="",M268="",M268=0),"",M268)</f>
        <v/>
      </c>
      <c r="O268" s="18">
</c>
      <c r="P268" s="15" cm="1" t="str">
        <f t="array" ref="P268">IF(C268="","",IF(OR(O268="",O268=0),"-",O268))</f>
        <v/>
      </c>
      <c r="Q268" s="19">
</c>
      <c r="R268" s="16" cm="1" t="str">
        <f t="array" ref="R268">IF(C268="","",ROUND(Q268/1000000,3)&amp;" M€")</f>
        <v/>
      </c>
      <c r="S268" s="17">
</c>
      <c r="T268" s="9" cm="1" t="str">
        <f t="array" ref="T268">IF(C268="","",SUBSTITUTE(S268,"","")&amp;"%")</f>
        <v/>
      </c>
      <c r="U268" s="14" cm="1" t="str">
        <f t="array" ref="U268">IF(($N268="")*($P268=""),"",IF(($N268&lt;&gt;"")*($N268&gt;TODAY()-9)*($N268&lt;TODAY()+1)*($P268&lt;&gt;"")*($P268&gt;=TODAY())*($P268&lt;=TODAY()+13),"Semaine passée &amp; à venir",IF(($N268&lt;&gt;"")*($N268&gt;TODAY()-9)*($N268&lt;TODAY()+1),"Semaine passée",IF(($P268&lt;&gt;"")*($P268&gt;=TODAY())*($P268&lt;=TODAY()+13),"À venir","Autre"))))</f>
        <v/>
      </c>
      <c r="V268" s="8">
</c>
      <c r="W268" s="8">
</c>
      <c r="X268" s="8">
</c>
      <c r="Y268" s="8">
</c>
      <c r="Z268" s="8">
</c>
      <c r="AA268" s="8">
</c>
      <c r="AB268" s="8">
</c>
      <c r="AC268" s="8">
</c>
      <c r="AD268" s="8">
</c>
      <c r="AE268" s="8">
</c>
      <c r="AF268" s="8">
</c>
      <c r="AG268" s="8">
</c>
      <c r="AH268" s="8">
</c>
      <c r="AI268" s="8">
</c>
      <c r="AJ268" s="8">
</c>
      <c r="AK268" s="8">
</c>
    </row>
    <row r="269" ht="76.5" customHeight="1">
      <c r="A269">
</c>
      <c r="B269">
</c>
      <c r="C269" s="17">
</c>
      <c r="D269" s="17">
</c>
      <c r="E269">
</c>
      <c r="F269">
</c>
      <c r="G269" s="13" cm="1" t="str">
        <f t="array" ref="G269">IF(F269="","",SUBSTITUTE(SUBSTITUTE(SUBSTITUTE(SUBSTITUTE(F269,"&lt;li&gt;",CHAR(10)),"&lt;/li&gt;",""),"&lt;br&gt;",CHAR(10)),"&lt;strong&gt;",""))</f>
        <v/>
      </c>
      <c r="H269" s="13" cm="1" t="str">
        <f t="array" ref="H269">IF(G269="","",SUBSTITUTE(SUBSTITUTE(SUBSTITUTE(SUBSTITUTE(SUBSTITUTE(G269,"&lt;p&gt;",""),"&lt;/p&gt;",""),"&lt;ul&gt;",""),"&lt;/ul&gt;",""),"&lt;/strong&gt;",""))</f>
        <v/>
      </c>
      <c r="I269" s="14" cm="1" t="str">
        <f t="array" ref="I269">IF(C269="","",IF(OR(H269="",H269=0,H269=FALSE),"-",H269))</f>
        <v/>
      </c>
      <c r="J269">
</c>
      <c r="K269">
</c>
      <c r="L269" s="9" cm="1" t="str">
        <f t="array" ref="L269">IF(C269="","",IF(K269="Mort / Plus rien à faire","KO","OK"))</f>
        <v/>
      </c>
      <c r="M269" s="18">
</c>
      <c r="N269" s="15" cm="1" t="str">
        <f t="array" ref="N269">IF(OR(C269="",M269="",M269=0),"",M269)</f>
        <v/>
      </c>
      <c r="O269" s="18">
</c>
      <c r="P269" s="15" cm="1" t="str">
        <f t="array" ref="P269">IF(C269="","",IF(OR(O269="",O269=0),"-",O269))</f>
        <v/>
      </c>
      <c r="Q269" s="19">
</c>
      <c r="R269" s="16" cm="1" t="str">
        <f t="array" ref="R269">IF(C269="","",ROUND(Q269/1000000,3)&amp;" M€")</f>
        <v/>
      </c>
      <c r="S269" s="17">
</c>
      <c r="T269" s="9" cm="1" t="str">
        <f t="array" ref="T269">IF(C269="","",SUBSTITUTE(S269,"","")&amp;"%")</f>
        <v/>
      </c>
      <c r="U269" s="14" cm="1" t="str">
        <f t="array" ref="U269">IF(($N269="")*($P269=""),"",IF(($N269&lt;&gt;"")*($N269&gt;TODAY()-9)*($N269&lt;TODAY()+1)*($P269&lt;&gt;"")*($P269&gt;=TODAY())*($P269&lt;=TODAY()+13),"Semaine passée &amp; à venir",IF(($N269&lt;&gt;"")*($N269&gt;TODAY()-9)*($N269&lt;TODAY()+1),"Semaine passée",IF(($P269&lt;&gt;"")*($P269&gt;=TODAY())*($P269&lt;=TODAY()+13),"À venir","Autre"))))</f>
        <v/>
      </c>
      <c r="V269" s="8">
</c>
      <c r="W269" s="8">
</c>
      <c r="X269" s="8">
</c>
      <c r="Y269" s="8">
</c>
      <c r="Z269" s="8">
</c>
      <c r="AA269" s="8">
</c>
      <c r="AB269" s="8">
</c>
      <c r="AC269" s="8">
</c>
      <c r="AD269" s="8">
</c>
      <c r="AE269" s="8">
</c>
      <c r="AF269" s="8">
</c>
      <c r="AG269" s="8">
</c>
      <c r="AH269" s="8">
</c>
      <c r="AI269" s="8">
</c>
      <c r="AJ269" s="8">
</c>
      <c r="AK269" s="8">
</c>
    </row>
    <row r="270" ht="76.5" customHeight="1">
      <c r="A270">
</c>
      <c r="B270">
</c>
      <c r="C270" s="17">
</c>
      <c r="D270" s="17">
</c>
      <c r="E270">
</c>
      <c r="F270">
</c>
      <c r="G270" s="13" cm="1" t="str">
        <f t="array" ref="G270">IF(F270="","",SUBSTITUTE(SUBSTITUTE(SUBSTITUTE(SUBSTITUTE(F270,"&lt;li&gt;",CHAR(10)),"&lt;/li&gt;",""),"&lt;br&gt;",CHAR(10)),"&lt;strong&gt;",""))</f>
        <v/>
      </c>
      <c r="H270" s="13" cm="1" t="str">
        <f t="array" ref="H270">IF(G270="","",SUBSTITUTE(SUBSTITUTE(SUBSTITUTE(SUBSTITUTE(SUBSTITUTE(G270,"&lt;p&gt;",""),"&lt;/p&gt;",""),"&lt;ul&gt;",""),"&lt;/ul&gt;",""),"&lt;/strong&gt;",""))</f>
        <v/>
      </c>
      <c r="I270" s="14" cm="1" t="str">
        <f t="array" ref="I270">IF(C270="","",IF(OR(H270="",H270=0,H270=FALSE),"-",H270))</f>
        <v/>
      </c>
      <c r="J270">
</c>
      <c r="K270">
</c>
      <c r="L270" s="9" cm="1" t="str">
        <f t="array" ref="L270">IF(C270="","",IF(K270="Mort / Plus rien à faire","KO","OK"))</f>
        <v/>
      </c>
      <c r="M270" s="18">
</c>
      <c r="N270" s="15" cm="1" t="str">
        <f t="array" ref="N270">IF(OR(C270="",M270="",M270=0),"",M270)</f>
        <v/>
      </c>
      <c r="O270" s="18">
</c>
      <c r="P270" s="15" cm="1" t="str">
        <f t="array" ref="P270">IF(C270="","",IF(OR(O270="",O270=0),"-",O270))</f>
        <v/>
      </c>
      <c r="Q270" s="19">
</c>
      <c r="R270" s="16" cm="1" t="str">
        <f t="array" ref="R270">IF(C270="","",ROUND(Q270/1000000,3)&amp;" M€")</f>
        <v/>
      </c>
      <c r="S270" s="17">
</c>
      <c r="T270" s="9" cm="1" t="str">
        <f t="array" ref="T270">IF(C270="","",SUBSTITUTE(S270,"","")&amp;"%")</f>
        <v/>
      </c>
      <c r="U270" s="14" cm="1" t="str">
        <f t="array" ref="U270">IF(($N270="")*($P270=""),"",IF(($N270&lt;&gt;"")*($N270&gt;TODAY()-9)*($N270&lt;TODAY()+1)*($P270&lt;&gt;"")*($P270&gt;=TODAY())*($P270&lt;=TODAY()+13),"Semaine passée &amp; à venir",IF(($N270&lt;&gt;"")*($N270&gt;TODAY()-9)*($N270&lt;TODAY()+1),"Semaine passée",IF(($P270&lt;&gt;"")*($P270&gt;=TODAY())*($P270&lt;=TODAY()+13),"À venir","Autre"))))</f>
        <v/>
      </c>
      <c r="V270" s="8">
</c>
      <c r="W270" s="8">
</c>
      <c r="X270" s="8">
</c>
      <c r="Y270" s="8">
</c>
      <c r="Z270" s="8">
</c>
      <c r="AA270" s="8">
</c>
      <c r="AB270" s="8">
</c>
      <c r="AC270" s="8">
</c>
      <c r="AD270" s="8">
</c>
      <c r="AE270" s="8">
</c>
      <c r="AF270" s="8">
</c>
      <c r="AG270" s="8">
</c>
      <c r="AH270" s="8">
</c>
      <c r="AI270" s="8">
</c>
      <c r="AJ270" s="8">
</c>
      <c r="AK270" s="8">
</c>
    </row>
    <row r="271" ht="76.5" customHeight="1">
      <c r="A271">
</c>
      <c r="B271">
</c>
      <c r="C271" s="17">
</c>
      <c r="D271" s="17">
</c>
      <c r="E271">
</c>
      <c r="F271">
</c>
      <c r="G271" s="13" cm="1" t="str">
        <f t="array" ref="G271">IF(F271="","",SUBSTITUTE(SUBSTITUTE(SUBSTITUTE(SUBSTITUTE(F271,"&lt;li&gt;",CHAR(10)),"&lt;/li&gt;",""),"&lt;br&gt;",CHAR(10)),"&lt;strong&gt;",""))</f>
        <v/>
      </c>
      <c r="H271" s="13" cm="1" t="str">
        <f t="array" ref="H271">IF(G271="","",SUBSTITUTE(SUBSTITUTE(SUBSTITUTE(SUBSTITUTE(SUBSTITUTE(G271,"&lt;p&gt;",""),"&lt;/p&gt;",""),"&lt;ul&gt;",""),"&lt;/ul&gt;",""),"&lt;/strong&gt;",""))</f>
        <v/>
      </c>
      <c r="I271" s="14" cm="1" t="str">
        <f t="array" ref="I271">IF(C271="","",IF(OR(H271="",H271=0,H271=FALSE),"-",H271))</f>
        <v/>
      </c>
      <c r="J271">
</c>
      <c r="K271">
</c>
      <c r="L271" s="9" cm="1" t="str">
        <f t="array" ref="L271">IF(C271="","",IF(K271="Mort / Plus rien à faire","KO","OK"))</f>
        <v/>
      </c>
      <c r="M271" s="18">
</c>
      <c r="N271" s="15" cm="1" t="str">
        <f t="array" ref="N271">IF(OR(C271="",M271="",M271=0),"",M271)</f>
        <v/>
      </c>
      <c r="O271" s="18">
</c>
      <c r="P271" s="15" cm="1" t="str">
        <f t="array" ref="P271">IF(C271="","",IF(OR(O271="",O271=0),"-",O271))</f>
        <v/>
      </c>
      <c r="Q271" s="19">
</c>
      <c r="R271" s="16" cm="1" t="str">
        <f t="array" ref="R271">IF(C271="","",ROUND(Q271/1000000,3)&amp;" M€")</f>
        <v/>
      </c>
      <c r="S271" s="17">
</c>
      <c r="T271" s="9" cm="1" t="str">
        <f t="array" ref="T271">IF(C271="","",SUBSTITUTE(S271,"","")&amp;"%")</f>
        <v/>
      </c>
      <c r="U271" s="14" cm="1" t="str">
        <f t="array" ref="U271">IF(($N271="")*($P271=""),"",IF(($N271&lt;&gt;"")*($N271&gt;TODAY()-9)*($N271&lt;TODAY()+1)*($P271&lt;&gt;"")*($P271&gt;=TODAY())*($P271&lt;=TODAY()+13),"Semaine passée &amp; à venir",IF(($N271&lt;&gt;"")*($N271&gt;TODAY()-9)*($N271&lt;TODAY()+1),"Semaine passée",IF(($P271&lt;&gt;"")*($P271&gt;=TODAY())*($P271&lt;=TODAY()+13),"À venir","Autre"))))</f>
        <v/>
      </c>
      <c r="V271" s="8">
</c>
      <c r="W271" s="8">
</c>
      <c r="X271" s="8">
</c>
      <c r="Y271" s="8">
</c>
      <c r="Z271" s="8">
</c>
      <c r="AA271" s="8">
</c>
      <c r="AB271" s="8">
</c>
      <c r="AC271" s="8">
</c>
      <c r="AD271" s="8">
</c>
      <c r="AE271" s="8">
</c>
      <c r="AF271" s="8">
</c>
      <c r="AG271" s="8">
</c>
      <c r="AH271" s="8">
</c>
      <c r="AI271" s="8">
</c>
      <c r="AJ271" s="8">
</c>
      <c r="AK271" s="8">
</c>
    </row>
    <row r="272" ht="76.5" customHeight="1">
      <c r="A272">
</c>
      <c r="B272">
</c>
      <c r="C272" s="17">
</c>
      <c r="D272" s="17">
</c>
      <c r="E272">
</c>
      <c r="F272">
</c>
      <c r="G272" s="13" cm="1" t="str">
        <f t="array" ref="G272">IF(F272="","",SUBSTITUTE(SUBSTITUTE(SUBSTITUTE(SUBSTITUTE(F272,"&lt;li&gt;",CHAR(10)),"&lt;/li&gt;",""),"&lt;br&gt;",CHAR(10)),"&lt;strong&gt;",""))</f>
        <v/>
      </c>
      <c r="H272" s="13" cm="1" t="str">
        <f t="array" ref="H272">IF(G272="","",SUBSTITUTE(SUBSTITUTE(SUBSTITUTE(SUBSTITUTE(SUBSTITUTE(G272,"&lt;p&gt;",""),"&lt;/p&gt;",""),"&lt;ul&gt;",""),"&lt;/ul&gt;",""),"&lt;/strong&gt;",""))</f>
        <v/>
      </c>
      <c r="I272" s="14" cm="1" t="str">
        <f t="array" ref="I272">IF(C272="","",IF(OR(H272="",H272=0,H272=FALSE),"-",H272))</f>
        <v/>
      </c>
      <c r="J272">
</c>
      <c r="K272">
</c>
      <c r="L272" s="9" cm="1" t="str">
        <f t="array" ref="L272">IF(C272="","",IF(K272="Mort / Plus rien à faire","KO","OK"))</f>
        <v/>
      </c>
      <c r="M272" s="18">
</c>
      <c r="N272" s="15" cm="1" t="str">
        <f t="array" ref="N272">IF(OR(C272="",M272="",M272=0),"",M272)</f>
        <v/>
      </c>
      <c r="O272" s="18">
</c>
      <c r="P272" s="15" cm="1" t="str">
        <f t="array" ref="P272">IF(C272="","",IF(OR(O272="",O272=0),"-",O272))</f>
        <v/>
      </c>
      <c r="Q272" s="19">
</c>
      <c r="R272" s="16" cm="1" t="str">
        <f t="array" ref="R272">IF(C272="","",ROUND(Q272/1000000,3)&amp;" M€")</f>
        <v/>
      </c>
      <c r="S272" s="17">
</c>
      <c r="T272" s="9" cm="1" t="str">
        <f t="array" ref="T272">IF(C272="","",SUBSTITUTE(S272,"","")&amp;"%")</f>
        <v/>
      </c>
      <c r="U272" s="14" cm="1" t="str">
        <f t="array" ref="U272">IF(($N272="")*($P272=""),"",IF(($N272&lt;&gt;"")*($N272&gt;TODAY()-9)*($N272&lt;TODAY()+1)*($P272&lt;&gt;"")*($P272&gt;=TODAY())*($P272&lt;=TODAY()+13),"Semaine passée &amp; à venir",IF(($N272&lt;&gt;"")*($N272&gt;TODAY()-9)*($N272&lt;TODAY()+1),"Semaine passée",IF(($P272&lt;&gt;"")*($P272&gt;=TODAY())*($P272&lt;=TODAY()+13),"À venir","Autre"))))</f>
        <v/>
      </c>
      <c r="V272" s="8">
</c>
      <c r="W272" s="8">
</c>
      <c r="X272" s="8">
</c>
      <c r="Y272" s="8">
</c>
      <c r="Z272" s="8">
</c>
      <c r="AA272" s="8">
</c>
      <c r="AB272" s="8">
</c>
      <c r="AC272" s="8">
</c>
      <c r="AD272" s="8">
</c>
      <c r="AE272" s="8">
</c>
      <c r="AF272" s="8">
</c>
      <c r="AG272" s="8">
</c>
      <c r="AH272" s="8">
</c>
      <c r="AI272" s="8">
</c>
      <c r="AJ272" s="8">
</c>
      <c r="AK272" s="8">
</c>
    </row>
    <row r="273" ht="76.5" customHeight="1">
      <c r="A273">
</c>
      <c r="B273">
</c>
      <c r="C273" s="17">
</c>
      <c r="D273" s="17">
</c>
      <c r="E273">
</c>
      <c r="F273">
</c>
      <c r="G273" s="13" cm="1" t="str">
        <f t="array" ref="G273">IF(F273="","",SUBSTITUTE(SUBSTITUTE(SUBSTITUTE(SUBSTITUTE(F273,"&lt;li&gt;",CHAR(10)),"&lt;/li&gt;",""),"&lt;br&gt;",CHAR(10)),"&lt;strong&gt;",""))</f>
        <v/>
      </c>
      <c r="H273" s="13" cm="1" t="str">
        <f t="array" ref="H273">IF(G273="","",SUBSTITUTE(SUBSTITUTE(SUBSTITUTE(SUBSTITUTE(SUBSTITUTE(G273,"&lt;p&gt;",""),"&lt;/p&gt;",""),"&lt;ul&gt;",""),"&lt;/ul&gt;",""),"&lt;/strong&gt;",""))</f>
        <v/>
      </c>
      <c r="I273" s="14" cm="1" t="str">
        <f t="array" ref="I273">IF(C273="","",IF(OR(H273="",H273=0,H273=FALSE),"-",H273))</f>
        <v/>
      </c>
      <c r="J273">
</c>
      <c r="K273">
</c>
      <c r="L273" s="9" cm="1" t="str">
        <f t="array" ref="L273">IF(C273="","",IF(K273="Mort / Plus rien à faire","KO","OK"))</f>
        <v/>
      </c>
      <c r="M273" s="18">
</c>
      <c r="N273" s="15" cm="1" t="str">
        <f t="array" ref="N273">IF(OR(C273="",M273="",M273=0),"",M273)</f>
        <v/>
      </c>
      <c r="O273" s="18">
</c>
      <c r="P273" s="15" cm="1" t="str">
        <f t="array" ref="P273">IF(C273="","",IF(OR(O273="",O273=0),"-",O273))</f>
        <v/>
      </c>
      <c r="Q273" s="19">
</c>
      <c r="R273" s="16" cm="1" t="str">
        <f t="array" ref="R273">IF(C273="","",ROUND(Q273/1000000,3)&amp;" M€")</f>
        <v/>
      </c>
      <c r="S273" s="17">
</c>
      <c r="T273" s="9" cm="1" t="str">
        <f t="array" ref="T273">IF(C273="","",SUBSTITUTE(S273,"","")&amp;"%")</f>
        <v/>
      </c>
      <c r="U273" s="14" cm="1" t="str">
        <f t="array" ref="U273">IF(($N273="")*($P273=""),"",IF(($N273&lt;&gt;"")*($N273&gt;TODAY()-9)*($N273&lt;TODAY()+1)*($P273&lt;&gt;"")*($P273&gt;=TODAY())*($P273&lt;=TODAY()+13),"Semaine passée &amp; à venir",IF(($N273&lt;&gt;"")*($N273&gt;TODAY()-9)*($N273&lt;TODAY()+1),"Semaine passée",IF(($P273&lt;&gt;"")*($P273&gt;=TODAY())*($P273&lt;=TODAY()+13),"À venir","Autre"))))</f>
        <v/>
      </c>
      <c r="V273" s="8">
</c>
      <c r="W273" s="8">
</c>
      <c r="X273" s="8">
</c>
      <c r="Y273" s="8">
</c>
      <c r="Z273" s="8">
</c>
      <c r="AA273" s="8">
</c>
      <c r="AB273" s="8">
</c>
      <c r="AC273" s="8">
</c>
      <c r="AD273" s="8">
</c>
      <c r="AE273" s="8">
</c>
      <c r="AF273" s="8">
</c>
      <c r="AG273" s="8">
</c>
      <c r="AH273" s="8">
</c>
      <c r="AI273" s="8">
</c>
      <c r="AJ273" s="8">
</c>
      <c r="AK273" s="8">
</c>
    </row>
    <row r="274" ht="76.5" customHeight="1">
      <c r="A274">
</c>
      <c r="B274">
</c>
      <c r="C274" s="17">
</c>
      <c r="D274" s="17">
</c>
      <c r="E274">
</c>
      <c r="F274">
</c>
      <c r="G274" s="13" cm="1" t="str">
        <f t="array" ref="G274">IF(F274="","",SUBSTITUTE(SUBSTITUTE(SUBSTITUTE(SUBSTITUTE(F274,"&lt;li&gt;",CHAR(10)),"&lt;/li&gt;",""),"&lt;br&gt;",CHAR(10)),"&lt;strong&gt;",""))</f>
        <v/>
      </c>
      <c r="H274" s="13" cm="1" t="str">
        <f t="array" ref="H274">IF(G274="","",SUBSTITUTE(SUBSTITUTE(SUBSTITUTE(SUBSTITUTE(SUBSTITUTE(G274,"&lt;p&gt;",""),"&lt;/p&gt;",""),"&lt;ul&gt;",""),"&lt;/ul&gt;",""),"&lt;/strong&gt;",""))</f>
        <v/>
      </c>
      <c r="I274" s="14" cm="1" t="str">
        <f t="array" ref="I274">IF(C274="","",IF(OR(H274="",H274=0,H274=FALSE),"-",H274))</f>
        <v/>
      </c>
      <c r="J274">
</c>
      <c r="K274">
</c>
      <c r="L274" s="9" cm="1" t="str">
        <f t="array" ref="L274">IF(C274="","",IF(K274="Mort / Plus rien à faire","KO","OK"))</f>
        <v/>
      </c>
      <c r="M274" s="18">
</c>
      <c r="N274" s="15" cm="1" t="str">
        <f t="array" ref="N274">IF(OR(C274="",M274="",M274=0),"",M274)</f>
        <v/>
      </c>
      <c r="O274" s="18">
</c>
      <c r="P274" s="15" cm="1" t="str">
        <f t="array" ref="P274">IF(C274="","",IF(OR(O274="",O274=0),"-",O274))</f>
        <v/>
      </c>
      <c r="Q274" s="19">
</c>
      <c r="R274" s="16" cm="1" t="str">
        <f t="array" ref="R274">IF(C274="","",ROUND(Q274/1000000,3)&amp;" M€")</f>
        <v/>
      </c>
      <c r="S274" s="17">
</c>
      <c r="T274" s="9" cm="1" t="str">
        <f t="array" ref="T274">IF(C274="","",SUBSTITUTE(S274,"","")&amp;"%")</f>
        <v/>
      </c>
      <c r="U274" s="14" cm="1" t="str">
        <f t="array" ref="U274">IF(($N274="")*($P274=""),"",IF(($N274&lt;&gt;"")*($N274&gt;TODAY()-9)*($N274&lt;TODAY()+1)*($P274&lt;&gt;"")*($P274&gt;=TODAY())*($P274&lt;=TODAY()+13),"Semaine passée &amp; à venir",IF(($N274&lt;&gt;"")*($N274&gt;TODAY()-9)*($N274&lt;TODAY()+1),"Semaine passée",IF(($P274&lt;&gt;"")*($P274&gt;=TODAY())*($P274&lt;=TODAY()+13),"À venir","Autre"))))</f>
        <v/>
      </c>
      <c r="V274" s="8">
</c>
      <c r="W274" s="8">
</c>
      <c r="X274" s="8">
</c>
      <c r="Y274" s="8">
</c>
      <c r="Z274" s="8">
</c>
      <c r="AA274" s="8">
</c>
      <c r="AB274" s="8">
</c>
      <c r="AC274" s="8">
</c>
      <c r="AD274" s="8">
</c>
      <c r="AE274" s="8">
</c>
      <c r="AF274" s="8">
</c>
      <c r="AG274" s="8">
</c>
      <c r="AH274" s="8">
</c>
      <c r="AI274" s="8">
</c>
      <c r="AJ274" s="8">
</c>
      <c r="AK274" s="8">
</c>
    </row>
    <row r="275" ht="76.5" customHeight="1">
      <c r="A275">
</c>
      <c r="B275">
</c>
      <c r="C275" s="17">
</c>
      <c r="D275" s="17">
</c>
      <c r="E275">
</c>
      <c r="F275">
</c>
      <c r="G275" s="13" cm="1" t="str">
        <f t="array" ref="G275">IF(F275="","",SUBSTITUTE(SUBSTITUTE(SUBSTITUTE(SUBSTITUTE(F275,"&lt;li&gt;",CHAR(10)),"&lt;/li&gt;",""),"&lt;br&gt;",CHAR(10)),"&lt;strong&gt;",""))</f>
        <v/>
      </c>
      <c r="H275" s="13" cm="1" t="str">
        <f t="array" ref="H275">IF(G275="","",SUBSTITUTE(SUBSTITUTE(SUBSTITUTE(SUBSTITUTE(SUBSTITUTE(G275,"&lt;p&gt;",""),"&lt;/p&gt;",""),"&lt;ul&gt;",""),"&lt;/ul&gt;",""),"&lt;/strong&gt;",""))</f>
        <v/>
      </c>
      <c r="I275" s="14" cm="1" t="str">
        <f t="array" ref="I275">IF(C275="","",IF(OR(H275="",H275=0,H275=FALSE),"-",H275))</f>
        <v/>
      </c>
      <c r="J275">
</c>
      <c r="K275">
</c>
      <c r="L275" s="9" cm="1" t="str">
        <f t="array" ref="L275">IF(C275="","",IF(K275="Mort / Plus rien à faire","KO","OK"))</f>
        <v/>
      </c>
      <c r="M275" s="18">
</c>
      <c r="N275" s="15" cm="1" t="str">
        <f t="array" ref="N275">IF(OR(C275="",M275="",M275=0),"",M275)</f>
        <v/>
      </c>
      <c r="O275" s="18">
</c>
      <c r="P275" s="15" cm="1" t="str">
        <f t="array" ref="P275">IF(C275="","",IF(OR(O275="",O275=0),"-",O275))</f>
        <v/>
      </c>
      <c r="Q275" s="19">
</c>
      <c r="R275" s="16" cm="1" t="str">
        <f t="array" ref="R275">IF(C275="","",ROUND(Q275/1000000,3)&amp;" M€")</f>
        <v/>
      </c>
      <c r="S275" s="17">
</c>
      <c r="T275" s="9" cm="1" t="str">
        <f t="array" ref="T275">IF(C275="","",SUBSTITUTE(S275,"","")&amp;"%")</f>
        <v/>
      </c>
      <c r="U275" s="14" cm="1" t="str">
        <f t="array" ref="U275">IF(($N275="")*($P275=""),"",IF(($N275&lt;&gt;"")*($N275&gt;TODAY()-9)*($N275&lt;TODAY()+1)*($P275&lt;&gt;"")*($P275&gt;=TODAY())*($P275&lt;=TODAY()+13),"Semaine passée &amp; à venir",IF(($N275&lt;&gt;"")*($N275&gt;TODAY()-9)*($N275&lt;TODAY()+1),"Semaine passée",IF(($P275&lt;&gt;"")*($P275&gt;=TODAY())*($P275&lt;=TODAY()+13),"À venir","Autre"))))</f>
        <v/>
      </c>
      <c r="V275" s="8">
</c>
      <c r="W275" s="8">
</c>
      <c r="X275" s="8">
</c>
      <c r="Y275" s="8">
</c>
      <c r="Z275" s="8">
</c>
      <c r="AA275" s="8">
</c>
      <c r="AB275" s="8">
</c>
      <c r="AC275" s="8">
</c>
      <c r="AD275" s="8">
</c>
      <c r="AE275" s="8">
</c>
      <c r="AF275" s="8">
</c>
      <c r="AG275" s="8">
</c>
      <c r="AH275" s="8">
</c>
      <c r="AI275" s="8">
</c>
      <c r="AJ275" s="8">
</c>
      <c r="AK275" s="8">
</c>
    </row>
    <row r="276" ht="76.5" customHeight="1">
      <c r="A276">
</c>
      <c r="B276">
</c>
      <c r="C276" s="17">
</c>
      <c r="D276" s="17">
</c>
      <c r="E276">
</c>
      <c r="F276">
</c>
      <c r="G276" s="13" cm="1" t="str">
        <f t="array" ref="G276">IF(F276="","",SUBSTITUTE(SUBSTITUTE(SUBSTITUTE(SUBSTITUTE(F276,"&lt;li&gt;",CHAR(10)),"&lt;/li&gt;",""),"&lt;br&gt;",CHAR(10)),"&lt;strong&gt;",""))</f>
        <v/>
      </c>
      <c r="H276" s="13" cm="1" t="str">
        <f t="array" ref="H276">IF(G276="","",SUBSTITUTE(SUBSTITUTE(SUBSTITUTE(SUBSTITUTE(SUBSTITUTE(G276,"&lt;p&gt;",""),"&lt;/p&gt;",""),"&lt;ul&gt;",""),"&lt;/ul&gt;",""),"&lt;/strong&gt;",""))</f>
        <v/>
      </c>
      <c r="I276" s="14" cm="1" t="str">
        <f t="array" ref="I276">IF(C276="","",IF(OR(H276="",H276=0,H276=FALSE),"-",H276))</f>
        <v/>
      </c>
      <c r="J276">
</c>
      <c r="K276">
</c>
      <c r="L276" s="9" cm="1" t="str">
        <f t="array" ref="L276">IF(C276="","",IF(K276="Mort / Plus rien à faire","KO","OK"))</f>
        <v/>
      </c>
      <c r="M276" s="18">
</c>
      <c r="N276" s="15" cm="1" t="str">
        <f t="array" ref="N276">IF(OR(C276="",M276="",M276=0),"",M276)</f>
        <v/>
      </c>
      <c r="O276" s="18">
</c>
      <c r="P276" s="15" cm="1" t="str">
        <f t="array" ref="P276">IF(C276="","",IF(OR(O276="",O276=0),"-",O276))</f>
        <v/>
      </c>
      <c r="Q276" s="19">
</c>
      <c r="R276" s="16" cm="1" t="str">
        <f t="array" ref="R276">IF(C276="","",ROUND(Q276/1000000,3)&amp;" M€")</f>
        <v/>
      </c>
      <c r="S276" s="17">
</c>
      <c r="T276" s="9" cm="1" t="str">
        <f t="array" ref="T276">IF(C276="","",SUBSTITUTE(S276,"","")&amp;"%")</f>
        <v/>
      </c>
      <c r="U276" s="14" cm="1" t="str">
        <f t="array" ref="U276">IF(($N276="")*($P276=""),"",IF(($N276&lt;&gt;"")*($N276&gt;TODAY()-9)*($N276&lt;TODAY()+1)*($P276&lt;&gt;"")*($P276&gt;=TODAY())*($P276&lt;=TODAY()+13),"Semaine passée &amp; à venir",IF(($N276&lt;&gt;"")*($N276&gt;TODAY()-9)*($N276&lt;TODAY()+1),"Semaine passée",IF(($P276&lt;&gt;"")*($P276&gt;=TODAY())*($P276&lt;=TODAY()+13),"À venir","Autre"))))</f>
        <v/>
      </c>
      <c r="V276" s="8">
</c>
      <c r="W276" s="8">
</c>
      <c r="X276" s="8">
</c>
      <c r="Y276" s="8">
</c>
      <c r="Z276" s="8">
</c>
      <c r="AA276" s="8">
</c>
      <c r="AB276" s="8">
</c>
      <c r="AC276" s="8">
</c>
      <c r="AD276" s="8">
</c>
      <c r="AE276" s="8">
</c>
      <c r="AF276" s="8">
</c>
      <c r="AG276" s="8">
</c>
      <c r="AH276" s="8">
</c>
      <c r="AI276" s="8">
</c>
      <c r="AJ276" s="8">
</c>
      <c r="AK276" s="8">
</c>
    </row>
    <row r="277" ht="76.5" customHeight="1">
      <c r="A277">
</c>
      <c r="B277">
</c>
      <c r="C277" s="17">
</c>
      <c r="D277" s="17">
</c>
      <c r="E277">
</c>
      <c r="F277">
</c>
      <c r="G277" s="13" cm="1" t="str">
        <f t="array" ref="G277">IF(F277="","",SUBSTITUTE(SUBSTITUTE(SUBSTITUTE(SUBSTITUTE(F277,"&lt;li&gt;",CHAR(10)),"&lt;/li&gt;",""),"&lt;br&gt;",CHAR(10)),"&lt;strong&gt;",""))</f>
        <v/>
      </c>
      <c r="H277" s="13" cm="1" t="str">
        <f t="array" ref="H277">IF(G277="","",SUBSTITUTE(SUBSTITUTE(SUBSTITUTE(SUBSTITUTE(SUBSTITUTE(G277,"&lt;p&gt;",""),"&lt;/p&gt;",""),"&lt;ul&gt;",""),"&lt;/ul&gt;",""),"&lt;/strong&gt;",""))</f>
        <v/>
      </c>
      <c r="I277" s="14" cm="1" t="str">
        <f t="array" ref="I277">IF(C277="","",IF(OR(H277="",H277=0,H277=FALSE),"-",H277))</f>
        <v/>
      </c>
      <c r="J277">
</c>
      <c r="K277">
</c>
      <c r="L277" s="9" cm="1" t="str">
        <f t="array" ref="L277">IF(C277="","",IF(K277="Mort / Plus rien à faire","KO","OK"))</f>
        <v/>
      </c>
      <c r="M277" s="18">
</c>
      <c r="N277" s="15" cm="1" t="str">
        <f t="array" ref="N277">IF(OR(C277="",M277="",M277=0),"",M277)</f>
        <v/>
      </c>
      <c r="O277" s="18">
</c>
      <c r="P277" s="15" cm="1" t="str">
        <f t="array" ref="P277">IF(C277="","",IF(OR(O277="",O277=0),"-",O277))</f>
        <v/>
      </c>
      <c r="Q277" s="19">
</c>
      <c r="R277" s="16" cm="1" t="str">
        <f t="array" ref="R277">IF(C277="","",ROUND(Q277/1000000,3)&amp;" M€")</f>
        <v/>
      </c>
      <c r="S277" s="17">
</c>
      <c r="T277" s="9" cm="1" t="str">
        <f t="array" ref="T277">IF(C277="","",SUBSTITUTE(S277,"","")&amp;"%")</f>
        <v/>
      </c>
      <c r="U277" s="14" cm="1" t="str">
        <f t="array" ref="U277">IF(($N277="")*($P277=""),"",IF(($N277&lt;&gt;"")*($N277&gt;TODAY()-9)*($N277&lt;TODAY()+1)*($P277&lt;&gt;"")*($P277&gt;=TODAY())*($P277&lt;=TODAY()+13),"Semaine passée &amp; à venir",IF(($N277&lt;&gt;"")*($N277&gt;TODAY()-9)*($N277&lt;TODAY()+1),"Semaine passée",IF(($P277&lt;&gt;"")*($P277&gt;=TODAY())*($P277&lt;=TODAY()+13),"À venir","Autre"))))</f>
        <v/>
      </c>
      <c r="V277" s="8">
</c>
      <c r="W277" s="8">
</c>
      <c r="X277" s="8">
</c>
      <c r="Y277" s="8">
</c>
      <c r="Z277" s="8">
</c>
      <c r="AA277" s="8">
</c>
      <c r="AB277" s="8">
</c>
      <c r="AC277" s="8">
</c>
      <c r="AD277" s="8">
</c>
      <c r="AE277" s="8">
</c>
      <c r="AF277" s="8">
</c>
      <c r="AG277" s="8">
</c>
      <c r="AH277" s="8">
</c>
      <c r="AI277" s="8">
</c>
      <c r="AJ277" s="8">
</c>
      <c r="AK277" s="8">
</c>
    </row>
    <row r="278" ht="76.5" customHeight="1">
      <c r="A278">
</c>
      <c r="B278">
</c>
      <c r="C278" s="17">
</c>
      <c r="D278" s="17">
</c>
      <c r="E278">
</c>
      <c r="F278">
</c>
      <c r="G278" s="13" cm="1" t="str">
        <f t="array" ref="G278">IF(F278="","",SUBSTITUTE(SUBSTITUTE(SUBSTITUTE(SUBSTITUTE(F278,"&lt;li&gt;",CHAR(10)),"&lt;/li&gt;",""),"&lt;br&gt;",CHAR(10)),"&lt;strong&gt;",""))</f>
        <v/>
      </c>
      <c r="H278" s="13" cm="1" t="str">
        <f t="array" ref="H278">IF(G278="","",SUBSTITUTE(SUBSTITUTE(SUBSTITUTE(SUBSTITUTE(SUBSTITUTE(G278,"&lt;p&gt;",""),"&lt;/p&gt;",""),"&lt;ul&gt;",""),"&lt;/ul&gt;",""),"&lt;/strong&gt;",""))</f>
        <v/>
      </c>
      <c r="I278" s="14" cm="1" t="str">
        <f t="array" ref="I278">IF(C278="","",IF(OR(H278="",H278=0,H278=FALSE),"-",H278))</f>
        <v/>
      </c>
      <c r="J278">
</c>
      <c r="K278">
</c>
      <c r="L278" s="9" cm="1" t="str">
        <f t="array" ref="L278">IF(C278="","",IF(K278="Mort / Plus rien à faire","KO","OK"))</f>
        <v/>
      </c>
      <c r="M278" s="18">
</c>
      <c r="N278" s="15" cm="1" t="str">
        <f t="array" ref="N278">IF(OR(C278="",M278="",M278=0),"",M278)</f>
        <v/>
      </c>
      <c r="O278" s="18">
</c>
      <c r="P278" s="15" cm="1" t="str">
        <f t="array" ref="P278">IF(C278="","",IF(OR(O278="",O278=0),"-",O278))</f>
        <v/>
      </c>
      <c r="Q278" s="19">
</c>
      <c r="R278" s="16" cm="1" t="str">
        <f t="array" ref="R278">IF(C278="","",ROUND(Q278/1000000,3)&amp;" M€")</f>
        <v/>
      </c>
      <c r="S278" s="17">
</c>
      <c r="T278" s="9" cm="1" t="str">
        <f t="array" ref="T278">IF(C278="","",SUBSTITUTE(S278,"","")&amp;"%")</f>
        <v/>
      </c>
      <c r="U278" s="14" cm="1" t="str">
        <f t="array" ref="U278">IF(($N278="")*($P278=""),"",IF(($N278&lt;&gt;"")*($N278&gt;TODAY()-9)*($N278&lt;TODAY()+1)*($P278&lt;&gt;"")*($P278&gt;=TODAY())*($P278&lt;=TODAY()+13),"Semaine passée &amp; à venir",IF(($N278&lt;&gt;"")*($N278&gt;TODAY()-9)*($N278&lt;TODAY()+1),"Semaine passée",IF(($P278&lt;&gt;"")*($P278&gt;=TODAY())*($P278&lt;=TODAY()+13),"À venir","Autre"))))</f>
        <v/>
      </c>
      <c r="V278" s="8">
</c>
      <c r="W278" s="8">
</c>
      <c r="X278" s="8">
</c>
      <c r="Y278" s="8">
</c>
      <c r="Z278" s="8">
</c>
      <c r="AA278" s="8">
</c>
      <c r="AB278" s="8">
</c>
      <c r="AC278" s="8">
</c>
      <c r="AD278" s="8">
</c>
      <c r="AE278" s="8">
</c>
      <c r="AF278" s="8">
</c>
      <c r="AG278" s="8">
</c>
      <c r="AH278" s="8">
</c>
      <c r="AI278" s="8">
</c>
      <c r="AJ278" s="8">
</c>
      <c r="AK278" s="8">
</c>
    </row>
    <row r="279" ht="76.5" customHeight="1">
      <c r="A279">
</c>
      <c r="B279">
</c>
      <c r="C279" s="17">
</c>
      <c r="D279" s="17">
</c>
      <c r="E279">
</c>
      <c r="F279">
</c>
      <c r="G279" s="13" cm="1" t="str">
        <f t="array" ref="G279">IF(F279="","",SUBSTITUTE(SUBSTITUTE(SUBSTITUTE(SUBSTITUTE(F279,"&lt;li&gt;",CHAR(10)),"&lt;/li&gt;",""),"&lt;br&gt;",CHAR(10)),"&lt;strong&gt;",""))</f>
        <v/>
      </c>
      <c r="H279" s="13" cm="1" t="str">
        <f t="array" ref="H279">IF(G279="","",SUBSTITUTE(SUBSTITUTE(SUBSTITUTE(SUBSTITUTE(SUBSTITUTE(G279,"&lt;p&gt;",""),"&lt;/p&gt;",""),"&lt;ul&gt;",""),"&lt;/ul&gt;",""),"&lt;/strong&gt;",""))</f>
        <v/>
      </c>
      <c r="I279" s="14" cm="1" t="str">
        <f t="array" ref="I279">IF(C279="","",IF(OR(H279="",H279=0,H279=FALSE),"-",H279))</f>
        <v/>
      </c>
      <c r="J279">
</c>
      <c r="K279">
</c>
      <c r="L279" s="9" cm="1" t="str">
        <f t="array" ref="L279">IF(C279="","",IF(K279="Mort / Plus rien à faire","KO","OK"))</f>
        <v/>
      </c>
      <c r="M279" s="18">
</c>
      <c r="N279" s="15" cm="1" t="str">
        <f t="array" ref="N279">IF(OR(C279="",M279="",M279=0),"",M279)</f>
        <v/>
      </c>
      <c r="O279" s="18">
</c>
      <c r="P279" s="15" cm="1" t="str">
        <f t="array" ref="P279">IF(C279="","",IF(OR(O279="",O279=0),"-",O279))</f>
        <v/>
      </c>
      <c r="Q279" s="19">
</c>
      <c r="R279" s="16" cm="1" t="str">
        <f t="array" ref="R279">IF(C279="","",ROUND(Q279/1000000,3)&amp;" M€")</f>
        <v/>
      </c>
      <c r="S279" s="17">
</c>
      <c r="T279" s="9" cm="1" t="str">
        <f t="array" ref="T279">IF(C279="","",SUBSTITUTE(S279,"","")&amp;"%")</f>
        <v/>
      </c>
      <c r="U279" s="14" cm="1" t="str">
        <f t="array" ref="U279">IF(($N279="")*($P279=""),"",IF(($N279&lt;&gt;"")*($N279&gt;TODAY()-9)*($N279&lt;TODAY()+1)*($P279&lt;&gt;"")*($P279&gt;=TODAY())*($P279&lt;=TODAY()+13),"Semaine passée &amp; à venir",IF(($N279&lt;&gt;"")*($N279&gt;TODAY()-9)*($N279&lt;TODAY()+1),"Semaine passée",IF(($P279&lt;&gt;"")*($P279&gt;=TODAY())*($P279&lt;=TODAY()+13),"À venir","Autre"))))</f>
        <v/>
      </c>
      <c r="V279" s="8">
</c>
      <c r="W279" s="8">
</c>
      <c r="X279" s="8">
</c>
      <c r="Y279" s="8">
</c>
      <c r="Z279" s="8">
</c>
      <c r="AA279" s="8">
</c>
      <c r="AB279" s="8">
</c>
      <c r="AC279" s="8">
</c>
      <c r="AD279" s="8">
</c>
      <c r="AE279" s="8">
</c>
      <c r="AF279" s="8">
</c>
      <c r="AG279" s="8">
</c>
      <c r="AH279" s="8">
</c>
      <c r="AI279" s="8">
</c>
      <c r="AJ279" s="8">
</c>
      <c r="AK279" s="8">
</c>
    </row>
    <row r="280" ht="76.5" customHeight="1">
      <c r="A280">
</c>
      <c r="B280">
</c>
      <c r="C280" s="17">
</c>
      <c r="D280" s="17">
</c>
      <c r="E280">
</c>
      <c r="F280">
</c>
      <c r="G280" s="13" cm="1" t="str">
        <f t="array" ref="G280">IF(F280="","",SUBSTITUTE(SUBSTITUTE(SUBSTITUTE(SUBSTITUTE(F280,"&lt;li&gt;",CHAR(10)),"&lt;/li&gt;",""),"&lt;br&gt;",CHAR(10)),"&lt;strong&gt;",""))</f>
        <v/>
      </c>
      <c r="H280" s="13" cm="1" t="str">
        <f t="array" ref="H280">IF(G280="","",SUBSTITUTE(SUBSTITUTE(SUBSTITUTE(SUBSTITUTE(SUBSTITUTE(G280,"&lt;p&gt;",""),"&lt;/p&gt;",""),"&lt;ul&gt;",""),"&lt;/ul&gt;",""),"&lt;/strong&gt;",""))</f>
        <v/>
      </c>
      <c r="I280" s="14" cm="1" t="str">
        <f t="array" ref="I280">IF(C280="","",IF(OR(H280="",H280=0,H280=FALSE),"-",H280))</f>
        <v/>
      </c>
      <c r="J280">
</c>
      <c r="K280">
</c>
      <c r="L280" s="9" cm="1" t="str">
        <f t="array" ref="L280">IF(C280="","",IF(K280="Mort / Plus rien à faire","KO","OK"))</f>
        <v/>
      </c>
      <c r="M280" s="18">
</c>
      <c r="N280" s="15" cm="1" t="str">
        <f t="array" ref="N280">IF(OR(C280="",M280="",M280=0),"",M280)</f>
        <v/>
      </c>
      <c r="O280" s="18">
</c>
      <c r="P280" s="15" cm="1" t="str">
        <f t="array" ref="P280">IF(C280="","",IF(OR(O280="",O280=0),"-",O280))</f>
        <v/>
      </c>
      <c r="Q280" s="19">
</c>
      <c r="R280" s="16" cm="1" t="str">
        <f t="array" ref="R280">IF(C280="","",ROUND(Q280/1000000,3)&amp;" M€")</f>
        <v/>
      </c>
      <c r="S280" s="17">
</c>
      <c r="T280" s="9" cm="1" t="str">
        <f t="array" ref="T280">IF(C280="","",SUBSTITUTE(S280,"","")&amp;"%")</f>
        <v/>
      </c>
      <c r="U280" s="14" cm="1" t="str">
        <f t="array" ref="U280">IF(($N280="")*($P280=""),"",IF(($N280&lt;&gt;"")*($N280&gt;TODAY()-9)*($N280&lt;TODAY()+1)*($P280&lt;&gt;"")*($P280&gt;=TODAY())*($P280&lt;=TODAY()+13),"Semaine passée &amp; à venir",IF(($N280&lt;&gt;"")*($N280&gt;TODAY()-9)*($N280&lt;TODAY()+1),"Semaine passée",IF(($P280&lt;&gt;"")*($P280&gt;=TODAY())*($P280&lt;=TODAY()+13),"À venir","Autre"))))</f>
        <v/>
      </c>
      <c r="V280" s="8">
</c>
      <c r="W280" s="8">
</c>
      <c r="X280" s="8">
</c>
      <c r="Y280" s="8">
</c>
      <c r="Z280" s="8">
</c>
      <c r="AA280" s="8">
</c>
      <c r="AB280" s="8">
</c>
      <c r="AC280" s="8">
</c>
      <c r="AD280" s="8">
</c>
      <c r="AE280" s="8">
</c>
      <c r="AF280" s="8">
</c>
      <c r="AG280" s="8">
</c>
      <c r="AH280" s="8">
</c>
      <c r="AI280" s="8">
</c>
      <c r="AJ280" s="8">
</c>
      <c r="AK280" s="8">
</c>
    </row>
    <row r="281" ht="76.5" customHeight="1">
      <c r="A281">
</c>
      <c r="B281">
</c>
      <c r="C281" s="17">
</c>
      <c r="D281" s="17">
</c>
      <c r="E281">
</c>
      <c r="F281">
</c>
      <c r="G281" s="13" cm="1" t="str">
        <f t="array" ref="G281">IF(F281="","",SUBSTITUTE(SUBSTITUTE(SUBSTITUTE(SUBSTITUTE(F281,"&lt;li&gt;",CHAR(10)),"&lt;/li&gt;",""),"&lt;br&gt;",CHAR(10)),"&lt;strong&gt;",""))</f>
        <v/>
      </c>
      <c r="H281" s="13" cm="1" t="str">
        <f t="array" ref="H281">IF(G281="","",SUBSTITUTE(SUBSTITUTE(SUBSTITUTE(SUBSTITUTE(SUBSTITUTE(G281,"&lt;p&gt;",""),"&lt;/p&gt;",""),"&lt;ul&gt;",""),"&lt;/ul&gt;",""),"&lt;/strong&gt;",""))</f>
        <v/>
      </c>
      <c r="I281" s="14" cm="1" t="str">
        <f t="array" ref="I281">IF(C281="","",IF(OR(H281="",H281=0,H281=FALSE),"-",H281))</f>
        <v/>
      </c>
      <c r="J281">
</c>
      <c r="K281">
</c>
      <c r="L281" s="9" cm="1" t="str">
        <f t="array" ref="L281">IF(C281="","",IF(K281="Mort / Plus rien à faire","KO","OK"))</f>
        <v/>
      </c>
      <c r="M281" s="18">
</c>
      <c r="N281" s="15" cm="1" t="str">
        <f t="array" ref="N281">IF(OR(C281="",M281="",M281=0),"",M281)</f>
        <v/>
      </c>
      <c r="O281" s="18">
</c>
      <c r="P281" s="15" cm="1" t="str">
        <f t="array" ref="P281">IF(C281="","",IF(OR(O281="",O281=0),"-",O281))</f>
        <v/>
      </c>
      <c r="Q281" s="19">
</c>
      <c r="R281" s="16" cm="1" t="str">
        <f t="array" ref="R281">IF(C281="","",ROUND(Q281/1000000,3)&amp;" M€")</f>
        <v/>
      </c>
      <c r="S281" s="17">
</c>
      <c r="T281" s="9" cm="1" t="str">
        <f t="array" ref="T281">IF(C281="","",SUBSTITUTE(S281,"","")&amp;"%")</f>
        <v/>
      </c>
      <c r="U281" s="14" cm="1" t="str">
        <f t="array" ref="U281">IF(($N281="")*($P281=""),"",IF(($N281&lt;&gt;"")*($N281&gt;TODAY()-9)*($N281&lt;TODAY()+1)*($P281&lt;&gt;"")*($P281&gt;=TODAY())*($P281&lt;=TODAY()+13),"Semaine passée &amp; à venir",IF(($N281&lt;&gt;"")*($N281&gt;TODAY()-9)*($N281&lt;TODAY()+1),"Semaine passée",IF(($P281&lt;&gt;"")*($P281&gt;=TODAY())*($P281&lt;=TODAY()+13),"À venir","Autre"))))</f>
        <v/>
      </c>
      <c r="V281" s="8">
</c>
      <c r="W281" s="8">
</c>
      <c r="X281" s="8">
</c>
      <c r="Y281" s="8">
</c>
      <c r="Z281" s="8">
</c>
      <c r="AA281" s="8">
</c>
      <c r="AB281" s="8">
</c>
      <c r="AC281" s="8">
</c>
      <c r="AD281" s="8">
</c>
      <c r="AE281" s="8">
</c>
      <c r="AF281" s="8">
</c>
      <c r="AG281" s="8">
</c>
      <c r="AH281" s="8">
</c>
      <c r="AI281" s="8">
</c>
      <c r="AJ281" s="8">
</c>
      <c r="AK281" s="8">
</c>
    </row>
    <row r="282" ht="76.5" customHeight="1">
      <c r="A282">
</c>
      <c r="B282">
</c>
      <c r="C282" s="17">
</c>
      <c r="D282" s="17">
</c>
      <c r="E282">
</c>
      <c r="F282">
</c>
      <c r="G282" s="13" cm="1" t="str">
        <f t="array" ref="G282">IF(F282="","",SUBSTITUTE(SUBSTITUTE(SUBSTITUTE(SUBSTITUTE(F282,"&lt;li&gt;",CHAR(10)),"&lt;/li&gt;",""),"&lt;br&gt;",CHAR(10)),"&lt;strong&gt;",""))</f>
        <v/>
      </c>
      <c r="H282" s="13" cm="1" t="str">
        <f t="array" ref="H282">IF(G282="","",SUBSTITUTE(SUBSTITUTE(SUBSTITUTE(SUBSTITUTE(SUBSTITUTE(G282,"&lt;p&gt;",""),"&lt;/p&gt;",""),"&lt;ul&gt;",""),"&lt;/ul&gt;",""),"&lt;/strong&gt;",""))</f>
        <v/>
      </c>
      <c r="I282" s="14" cm="1" t="str">
        <f t="array" ref="I282">IF(C282="","",IF(OR(H282="",H282=0,H282=FALSE),"-",H282))</f>
        <v/>
      </c>
      <c r="J282">
</c>
      <c r="K282">
</c>
      <c r="L282" s="9" cm="1" t="str">
        <f t="array" ref="L282">IF(C282="","",IF(K282="Mort / Plus rien à faire","KO","OK"))</f>
        <v/>
      </c>
      <c r="M282" s="18">
</c>
      <c r="N282" s="15" cm="1" t="str">
        <f t="array" ref="N282">IF(OR(C282="",M282="",M282=0),"",M282)</f>
        <v/>
      </c>
      <c r="O282" s="18">
</c>
      <c r="P282" s="15" cm="1" t="str">
        <f t="array" ref="P282">IF(C282="","",IF(OR(O282="",O282=0),"-",O282))</f>
        <v/>
      </c>
      <c r="Q282" s="19">
</c>
      <c r="R282" s="16" cm="1" t="str">
        <f t="array" ref="R282">IF(C282="","",ROUND(Q282/1000000,3)&amp;" M€")</f>
        <v/>
      </c>
      <c r="S282" s="17">
</c>
      <c r="T282" s="9" cm="1" t="str">
        <f t="array" ref="T282">IF(C282="","",SUBSTITUTE(S282,"","")&amp;"%")</f>
        <v/>
      </c>
      <c r="U282" s="14" cm="1" t="str">
        <f t="array" ref="U282">IF(($N282="")*($P282=""),"",IF(($N282&lt;&gt;"")*($N282&gt;TODAY()-9)*($N282&lt;TODAY()+1)*($P282&lt;&gt;"")*($P282&gt;=TODAY())*($P282&lt;=TODAY()+13),"Semaine passée &amp; à venir",IF(($N282&lt;&gt;"")*($N282&gt;TODAY()-9)*($N282&lt;TODAY()+1),"Semaine passée",IF(($P282&lt;&gt;"")*($P282&gt;=TODAY())*($P282&lt;=TODAY()+13),"À venir","Autre"))))</f>
        <v/>
      </c>
      <c r="V282" s="8">
</c>
      <c r="W282" s="8">
</c>
      <c r="X282" s="8">
</c>
      <c r="Y282" s="8">
</c>
      <c r="Z282" s="8">
</c>
      <c r="AA282" s="8">
</c>
      <c r="AB282" s="8">
</c>
      <c r="AC282" s="8">
</c>
      <c r="AD282" s="8">
</c>
      <c r="AE282" s="8">
</c>
      <c r="AF282" s="8">
</c>
      <c r="AG282" s="8">
</c>
      <c r="AH282" s="8">
</c>
      <c r="AI282" s="8">
</c>
      <c r="AJ282" s="8">
</c>
      <c r="AK282" s="8">
</c>
    </row>
    <row r="283" ht="76.5" customHeight="1">
      <c r="A283">
</c>
      <c r="B283">
</c>
      <c r="C283" s="17">
</c>
      <c r="D283" s="17">
</c>
      <c r="E283">
</c>
      <c r="F283">
</c>
      <c r="G283" s="13" cm="1" t="str">
        <f t="array" ref="G283">IF(F283="","",SUBSTITUTE(SUBSTITUTE(SUBSTITUTE(SUBSTITUTE(F283,"&lt;li&gt;",CHAR(10)),"&lt;/li&gt;",""),"&lt;br&gt;",CHAR(10)),"&lt;strong&gt;",""))</f>
        <v/>
      </c>
      <c r="H283" s="13" cm="1" t="str">
        <f t="array" ref="H283">IF(G283="","",SUBSTITUTE(SUBSTITUTE(SUBSTITUTE(SUBSTITUTE(SUBSTITUTE(G283,"&lt;p&gt;",""),"&lt;/p&gt;",""),"&lt;ul&gt;",""),"&lt;/ul&gt;",""),"&lt;/strong&gt;",""))</f>
        <v/>
      </c>
      <c r="I283" s="14" cm="1" t="str">
        <f t="array" ref="I283">IF(C283="","",IF(OR(H283="",H283=0,H283=FALSE),"-",H283))</f>
        <v/>
      </c>
      <c r="J283">
</c>
      <c r="K283">
</c>
      <c r="L283" s="9" cm="1" t="str">
        <f t="array" ref="L283">IF(C283="","",IF(K283="Mort / Plus rien à faire","KO","OK"))</f>
        <v/>
      </c>
      <c r="M283" s="18">
</c>
      <c r="N283" s="15" cm="1" t="str">
        <f t="array" ref="N283">IF(OR(C283="",M283="",M283=0),"",M283)</f>
        <v/>
      </c>
      <c r="O283" s="18">
</c>
      <c r="P283" s="15" cm="1" t="str">
        <f t="array" ref="P283">IF(C283="","",IF(OR(O283="",O283=0),"-",O283))</f>
        <v/>
      </c>
      <c r="Q283" s="19">
</c>
      <c r="R283" s="16" cm="1" t="str">
        <f t="array" ref="R283">IF(C283="","",ROUND(Q283/1000000,3)&amp;" M€")</f>
        <v/>
      </c>
      <c r="S283" s="17">
</c>
      <c r="T283" s="9" cm="1" t="str">
        <f t="array" ref="T283">IF(C283="","",SUBSTITUTE(S283,"","")&amp;"%")</f>
        <v/>
      </c>
      <c r="U283" s="14" cm="1" t="str">
        <f t="array" ref="U283">IF(($N283="")*($P283=""),"",IF(($N283&lt;&gt;"")*($N283&gt;TODAY()-9)*($N283&lt;TODAY()+1)*($P283&lt;&gt;"")*($P283&gt;=TODAY())*($P283&lt;=TODAY()+13),"Semaine passée &amp; à venir",IF(($N283&lt;&gt;"")*($N283&gt;TODAY()-9)*($N283&lt;TODAY()+1),"Semaine passée",IF(($P283&lt;&gt;"")*($P283&gt;=TODAY())*($P283&lt;=TODAY()+13),"À venir","Autre"))))</f>
        <v/>
      </c>
      <c r="V283" s="8">
</c>
      <c r="W283" s="8">
</c>
      <c r="X283" s="8">
</c>
      <c r="Y283" s="8">
</c>
      <c r="Z283" s="8">
</c>
      <c r="AA283" s="8">
</c>
      <c r="AB283" s="8">
</c>
      <c r="AC283" s="8">
</c>
      <c r="AD283" s="8">
</c>
      <c r="AE283" s="8">
</c>
      <c r="AF283" s="8">
</c>
      <c r="AG283" s="8">
</c>
      <c r="AH283" s="8">
</c>
      <c r="AI283" s="8">
</c>
      <c r="AJ283" s="8">
</c>
      <c r="AK283" s="8">
</c>
    </row>
    <row r="284" ht="76.5" customHeight="1">
      <c r="A284">
</c>
      <c r="B284">
</c>
      <c r="C284" s="17">
</c>
      <c r="D284" s="17">
</c>
      <c r="E284">
</c>
      <c r="F284">
</c>
      <c r="G284" s="13" cm="1" t="str">
        <f t="array" ref="G284">IF(F284="","",SUBSTITUTE(SUBSTITUTE(SUBSTITUTE(SUBSTITUTE(F284,"&lt;li&gt;",CHAR(10)),"&lt;/li&gt;",""),"&lt;br&gt;",CHAR(10)),"&lt;strong&gt;",""))</f>
        <v/>
      </c>
      <c r="H284" s="13" cm="1" t="str">
        <f t="array" ref="H284">IF(G284="","",SUBSTITUTE(SUBSTITUTE(SUBSTITUTE(SUBSTITUTE(SUBSTITUTE(G284,"&lt;p&gt;",""),"&lt;/p&gt;",""),"&lt;ul&gt;",""),"&lt;/ul&gt;",""),"&lt;/strong&gt;",""))</f>
        <v/>
      </c>
      <c r="I284" s="14" cm="1" t="str">
        <f t="array" ref="I284">IF(C284="","",IF(OR(H284="",H284=0,H284=FALSE),"-",H284))</f>
        <v/>
      </c>
      <c r="J284">
</c>
      <c r="K284">
</c>
      <c r="L284" s="9" cm="1" t="str">
        <f t="array" ref="L284">IF(C284="","",IF(K284="Mort / Plus rien à faire","KO","OK"))</f>
        <v/>
      </c>
      <c r="M284" s="18">
</c>
      <c r="N284" s="15" cm="1" t="str">
        <f t="array" ref="N284">IF(OR(C284="",M284="",M284=0),"",M284)</f>
        <v/>
      </c>
      <c r="O284" s="18">
</c>
      <c r="P284" s="15" cm="1" t="str">
        <f t="array" ref="P284">IF(C284="","",IF(OR(O284="",O284=0),"-",O284))</f>
        <v/>
      </c>
      <c r="Q284" s="19">
</c>
      <c r="R284" s="16" cm="1" t="str">
        <f t="array" ref="R284">IF(C284="","",ROUND(Q284/1000000,3)&amp;" M€")</f>
        <v/>
      </c>
      <c r="S284" s="17">
</c>
      <c r="T284" s="9" cm="1" t="str">
        <f t="array" ref="T284">IF(C284="","",SUBSTITUTE(S284,"","")&amp;"%")</f>
        <v/>
      </c>
      <c r="U284" s="14" cm="1" t="str">
        <f t="array" ref="U284">IF(($N284="")*($P284=""),"",IF(($N284&lt;&gt;"")*($N284&gt;TODAY()-9)*($N284&lt;TODAY()+1)*($P284&lt;&gt;"")*($P284&gt;=TODAY())*($P284&lt;=TODAY()+13),"Semaine passée &amp; à venir",IF(($N284&lt;&gt;"")*($N284&gt;TODAY()-9)*($N284&lt;TODAY()+1),"Semaine passée",IF(($P284&lt;&gt;"")*($P284&gt;=TODAY())*($P284&lt;=TODAY()+13),"À venir","Autre"))))</f>
        <v/>
      </c>
      <c r="V284" s="8">
</c>
      <c r="W284" s="8">
</c>
      <c r="X284" s="8">
</c>
      <c r="Y284" s="8">
</c>
      <c r="Z284" s="8">
</c>
      <c r="AA284" s="8">
</c>
      <c r="AB284" s="8">
</c>
      <c r="AC284" s="8">
</c>
      <c r="AD284" s="8">
</c>
      <c r="AE284" s="8">
</c>
      <c r="AF284" s="8">
</c>
      <c r="AG284" s="8">
</c>
      <c r="AH284" s="8">
</c>
      <c r="AI284" s="8">
</c>
      <c r="AJ284" s="8">
</c>
      <c r="AK284" s="8">
</c>
    </row>
    <row r="285" ht="76.5" customHeight="1">
      <c r="A285">
</c>
      <c r="B285">
</c>
      <c r="C285" s="17">
</c>
      <c r="D285" s="17">
</c>
      <c r="E285">
</c>
      <c r="F285">
</c>
      <c r="G285" s="13" cm="1" t="str">
        <f t="array" ref="G285">IF(F285="","",SUBSTITUTE(SUBSTITUTE(SUBSTITUTE(SUBSTITUTE(F285,"&lt;li&gt;",CHAR(10)),"&lt;/li&gt;",""),"&lt;br&gt;",CHAR(10)),"&lt;strong&gt;",""))</f>
        <v/>
      </c>
      <c r="H285" s="13" cm="1" t="str">
        <f t="array" ref="H285">IF(G285="","",SUBSTITUTE(SUBSTITUTE(SUBSTITUTE(SUBSTITUTE(SUBSTITUTE(G285,"&lt;p&gt;",""),"&lt;/p&gt;",""),"&lt;ul&gt;",""),"&lt;/ul&gt;",""),"&lt;/strong&gt;",""))</f>
        <v/>
      </c>
      <c r="I285" s="14" cm="1" t="str">
        <f t="array" ref="I285">IF(C285="","",IF(OR(H285="",H285=0,H285=FALSE),"-",H285))</f>
        <v/>
      </c>
      <c r="J285">
</c>
      <c r="K285">
</c>
      <c r="L285" s="9" cm="1" t="str">
        <f t="array" ref="L285">IF(C285="","",IF(K285="Mort / Plus rien à faire","KO","OK"))</f>
        <v/>
      </c>
      <c r="M285" s="18">
</c>
      <c r="N285" s="15" cm="1" t="str">
        <f t="array" ref="N285">IF(OR(C285="",M285="",M285=0),"",M285)</f>
        <v/>
      </c>
      <c r="O285" s="18">
</c>
      <c r="P285" s="15" cm="1" t="str">
        <f t="array" ref="P285">IF(C285="","",IF(OR(O285="",O285=0),"-",O285))</f>
        <v/>
      </c>
      <c r="Q285" s="19">
</c>
      <c r="R285" s="16" cm="1" t="str">
        <f t="array" ref="R285">IF(C285="","",ROUND(Q285/1000000,3)&amp;" M€")</f>
        <v/>
      </c>
      <c r="S285" s="17">
</c>
      <c r="T285" s="9" cm="1" t="str">
        <f t="array" ref="T285">IF(C285="","",SUBSTITUTE(S285,"","")&amp;"%")</f>
        <v/>
      </c>
      <c r="U285" s="14" cm="1" t="str">
        <f t="array" ref="U285">IF(($N285="")*($P285=""),"",IF(($N285&lt;&gt;"")*($N285&gt;TODAY()-9)*($N285&lt;TODAY()+1)*($P285&lt;&gt;"")*($P285&gt;=TODAY())*($P285&lt;=TODAY()+13),"Semaine passée &amp; à venir",IF(($N285&lt;&gt;"")*($N285&gt;TODAY()-9)*($N285&lt;TODAY()+1),"Semaine passée",IF(($P285&lt;&gt;"")*($P285&gt;=TODAY())*($P285&lt;=TODAY()+13),"À venir","Autre"))))</f>
        <v/>
      </c>
      <c r="V285" s="8">
</c>
      <c r="W285" s="8">
</c>
      <c r="X285" s="8">
</c>
      <c r="Y285" s="8">
</c>
      <c r="Z285" s="8">
</c>
      <c r="AA285" s="8">
</c>
      <c r="AB285" s="8">
</c>
      <c r="AC285" s="8">
</c>
      <c r="AD285" s="8">
</c>
      <c r="AE285" s="8">
</c>
      <c r="AF285" s="8">
</c>
      <c r="AG285" s="8">
</c>
      <c r="AH285" s="8">
</c>
      <c r="AI285" s="8">
</c>
      <c r="AJ285" s="8">
</c>
      <c r="AK285" s="8">
</c>
    </row>
    <row r="286" ht="76.5" customHeight="1">
      <c r="A286">
</c>
      <c r="B286">
</c>
      <c r="C286" s="17">
</c>
      <c r="D286" s="17">
</c>
      <c r="E286">
</c>
      <c r="F286">
</c>
      <c r="G286" s="13" cm="1" t="str">
        <f t="array" ref="G286">IF(F286="","",SUBSTITUTE(SUBSTITUTE(SUBSTITUTE(SUBSTITUTE(F286,"&lt;li&gt;",CHAR(10)),"&lt;/li&gt;",""),"&lt;br&gt;",CHAR(10)),"&lt;strong&gt;",""))</f>
        <v/>
      </c>
      <c r="H286" s="13" cm="1" t="str">
        <f t="array" ref="H286">IF(G286="","",SUBSTITUTE(SUBSTITUTE(SUBSTITUTE(SUBSTITUTE(SUBSTITUTE(G286,"&lt;p&gt;",""),"&lt;/p&gt;",""),"&lt;ul&gt;",""),"&lt;/ul&gt;",""),"&lt;/strong&gt;",""))</f>
        <v/>
      </c>
      <c r="I286" s="14" cm="1" t="str">
        <f t="array" ref="I286">IF(C286="","",IF(OR(H286="",H286=0,H286=FALSE),"-",H286))</f>
        <v/>
      </c>
      <c r="J286">
</c>
      <c r="K286">
</c>
      <c r="L286" s="9" cm="1" t="str">
        <f t="array" ref="L286">IF(C286="","",IF(K286="Mort / Plus rien à faire","KO","OK"))</f>
        <v/>
      </c>
      <c r="M286" s="18">
</c>
      <c r="N286" s="15" cm="1" t="str">
        <f t="array" ref="N286">IF(OR(C286="",M286="",M286=0),"",M286)</f>
        <v/>
      </c>
      <c r="O286" s="18">
</c>
      <c r="P286" s="15" cm="1" t="str">
        <f t="array" ref="P286">IF(C286="","",IF(OR(O286="",O286=0),"-",O286))</f>
        <v/>
      </c>
      <c r="Q286" s="19">
</c>
      <c r="R286" s="16" cm="1" t="str">
        <f t="array" ref="R286">IF(C286="","",ROUND(Q286/1000000,3)&amp;" M€")</f>
        <v/>
      </c>
      <c r="S286" s="17">
</c>
      <c r="T286" s="9" cm="1" t="str">
        <f t="array" ref="T286">IF(C286="","",SUBSTITUTE(S286,"","")&amp;"%")</f>
        <v/>
      </c>
      <c r="U286" s="14" cm="1" t="str">
        <f t="array" ref="U286">IF(($N286="")*($P286=""),"",IF(($N286&lt;&gt;"")*($N286&gt;TODAY()-9)*($N286&lt;TODAY()+1)*($P286&lt;&gt;"")*($P286&gt;=TODAY())*($P286&lt;=TODAY()+13),"Semaine passée &amp; à venir",IF(($N286&lt;&gt;"")*($N286&gt;TODAY()-9)*($N286&lt;TODAY()+1),"Semaine passée",IF(($P286&lt;&gt;"")*($P286&gt;=TODAY())*($P286&lt;=TODAY()+13),"À venir","Autre"))))</f>
        <v/>
      </c>
      <c r="V286" s="8">
</c>
      <c r="W286" s="8">
</c>
      <c r="X286" s="8">
</c>
      <c r="Y286" s="8">
</c>
      <c r="Z286" s="8">
</c>
      <c r="AA286" s="8">
</c>
      <c r="AB286" s="8">
</c>
      <c r="AC286" s="8">
</c>
      <c r="AD286" s="8">
</c>
      <c r="AE286" s="8">
</c>
      <c r="AF286" s="8">
</c>
      <c r="AG286" s="8">
</c>
      <c r="AH286" s="8">
</c>
      <c r="AI286" s="8">
</c>
      <c r="AJ286" s="8">
</c>
      <c r="AK286" s="8">
</c>
    </row>
    <row r="287" ht="76.5" customHeight="1">
      <c r="A287">
</c>
      <c r="B287">
</c>
      <c r="C287" s="17">
</c>
      <c r="D287" s="17">
</c>
      <c r="E287">
</c>
      <c r="F287">
</c>
      <c r="G287" s="13" cm="1" t="str">
        <f t="array" ref="G287">IF(F287="","",SUBSTITUTE(SUBSTITUTE(SUBSTITUTE(SUBSTITUTE(F287,"&lt;li&gt;",CHAR(10)),"&lt;/li&gt;",""),"&lt;br&gt;",CHAR(10)),"&lt;strong&gt;",""))</f>
        <v/>
      </c>
      <c r="H287" s="13" cm="1" t="str">
        <f t="array" ref="H287">IF(G287="","",SUBSTITUTE(SUBSTITUTE(SUBSTITUTE(SUBSTITUTE(SUBSTITUTE(G287,"&lt;p&gt;",""),"&lt;/p&gt;",""),"&lt;ul&gt;",""),"&lt;/ul&gt;",""),"&lt;/strong&gt;",""))</f>
        <v/>
      </c>
      <c r="I287" s="14" cm="1" t="str">
        <f t="array" ref="I287">IF(C287="","",IF(OR(H287="",H287=0,H287=FALSE),"-",H287))</f>
        <v/>
      </c>
      <c r="J287">
</c>
      <c r="K287">
</c>
      <c r="L287" s="9" cm="1" t="str">
        <f t="array" ref="L287">IF(C287="","",IF(K287="Mort / Plus rien à faire","KO","OK"))</f>
        <v/>
      </c>
      <c r="M287" s="18">
</c>
      <c r="N287" s="15" cm="1" t="str">
        <f t="array" ref="N287">IF(OR(C287="",M287="",M287=0),"",M287)</f>
        <v/>
      </c>
      <c r="O287" s="18">
</c>
      <c r="P287" s="15" cm="1" t="str">
        <f t="array" ref="P287">IF(C287="","",IF(OR(O287="",O287=0),"-",O287))</f>
        <v/>
      </c>
      <c r="Q287" s="19">
</c>
      <c r="R287" s="16" cm="1" t="str">
        <f t="array" ref="R287">IF(C287="","",ROUND(Q287/1000000,3)&amp;" M€")</f>
        <v/>
      </c>
      <c r="S287" s="17">
</c>
      <c r="T287" s="9" cm="1" t="str">
        <f t="array" ref="T287">IF(C287="","",SUBSTITUTE(S287,"","")&amp;"%")</f>
        <v/>
      </c>
      <c r="U287" s="14" cm="1" t="str">
        <f t="array" ref="U287">IF(($N287="")*($P287=""),"",IF(($N287&lt;&gt;"")*($N287&gt;TODAY()-9)*($N287&lt;TODAY()+1)*($P287&lt;&gt;"")*($P287&gt;=TODAY())*($P287&lt;=TODAY()+13),"Semaine passée &amp; à venir",IF(($N287&lt;&gt;"")*($N287&gt;TODAY()-9)*($N287&lt;TODAY()+1),"Semaine passée",IF(($P287&lt;&gt;"")*($P287&gt;=TODAY())*($P287&lt;=TODAY()+13),"À venir","Autre"))))</f>
        <v/>
      </c>
      <c r="V287" s="8">
</c>
      <c r="W287" s="8">
</c>
      <c r="X287" s="8">
</c>
      <c r="Y287" s="8">
</c>
      <c r="Z287" s="8">
</c>
      <c r="AA287" s="8">
</c>
      <c r="AB287" s="8">
</c>
      <c r="AC287" s="8">
</c>
      <c r="AD287" s="8">
</c>
      <c r="AE287" s="8">
</c>
      <c r="AF287" s="8">
</c>
      <c r="AG287" s="8">
</c>
      <c r="AH287" s="8">
</c>
      <c r="AI287" s="8">
</c>
      <c r="AJ287" s="8">
</c>
      <c r="AK287" s="8">
</c>
    </row>
    <row r="288" ht="76.5" customHeight="1">
      <c r="A288">
</c>
      <c r="B288">
</c>
      <c r="C288" s="17">
</c>
      <c r="D288" s="17">
</c>
      <c r="E288">
</c>
      <c r="F288">
</c>
      <c r="G288" s="13" cm="1" t="str">
        <f t="array" ref="G288">IF(F288="","",SUBSTITUTE(SUBSTITUTE(SUBSTITUTE(SUBSTITUTE(F288,"&lt;li&gt;",CHAR(10)),"&lt;/li&gt;",""),"&lt;br&gt;",CHAR(10)),"&lt;strong&gt;",""))</f>
        <v/>
      </c>
      <c r="H288" s="13" cm="1" t="str">
        <f t="array" ref="H288">IF(G288="","",SUBSTITUTE(SUBSTITUTE(SUBSTITUTE(SUBSTITUTE(SUBSTITUTE(G288,"&lt;p&gt;",""),"&lt;/p&gt;",""),"&lt;ul&gt;",""),"&lt;/ul&gt;",""),"&lt;/strong&gt;",""))</f>
        <v/>
      </c>
      <c r="I288" s="14" cm="1" t="str">
        <f t="array" ref="I288">IF(C288="","",IF(OR(H288="",H288=0,H288=FALSE),"-",H288))</f>
        <v/>
      </c>
      <c r="J288">
</c>
      <c r="K288">
</c>
      <c r="L288" s="9" cm="1" t="str">
        <f t="array" ref="L288">IF(C288="","",IF(K288="Mort / Plus rien à faire","KO","OK"))</f>
        <v/>
      </c>
      <c r="M288" s="18">
</c>
      <c r="N288" s="15" cm="1" t="str">
        <f t="array" ref="N288">IF(OR(C288="",M288="",M288=0),"",M288)</f>
        <v/>
      </c>
      <c r="O288" s="18">
</c>
      <c r="P288" s="15" cm="1" t="str">
        <f t="array" ref="P288">IF(C288="","",IF(OR(O288="",O288=0),"-",O288))</f>
        <v/>
      </c>
      <c r="Q288" s="19">
</c>
      <c r="R288" s="16" cm="1" t="str">
        <f t="array" ref="R288">IF(C288="","",ROUND(Q288/1000000,3)&amp;" M€")</f>
        <v/>
      </c>
      <c r="S288" s="17">
</c>
      <c r="T288" s="9" cm="1" t="str">
        <f t="array" ref="T288">IF(C288="","",SUBSTITUTE(S288,"","")&amp;"%")</f>
        <v/>
      </c>
      <c r="U288" s="14" cm="1" t="str">
        <f t="array" ref="U288">IF(($N288="")*($P288=""),"",IF(($N288&lt;&gt;"")*($N288&gt;TODAY()-9)*($N288&lt;TODAY()+1)*($P288&lt;&gt;"")*($P288&gt;=TODAY())*($P288&lt;=TODAY()+13),"Semaine passée &amp; à venir",IF(($N288&lt;&gt;"")*($N288&gt;TODAY()-9)*($N288&lt;TODAY()+1),"Semaine passée",IF(($P288&lt;&gt;"")*($P288&gt;=TODAY())*($P288&lt;=TODAY()+13),"À venir","Autre"))))</f>
        <v/>
      </c>
      <c r="V288" s="8">
</c>
      <c r="W288" s="8">
</c>
      <c r="X288" s="8">
</c>
      <c r="Y288" s="8">
</c>
      <c r="Z288" s="8">
</c>
      <c r="AA288" s="8">
</c>
      <c r="AB288" s="8">
</c>
      <c r="AC288" s="8">
</c>
      <c r="AD288" s="8">
</c>
      <c r="AE288" s="8">
</c>
      <c r="AF288" s="8">
</c>
      <c r="AG288" s="8">
</c>
      <c r="AH288" s="8">
</c>
      <c r="AI288" s="8">
</c>
      <c r="AJ288" s="8">
</c>
      <c r="AK288" s="8">
</c>
    </row>
    <row r="289" ht="76.5" customHeight="1">
      <c r="A289">
</c>
      <c r="B289">
</c>
      <c r="C289" s="17">
</c>
      <c r="D289" s="17">
</c>
      <c r="E289">
</c>
      <c r="F289">
</c>
      <c r="G289" s="13" cm="1" t="str">
        <f t="array" ref="G289">IF(F289="","",SUBSTITUTE(SUBSTITUTE(SUBSTITUTE(SUBSTITUTE(F289,"&lt;li&gt;",CHAR(10)),"&lt;/li&gt;",""),"&lt;br&gt;",CHAR(10)),"&lt;strong&gt;",""))</f>
        <v/>
      </c>
      <c r="H289" s="13" cm="1" t="str">
        <f t="array" ref="H289">IF(G289="","",SUBSTITUTE(SUBSTITUTE(SUBSTITUTE(SUBSTITUTE(SUBSTITUTE(G289,"&lt;p&gt;",""),"&lt;/p&gt;",""),"&lt;ul&gt;",""),"&lt;/ul&gt;",""),"&lt;/strong&gt;",""))</f>
        <v/>
      </c>
      <c r="I289" s="14" cm="1" t="str">
        <f t="array" ref="I289">IF(C289="","",IF(OR(H289="",H289=0,H289=FALSE),"-",H289))</f>
        <v/>
      </c>
      <c r="J289">
</c>
      <c r="K289">
</c>
      <c r="L289" s="9" cm="1" t="str">
        <f t="array" ref="L289">IF(C289="","",IF(K289="Mort / Plus rien à faire","KO","OK"))</f>
        <v/>
      </c>
      <c r="M289" s="18">
</c>
      <c r="N289" s="15" cm="1" t="str">
        <f t="array" ref="N289">IF(OR(C289="",M289="",M289=0),"",M289)</f>
        <v/>
      </c>
      <c r="O289" s="18">
</c>
      <c r="P289" s="15" cm="1" t="str">
        <f t="array" ref="P289">IF(C289="","",IF(OR(O289="",O289=0),"-",O289))</f>
        <v/>
      </c>
      <c r="Q289" s="19">
</c>
      <c r="R289" s="16" cm="1" t="str">
        <f t="array" ref="R289">IF(C289="","",ROUND(Q289/1000000,3)&amp;" M€")</f>
        <v/>
      </c>
      <c r="S289" s="17">
</c>
      <c r="T289" s="9" cm="1" t="str">
        <f t="array" ref="T289">IF(C289="","",SUBSTITUTE(S289,"","")&amp;"%")</f>
        <v/>
      </c>
      <c r="U289" s="14" cm="1" t="str">
        <f t="array" ref="U289">IF(($N289="")*($P289=""),"",IF(($N289&lt;&gt;"")*($N289&gt;TODAY()-9)*($N289&lt;TODAY()+1)*($P289&lt;&gt;"")*($P289&gt;=TODAY())*($P289&lt;=TODAY()+13),"Semaine passée &amp; à venir",IF(($N289&lt;&gt;"")*($N289&gt;TODAY()-9)*($N289&lt;TODAY()+1),"Semaine passée",IF(($P289&lt;&gt;"")*($P289&gt;=TODAY())*($P289&lt;=TODAY()+13),"À venir","Autre"))))</f>
        <v/>
      </c>
      <c r="V289" s="8">
</c>
      <c r="W289" s="8">
</c>
      <c r="X289" s="8">
</c>
      <c r="Y289" s="8">
</c>
      <c r="Z289" s="8">
</c>
      <c r="AA289" s="8">
</c>
      <c r="AB289" s="8">
</c>
      <c r="AC289" s="8">
</c>
      <c r="AD289" s="8">
</c>
      <c r="AE289" s="8">
</c>
      <c r="AF289" s="8">
</c>
      <c r="AG289" s="8">
</c>
      <c r="AH289" s="8">
</c>
      <c r="AI289" s="8">
</c>
      <c r="AJ289" s="8">
</c>
      <c r="AK289" s="8">
</c>
    </row>
    <row r="290" ht="76.5" customHeight="1">
      <c r="A290">
</c>
      <c r="B290">
</c>
      <c r="C290" s="17">
</c>
      <c r="D290" s="17">
</c>
      <c r="E290">
</c>
      <c r="F290">
</c>
      <c r="G290" s="13" cm="1" t="str">
        <f t="array" ref="G290">IF(F290="","",SUBSTITUTE(SUBSTITUTE(SUBSTITUTE(SUBSTITUTE(F290,"&lt;li&gt;",CHAR(10)),"&lt;/li&gt;",""),"&lt;br&gt;",CHAR(10)),"&lt;strong&gt;",""))</f>
        <v/>
      </c>
      <c r="H290" s="13" cm="1" t="str">
        <f t="array" ref="H290">IF(G290="","",SUBSTITUTE(SUBSTITUTE(SUBSTITUTE(SUBSTITUTE(SUBSTITUTE(G290,"&lt;p&gt;",""),"&lt;/p&gt;",""),"&lt;ul&gt;",""),"&lt;/ul&gt;",""),"&lt;/strong&gt;",""))</f>
        <v/>
      </c>
      <c r="I290" s="14" cm="1" t="str">
        <f t="array" ref="I290">IF(C290="","",IF(OR(H290="",H290=0,H290=FALSE),"-",H290))</f>
        <v/>
      </c>
      <c r="J290">
</c>
      <c r="K290">
</c>
      <c r="L290" s="9" cm="1" t="str">
        <f t="array" ref="L290">IF(C290="","",IF(K290="Mort / Plus rien à faire","KO","OK"))</f>
        <v/>
      </c>
      <c r="M290" s="18">
</c>
      <c r="N290" s="15" cm="1" t="str">
        <f t="array" ref="N290">IF(OR(C290="",M290="",M290=0),"",M290)</f>
        <v/>
      </c>
      <c r="O290" s="18">
</c>
      <c r="P290" s="15" cm="1" t="str">
        <f t="array" ref="P290">IF(C290="","",IF(OR(O290="",O290=0),"-",O290))</f>
        <v/>
      </c>
      <c r="Q290" s="19">
</c>
      <c r="R290" s="16" cm="1" t="str">
        <f t="array" ref="R290">IF(C290="","",ROUND(Q290/1000000,3)&amp;" M€")</f>
        <v/>
      </c>
      <c r="S290" s="17">
</c>
      <c r="T290" s="9" cm="1" t="str">
        <f t="array" ref="T290">IF(C290="","",SUBSTITUTE(S290,"","")&amp;"%")</f>
        <v/>
      </c>
      <c r="U290" s="14" cm="1" t="str">
        <f t="array" ref="U290">IF(($N290="")*($P290=""),"",IF(($N290&lt;&gt;"")*($N290&gt;TODAY()-9)*($N290&lt;TODAY()+1)*($P290&lt;&gt;"")*($P290&gt;=TODAY())*($P290&lt;=TODAY()+13),"Semaine passée &amp; à venir",IF(($N290&lt;&gt;"")*($N290&gt;TODAY()-9)*($N290&lt;TODAY()+1),"Semaine passée",IF(($P290&lt;&gt;"")*($P290&gt;=TODAY())*($P290&lt;=TODAY()+13),"À venir","Autre"))))</f>
        <v/>
      </c>
      <c r="V290" s="8">
</c>
      <c r="W290" s="8">
</c>
      <c r="X290" s="8">
</c>
      <c r="Y290" s="8">
</c>
      <c r="Z290" s="8">
</c>
      <c r="AA290" s="8">
</c>
      <c r="AB290" s="8">
</c>
      <c r="AC290" s="8">
</c>
      <c r="AD290" s="8">
</c>
      <c r="AE290" s="8">
</c>
      <c r="AF290" s="8">
</c>
      <c r="AG290" s="8">
</c>
      <c r="AH290" s="8">
</c>
      <c r="AI290" s="8">
</c>
      <c r="AJ290" s="8">
</c>
      <c r="AK290" s="8">
</c>
    </row>
    <row r="291" ht="76.5" customHeight="1">
      <c r="A291">
</c>
      <c r="B291">
</c>
      <c r="C291" s="17">
</c>
      <c r="D291" s="17">
</c>
      <c r="E291">
</c>
      <c r="F291">
</c>
      <c r="G291" s="13" cm="1" t="str">
        <f t="array" ref="G291">IF(F291="","",SUBSTITUTE(SUBSTITUTE(SUBSTITUTE(SUBSTITUTE(F291,"&lt;li&gt;",CHAR(10)),"&lt;/li&gt;",""),"&lt;br&gt;",CHAR(10)),"&lt;strong&gt;",""))</f>
        <v/>
      </c>
      <c r="H291" s="13" cm="1" t="str">
        <f t="array" ref="H291">IF(G291="","",SUBSTITUTE(SUBSTITUTE(SUBSTITUTE(SUBSTITUTE(SUBSTITUTE(G291,"&lt;p&gt;",""),"&lt;/p&gt;",""),"&lt;ul&gt;",""),"&lt;/ul&gt;",""),"&lt;/strong&gt;",""))</f>
        <v/>
      </c>
      <c r="I291" s="14" cm="1" t="str">
        <f t="array" ref="I291">IF(C291="","",IF(OR(H291="",H291=0,H291=FALSE),"-",H291))</f>
        <v/>
      </c>
      <c r="J291">
</c>
      <c r="K291">
</c>
      <c r="L291" s="9" cm="1" t="str">
        <f t="array" ref="L291">IF(C291="","",IF(K291="Mort / Plus rien à faire","KO","OK"))</f>
        <v/>
      </c>
      <c r="M291" s="18">
</c>
      <c r="N291" s="15" cm="1" t="str">
        <f t="array" ref="N291">IF(OR(C291="",M291="",M291=0),"",M291)</f>
        <v/>
      </c>
      <c r="O291" s="18">
</c>
      <c r="P291" s="15" cm="1" t="str">
        <f t="array" ref="P291">IF(C291="","",IF(OR(O291="",O291=0),"-",O291))</f>
        <v/>
      </c>
      <c r="Q291" s="19">
</c>
      <c r="R291" s="16" cm="1" t="str">
        <f t="array" ref="R291">IF(C291="","",ROUND(Q291/1000000,3)&amp;" M€")</f>
        <v/>
      </c>
      <c r="S291" s="17">
</c>
      <c r="T291" s="9" cm="1" t="str">
        <f t="array" ref="T291">IF(C291="","",SUBSTITUTE(S291,"","")&amp;"%")</f>
        <v/>
      </c>
      <c r="U291" s="14" cm="1" t="str">
        <f t="array" ref="U291">IF(($N291="")*($P291=""),"",IF(($N291&lt;&gt;"")*($N291&gt;TODAY()-9)*($N291&lt;TODAY()+1)*($P291&lt;&gt;"")*($P291&gt;=TODAY())*($P291&lt;=TODAY()+13),"Semaine passée &amp; à venir",IF(($N291&lt;&gt;"")*($N291&gt;TODAY()-9)*($N291&lt;TODAY()+1),"Semaine passée",IF(($P291&lt;&gt;"")*($P291&gt;=TODAY())*($P291&lt;=TODAY()+13),"À venir","Autre"))))</f>
        <v/>
      </c>
      <c r="V291" s="8">
</c>
      <c r="W291" s="8">
</c>
      <c r="X291" s="8">
</c>
      <c r="Y291" s="8">
</c>
      <c r="Z291" s="8">
</c>
      <c r="AA291" s="8">
</c>
      <c r="AB291" s="8">
</c>
      <c r="AC291" s="8">
</c>
      <c r="AD291" s="8">
</c>
      <c r="AE291" s="8">
</c>
      <c r="AF291" s="8">
</c>
      <c r="AG291" s="8">
</c>
      <c r="AH291" s="8">
</c>
      <c r="AI291" s="8">
</c>
      <c r="AJ291" s="8">
</c>
      <c r="AK291" s="8">
</c>
    </row>
    <row r="292" ht="76.5" customHeight="1">
      <c r="A292">
</c>
      <c r="B292">
</c>
      <c r="C292" s="17">
</c>
      <c r="D292" s="17">
</c>
      <c r="E292">
</c>
      <c r="F292">
</c>
      <c r="G292" s="13" cm="1" t="str">
        <f t="array" ref="G292">IF(F292="","",SUBSTITUTE(SUBSTITUTE(SUBSTITUTE(SUBSTITUTE(F292,"&lt;li&gt;",CHAR(10)),"&lt;/li&gt;",""),"&lt;br&gt;",CHAR(10)),"&lt;strong&gt;",""))</f>
        <v/>
      </c>
      <c r="H292" s="13" cm="1" t="str">
        <f t="array" ref="H292">IF(G292="","",SUBSTITUTE(SUBSTITUTE(SUBSTITUTE(SUBSTITUTE(SUBSTITUTE(G292,"&lt;p&gt;",""),"&lt;/p&gt;",""),"&lt;ul&gt;",""),"&lt;/ul&gt;",""),"&lt;/strong&gt;",""))</f>
        <v/>
      </c>
      <c r="I292" s="14" cm="1" t="str">
        <f t="array" ref="I292">IF(C292="","",IF(OR(H292="",H292=0,H292=FALSE),"-",H292))</f>
        <v/>
      </c>
      <c r="J292">
</c>
      <c r="K292">
</c>
      <c r="L292" s="9" cm="1" t="str">
        <f t="array" ref="L292">IF(C292="","",IF(K292="Mort / Plus rien à faire","KO","OK"))</f>
        <v/>
      </c>
      <c r="M292" s="18">
</c>
      <c r="N292" s="15" cm="1" t="str">
        <f t="array" ref="N292">IF(OR(C292="",M292="",M292=0),"",M292)</f>
        <v/>
      </c>
      <c r="O292" s="18">
</c>
      <c r="P292" s="15" cm="1" t="str">
        <f t="array" ref="P292">IF(C292="","",IF(OR(O292="",O292=0),"-",O292))</f>
        <v/>
      </c>
      <c r="Q292" s="19">
</c>
      <c r="R292" s="16" cm="1" t="str">
        <f t="array" ref="R292">IF(C292="","",ROUND(Q292/1000000,3)&amp;" M€")</f>
        <v/>
      </c>
      <c r="S292" s="17">
</c>
      <c r="T292" s="9" cm="1" t="str">
        <f t="array" ref="T292">IF(C292="","",SUBSTITUTE(S292,"","")&amp;"%")</f>
        <v/>
      </c>
      <c r="U292" s="14" cm="1" t="str">
        <f t="array" ref="U292">IF(($N292="")*($P292=""),"",IF(($N292&lt;&gt;"")*($N292&gt;TODAY()-9)*($N292&lt;TODAY()+1)*($P292&lt;&gt;"")*($P292&gt;=TODAY())*($P292&lt;=TODAY()+13),"Semaine passée &amp; à venir",IF(($N292&lt;&gt;"")*($N292&gt;TODAY()-9)*($N292&lt;TODAY()+1),"Semaine passée",IF(($P292&lt;&gt;"")*($P292&gt;=TODAY())*($P292&lt;=TODAY()+13),"À venir","Autre"))))</f>
        <v/>
      </c>
      <c r="V292" s="8">
</c>
      <c r="W292" s="8">
</c>
      <c r="X292" s="8">
</c>
      <c r="Y292" s="8">
</c>
      <c r="Z292" s="8">
</c>
      <c r="AA292" s="8">
</c>
      <c r="AB292" s="8">
</c>
      <c r="AC292" s="8">
</c>
      <c r="AD292" s="8">
</c>
      <c r="AE292" s="8">
</c>
      <c r="AF292" s="8">
</c>
      <c r="AG292" s="8">
</c>
      <c r="AH292" s="8">
</c>
      <c r="AI292" s="8">
</c>
      <c r="AJ292" s="8">
</c>
      <c r="AK292" s="8">
</c>
    </row>
    <row r="293" ht="76.5" customHeight="1">
      <c r="A293">
</c>
      <c r="B293">
</c>
      <c r="C293" s="17">
</c>
      <c r="D293" s="17">
</c>
      <c r="E293">
</c>
      <c r="F293">
</c>
      <c r="G293" s="13" cm="1" t="str">
        <f t="array" ref="G293">IF(F293="","",SUBSTITUTE(SUBSTITUTE(SUBSTITUTE(SUBSTITUTE(F293,"&lt;li&gt;",CHAR(10)),"&lt;/li&gt;",""),"&lt;br&gt;",CHAR(10)),"&lt;strong&gt;",""))</f>
        <v/>
      </c>
      <c r="H293" s="13" cm="1" t="str">
        <f t="array" ref="H293">IF(G293="","",SUBSTITUTE(SUBSTITUTE(SUBSTITUTE(SUBSTITUTE(SUBSTITUTE(G293,"&lt;p&gt;",""),"&lt;/p&gt;",""),"&lt;ul&gt;",""),"&lt;/ul&gt;",""),"&lt;/strong&gt;",""))</f>
        <v/>
      </c>
      <c r="I293" s="14" cm="1" t="str">
        <f t="array" ref="I293">IF(C293="","",IF(OR(H293="",H293=0,H293=FALSE),"-",H293))</f>
        <v/>
      </c>
      <c r="J293">
</c>
      <c r="K293">
</c>
      <c r="L293" s="9" cm="1" t="str">
        <f t="array" ref="L293">IF(C293="","",IF(K293="Mort / Plus rien à faire","KO","OK"))</f>
        <v/>
      </c>
      <c r="M293" s="18">
</c>
      <c r="N293" s="15" cm="1" t="str">
        <f t="array" ref="N293">IF(OR(C293="",M293="",M293=0),"",M293)</f>
        <v/>
      </c>
      <c r="O293" s="18">
</c>
      <c r="P293" s="15" cm="1" t="str">
        <f t="array" ref="P293">IF(C293="","",IF(OR(O293="",O293=0),"-",O293))</f>
        <v/>
      </c>
      <c r="Q293" s="19">
</c>
      <c r="R293" s="16" cm="1" t="str">
        <f t="array" ref="R293">IF(C293="","",ROUND(Q293/1000000,3)&amp;" M€")</f>
        <v/>
      </c>
      <c r="S293" s="17">
</c>
      <c r="T293" s="9" cm="1" t="str">
        <f t="array" ref="T293">IF(C293="","",SUBSTITUTE(S293,"","")&amp;"%")</f>
        <v/>
      </c>
      <c r="U293" s="14" cm="1" t="str">
        <f t="array" ref="U293">IF(($N293="")*($P293=""),"",IF(($N293&lt;&gt;"")*($N293&gt;TODAY()-9)*($N293&lt;TODAY()+1)*($P293&lt;&gt;"")*($P293&gt;=TODAY())*($P293&lt;=TODAY()+13),"Semaine passée &amp; à venir",IF(($N293&lt;&gt;"")*($N293&gt;TODAY()-9)*($N293&lt;TODAY()+1),"Semaine passée",IF(($P293&lt;&gt;"")*($P293&gt;=TODAY())*($P293&lt;=TODAY()+13),"À venir","Autre"))))</f>
        <v/>
      </c>
      <c r="V293" s="8">
</c>
      <c r="W293" s="8">
</c>
      <c r="X293" s="8">
</c>
      <c r="Y293" s="8">
</c>
      <c r="Z293" s="8">
</c>
      <c r="AA293" s="8">
</c>
      <c r="AB293" s="8">
</c>
      <c r="AC293" s="8">
</c>
      <c r="AD293" s="8">
</c>
      <c r="AE293" s="8">
</c>
      <c r="AF293" s="8">
</c>
      <c r="AG293" s="8">
</c>
      <c r="AH293" s="8">
</c>
      <c r="AI293" s="8">
</c>
      <c r="AJ293" s="8">
</c>
      <c r="AK293" s="8">
</c>
    </row>
    <row r="294" ht="76.5" customHeight="1">
      <c r="A294">
</c>
      <c r="B294">
</c>
      <c r="C294" s="17">
</c>
      <c r="D294" s="17">
</c>
      <c r="E294">
</c>
      <c r="F294">
</c>
      <c r="G294" s="13" cm="1" t="str">
        <f t="array" ref="G294">IF(F294="","",SUBSTITUTE(SUBSTITUTE(SUBSTITUTE(SUBSTITUTE(F294,"&lt;li&gt;",CHAR(10)),"&lt;/li&gt;",""),"&lt;br&gt;",CHAR(10)),"&lt;strong&gt;",""))</f>
        <v/>
      </c>
      <c r="H294" s="13" cm="1" t="str">
        <f t="array" ref="H294">IF(G294="","",SUBSTITUTE(SUBSTITUTE(SUBSTITUTE(SUBSTITUTE(SUBSTITUTE(G294,"&lt;p&gt;",""),"&lt;/p&gt;",""),"&lt;ul&gt;",""),"&lt;/ul&gt;",""),"&lt;/strong&gt;",""))</f>
        <v/>
      </c>
      <c r="I294" s="14" cm="1" t="str">
        <f t="array" ref="I294">IF(C294="","",IF(OR(H294="",H294=0,H294=FALSE),"-",H294))</f>
        <v/>
      </c>
      <c r="J294">
</c>
      <c r="K294">
</c>
      <c r="L294" s="9" cm="1" t="str">
        <f t="array" ref="L294">IF(C294="","",IF(K294="Mort / Plus rien à faire","KO","OK"))</f>
        <v/>
      </c>
      <c r="M294" s="18">
</c>
      <c r="N294" s="15" cm="1" t="str">
        <f t="array" ref="N294">IF(OR(C294="",M294="",M294=0),"",M294)</f>
        <v/>
      </c>
      <c r="O294" s="18">
</c>
      <c r="P294" s="15" cm="1" t="str">
        <f t="array" ref="P294">IF(C294="","",IF(OR(O294="",O294=0),"-",O294))</f>
        <v/>
      </c>
      <c r="Q294" s="19">
</c>
      <c r="R294" s="16" cm="1" t="str">
        <f t="array" ref="R294">IF(C294="","",ROUND(Q294/1000000,3)&amp;" M€")</f>
        <v/>
      </c>
      <c r="S294" s="17">
</c>
      <c r="T294" s="9" cm="1" t="str">
        <f t="array" ref="T294">IF(C294="","",SUBSTITUTE(S294,"","")&amp;"%")</f>
        <v/>
      </c>
      <c r="U294" s="14" cm="1" t="str">
        <f t="array" ref="U294">IF(($N294="")*($P294=""),"",IF(($N294&lt;&gt;"")*($N294&gt;TODAY()-9)*($N294&lt;TODAY()+1)*($P294&lt;&gt;"")*($P294&gt;=TODAY())*($P294&lt;=TODAY()+13),"Semaine passée &amp; à venir",IF(($N294&lt;&gt;"")*($N294&gt;TODAY()-9)*($N294&lt;TODAY()+1),"Semaine passée",IF(($P294&lt;&gt;"")*($P294&gt;=TODAY())*($P294&lt;=TODAY()+13),"À venir","Autre"))))</f>
        <v/>
      </c>
      <c r="V294" s="8">
</c>
      <c r="W294" s="8">
</c>
      <c r="X294" s="8">
</c>
      <c r="Y294" s="8">
</c>
      <c r="Z294" s="8">
</c>
      <c r="AA294" s="8">
</c>
      <c r="AB294" s="8">
</c>
      <c r="AC294" s="8">
</c>
      <c r="AD294" s="8">
</c>
      <c r="AE294" s="8">
</c>
      <c r="AF294" s="8">
</c>
      <c r="AG294" s="8">
</c>
      <c r="AH294" s="8">
</c>
      <c r="AI294" s="8">
</c>
      <c r="AJ294" s="8">
</c>
      <c r="AK294" s="8">
</c>
    </row>
    <row r="295" ht="76.5" customHeight="1">
      <c r="A295">
</c>
      <c r="B295">
</c>
      <c r="C295" s="17">
</c>
      <c r="D295" s="17">
</c>
      <c r="E295">
</c>
      <c r="F295">
</c>
      <c r="G295" s="13" cm="1" t="str">
        <f t="array" ref="G295">IF(F295="","",SUBSTITUTE(SUBSTITUTE(SUBSTITUTE(SUBSTITUTE(F295,"&lt;li&gt;",CHAR(10)),"&lt;/li&gt;",""),"&lt;br&gt;",CHAR(10)),"&lt;strong&gt;",""))</f>
        <v/>
      </c>
      <c r="H295" s="13" cm="1" t="str">
        <f t="array" ref="H295">IF(G295="","",SUBSTITUTE(SUBSTITUTE(SUBSTITUTE(SUBSTITUTE(SUBSTITUTE(G295,"&lt;p&gt;",""),"&lt;/p&gt;",""),"&lt;ul&gt;",""),"&lt;/ul&gt;",""),"&lt;/strong&gt;",""))</f>
        <v/>
      </c>
      <c r="I295" s="14" cm="1" t="str">
        <f t="array" ref="I295">IF(C295="","",IF(OR(H295="",H295=0,H295=FALSE),"-",H295))</f>
        <v/>
      </c>
      <c r="J295">
</c>
      <c r="K295">
</c>
      <c r="L295" s="9" cm="1" t="str">
        <f t="array" ref="L295">IF(C295="","",IF(K295="Mort / Plus rien à faire","KO","OK"))</f>
        <v/>
      </c>
      <c r="M295" s="18">
</c>
      <c r="N295" s="15" cm="1" t="str">
        <f t="array" ref="N295">IF(OR(C295="",M295="",M295=0),"",M295)</f>
        <v/>
      </c>
      <c r="O295" s="18">
</c>
      <c r="P295" s="15" cm="1" t="str">
        <f t="array" ref="P295">IF(C295="","",IF(OR(O295="",O295=0),"-",O295))</f>
        <v/>
      </c>
      <c r="Q295" s="19">
</c>
      <c r="R295" s="16" cm="1" t="str">
        <f t="array" ref="R295">IF(C295="","",ROUND(Q295/1000000,3)&amp;" M€")</f>
        <v/>
      </c>
      <c r="S295" s="17">
</c>
      <c r="T295" s="9" cm="1" t="str">
        <f t="array" ref="T295">IF(C295="","",SUBSTITUTE(S295,"","")&amp;"%")</f>
        <v/>
      </c>
      <c r="U295" s="14" cm="1" t="str">
        <f t="array" ref="U295">IF(($N295="")*($P295=""),"",IF(($N295&lt;&gt;"")*($N295&gt;TODAY()-9)*($N295&lt;TODAY()+1)*($P295&lt;&gt;"")*($P295&gt;=TODAY())*($P295&lt;=TODAY()+13),"Semaine passée &amp; à venir",IF(($N295&lt;&gt;"")*($N295&gt;TODAY()-9)*($N295&lt;TODAY()+1),"Semaine passée",IF(($P295&lt;&gt;"")*($P295&gt;=TODAY())*($P295&lt;=TODAY()+13),"À venir","Autre"))))</f>
        <v/>
      </c>
      <c r="V295" s="8">
</c>
      <c r="W295" s="8">
</c>
      <c r="X295" s="8">
</c>
      <c r="Y295" s="8">
</c>
      <c r="Z295" s="8">
</c>
      <c r="AA295" s="8">
</c>
      <c r="AB295" s="8">
</c>
      <c r="AC295" s="8">
</c>
      <c r="AD295" s="8">
</c>
      <c r="AE295" s="8">
</c>
      <c r="AF295" s="8">
</c>
      <c r="AG295" s="8">
</c>
      <c r="AH295" s="8">
</c>
      <c r="AI295" s="8">
</c>
      <c r="AJ295" s="8">
</c>
      <c r="AK295" s="8">
</c>
    </row>
    <row r="296" ht="76.5" customHeight="1">
      <c r="A296">
</c>
      <c r="B296">
</c>
      <c r="C296" s="17">
</c>
      <c r="D296" s="17">
</c>
      <c r="E296">
</c>
      <c r="F296">
</c>
      <c r="G296" s="13" cm="1" t="str">
        <f t="array" ref="G296">IF(F296="","",SUBSTITUTE(SUBSTITUTE(SUBSTITUTE(SUBSTITUTE(F296,"&lt;li&gt;",CHAR(10)),"&lt;/li&gt;",""),"&lt;br&gt;",CHAR(10)),"&lt;strong&gt;",""))</f>
        <v/>
      </c>
      <c r="H296" s="13" cm="1" t="str">
        <f t="array" ref="H296">IF(G296="","",SUBSTITUTE(SUBSTITUTE(SUBSTITUTE(SUBSTITUTE(SUBSTITUTE(G296,"&lt;p&gt;",""),"&lt;/p&gt;",""),"&lt;ul&gt;",""),"&lt;/ul&gt;",""),"&lt;/strong&gt;",""))</f>
        <v/>
      </c>
      <c r="I296" s="14" cm="1" t="str">
        <f t="array" ref="I296">IF(C296="","",IF(OR(H296="",H296=0,H296=FALSE),"-",H296))</f>
        <v/>
      </c>
      <c r="J296">
</c>
      <c r="K296">
</c>
      <c r="L296" s="9" cm="1" t="str">
        <f t="array" ref="L296">IF(C296="","",IF(K296="Mort / Plus rien à faire","KO","OK"))</f>
        <v/>
      </c>
      <c r="M296" s="18">
</c>
      <c r="N296" s="15" cm="1" t="str">
        <f t="array" ref="N296">IF(OR(C296="",M296="",M296=0),"",M296)</f>
        <v/>
      </c>
      <c r="O296" s="18">
</c>
      <c r="P296" s="15" cm="1" t="str">
        <f t="array" ref="P296">IF(C296="","",IF(OR(O296="",O296=0),"-",O296))</f>
        <v/>
      </c>
      <c r="Q296" s="19">
</c>
      <c r="R296" s="16" cm="1" t="str">
        <f t="array" ref="R296">IF(C296="","",ROUND(Q296/1000000,3)&amp;" M€")</f>
        <v/>
      </c>
      <c r="S296" s="17">
</c>
      <c r="T296" s="9" cm="1" t="str">
        <f t="array" ref="T296">IF(C296="","",SUBSTITUTE(S296,"","")&amp;"%")</f>
        <v/>
      </c>
      <c r="U296" s="14" cm="1" t="str">
        <f t="array" ref="U296">IF(($N296="")*($P296=""),"",IF(($N296&lt;&gt;"")*($N296&gt;TODAY()-9)*($N296&lt;TODAY()+1)*($P296&lt;&gt;"")*($P296&gt;=TODAY())*($P296&lt;=TODAY()+13),"Semaine passée &amp; à venir",IF(($N296&lt;&gt;"")*($N296&gt;TODAY()-9)*($N296&lt;TODAY()+1),"Semaine passée",IF(($P296&lt;&gt;"")*($P296&gt;=TODAY())*($P296&lt;=TODAY()+13),"À venir","Autre"))))</f>
        <v/>
      </c>
      <c r="V296" s="8">
</c>
      <c r="W296" s="8">
</c>
      <c r="X296" s="8">
</c>
      <c r="Y296" s="8">
</c>
      <c r="Z296" s="8">
</c>
      <c r="AA296" s="8">
</c>
      <c r="AB296" s="8">
</c>
      <c r="AC296" s="8">
</c>
      <c r="AD296" s="8">
</c>
      <c r="AE296" s="8">
</c>
      <c r="AF296" s="8">
</c>
      <c r="AG296" s="8">
</c>
      <c r="AH296" s="8">
</c>
      <c r="AI296" s="8">
</c>
      <c r="AJ296" s="8">
</c>
      <c r="AK296" s="8">
</c>
    </row>
    <row r="297" ht="76.5" customHeight="1">
      <c r="A297">
</c>
      <c r="B297">
</c>
      <c r="C297" s="17">
</c>
      <c r="D297" s="17">
</c>
      <c r="E297">
</c>
      <c r="F297">
</c>
      <c r="G297" s="13" cm="1" t="str">
        <f t="array" ref="G297">IF(F297="","",SUBSTITUTE(SUBSTITUTE(SUBSTITUTE(SUBSTITUTE(F297,"&lt;li&gt;",CHAR(10)),"&lt;/li&gt;",""),"&lt;br&gt;",CHAR(10)),"&lt;strong&gt;",""))</f>
        <v/>
      </c>
      <c r="H297" s="13" cm="1" t="str">
        <f t="array" ref="H297">IF(G297="","",SUBSTITUTE(SUBSTITUTE(SUBSTITUTE(SUBSTITUTE(SUBSTITUTE(G297,"&lt;p&gt;",""),"&lt;/p&gt;",""),"&lt;ul&gt;",""),"&lt;/ul&gt;",""),"&lt;/strong&gt;",""))</f>
        <v/>
      </c>
      <c r="I297" s="14" cm="1" t="str">
        <f t="array" ref="I297">IF(C297="","",IF(OR(H297="",H297=0,H297=FALSE),"-",H297))</f>
        <v/>
      </c>
      <c r="J297">
</c>
      <c r="K297">
</c>
      <c r="L297" s="9" cm="1" t="str">
        <f t="array" ref="L297">IF(C297="","",IF(K297="Mort / Plus rien à faire","KO","OK"))</f>
        <v/>
      </c>
      <c r="M297" s="18">
</c>
      <c r="N297" s="15" cm="1" t="str">
        <f t="array" ref="N297">IF(OR(C297="",M297="",M297=0),"",M297)</f>
        <v/>
      </c>
      <c r="O297" s="18">
</c>
      <c r="P297" s="15" cm="1" t="str">
        <f t="array" ref="P297">IF(C297="","",IF(OR(O297="",O297=0),"-",O297))</f>
        <v/>
      </c>
      <c r="Q297" s="19">
</c>
      <c r="R297" s="16" cm="1" t="str">
        <f t="array" ref="R297">IF(C297="","",ROUND(Q297/1000000,3)&amp;" M€")</f>
        <v/>
      </c>
      <c r="S297" s="17">
</c>
      <c r="T297" s="9" cm="1" t="str">
        <f t="array" ref="T297">IF(C297="","",SUBSTITUTE(S297,"","")&amp;"%")</f>
        <v/>
      </c>
      <c r="U297" s="14" cm="1" t="str">
        <f t="array" ref="U297">IF(($N297="")*($P297=""),"",IF(($N297&lt;&gt;"")*($N297&gt;TODAY()-9)*($N297&lt;TODAY()+1)*($P297&lt;&gt;"")*($P297&gt;=TODAY())*($P297&lt;=TODAY()+13),"Semaine passée &amp; à venir",IF(($N297&lt;&gt;"")*($N297&gt;TODAY()-9)*($N297&lt;TODAY()+1),"Semaine passée",IF(($P297&lt;&gt;"")*($P297&gt;=TODAY())*($P297&lt;=TODAY()+13),"À venir","Autre"))))</f>
        <v/>
      </c>
      <c r="V297" s="8">
</c>
      <c r="W297" s="8">
</c>
      <c r="X297" s="8">
</c>
      <c r="Y297" s="8">
</c>
      <c r="Z297" s="8">
</c>
      <c r="AA297" s="8">
</c>
      <c r="AB297" s="8">
</c>
      <c r="AC297" s="8">
</c>
      <c r="AD297" s="8">
</c>
      <c r="AE297" s="8">
</c>
      <c r="AF297" s="8">
</c>
      <c r="AG297" s="8">
</c>
      <c r="AH297" s="8">
</c>
      <c r="AI297" s="8">
</c>
      <c r="AJ297" s="8">
</c>
      <c r="AK297" s="8">
</c>
    </row>
    <row r="298" ht="76.5" customHeight="1">
      <c r="A298">
</c>
      <c r="B298">
</c>
      <c r="C298" s="17">
</c>
      <c r="D298" s="17">
</c>
      <c r="E298">
</c>
      <c r="F298">
</c>
      <c r="G298" s="13" cm="1" t="str">
        <f t="array" ref="G298">IF(F298="","",SUBSTITUTE(SUBSTITUTE(SUBSTITUTE(SUBSTITUTE(F298,"&lt;li&gt;",CHAR(10)),"&lt;/li&gt;",""),"&lt;br&gt;",CHAR(10)),"&lt;strong&gt;",""))</f>
        <v/>
      </c>
      <c r="H298" s="13" cm="1" t="str">
        <f t="array" ref="H298">IF(G298="","",SUBSTITUTE(SUBSTITUTE(SUBSTITUTE(SUBSTITUTE(SUBSTITUTE(G298,"&lt;p&gt;",""),"&lt;/p&gt;",""),"&lt;ul&gt;",""),"&lt;/ul&gt;",""),"&lt;/strong&gt;",""))</f>
        <v/>
      </c>
      <c r="I298" s="14" cm="1" t="str">
        <f t="array" ref="I298">IF(C298="","",IF(OR(H298="",H298=0,H298=FALSE),"-",H298))</f>
        <v/>
      </c>
      <c r="J298">
</c>
      <c r="K298">
</c>
      <c r="L298" s="9" cm="1" t="str">
        <f t="array" ref="L298">IF(C298="","",IF(K298="Mort / Plus rien à faire","KO","OK"))</f>
        <v/>
      </c>
      <c r="M298" s="18">
</c>
      <c r="N298" s="15" cm="1" t="str">
        <f t="array" ref="N298">IF(OR(C298="",M298="",M298=0),"",M298)</f>
        <v/>
      </c>
      <c r="O298" s="18">
</c>
      <c r="P298" s="15" cm="1" t="str">
        <f t="array" ref="P298">IF(C298="","",IF(OR(O298="",O298=0),"-",O298))</f>
        <v/>
      </c>
      <c r="Q298" s="19">
</c>
      <c r="R298" s="16" cm="1" t="str">
        <f t="array" ref="R298">IF(C298="","",ROUND(Q298/1000000,3)&amp;" M€")</f>
        <v/>
      </c>
      <c r="S298" s="17">
</c>
      <c r="T298" s="9" cm="1" t="str">
        <f t="array" ref="T298">IF(C298="","",SUBSTITUTE(S298,"","")&amp;"%")</f>
        <v/>
      </c>
      <c r="U298" s="14" cm="1" t="str">
        <f t="array" ref="U298">IF(($N298="")*($P298=""),"",IF(($N298&lt;&gt;"")*($N298&gt;TODAY()-9)*($N298&lt;TODAY()+1)*($P298&lt;&gt;"")*($P298&gt;=TODAY())*($P298&lt;=TODAY()+13),"Semaine passée &amp; à venir",IF(($N298&lt;&gt;"")*($N298&gt;TODAY()-9)*($N298&lt;TODAY()+1),"Semaine passée",IF(($P298&lt;&gt;"")*($P298&gt;=TODAY())*($P298&lt;=TODAY()+13),"À venir","Autre"))))</f>
        <v/>
      </c>
      <c r="V298" s="8">
</c>
      <c r="W298" s="8">
</c>
      <c r="X298" s="8">
</c>
      <c r="Y298" s="8">
</c>
      <c r="Z298" s="8">
</c>
      <c r="AA298" s="8">
</c>
      <c r="AB298" s="8">
</c>
      <c r="AC298" s="8">
</c>
      <c r="AD298" s="8">
</c>
      <c r="AE298" s="8">
</c>
      <c r="AF298" s="8">
</c>
      <c r="AG298" s="8">
</c>
      <c r="AH298" s="8">
</c>
      <c r="AI298" s="8">
</c>
      <c r="AJ298" s="8">
</c>
      <c r="AK298" s="8">
</c>
    </row>
    <row r="299" ht="76.5" customHeight="1">
      <c r="A299">
</c>
      <c r="B299">
</c>
      <c r="C299" s="17">
</c>
      <c r="D299" s="17">
</c>
      <c r="E299">
</c>
      <c r="F299">
</c>
      <c r="G299" s="13" cm="1" t="str">
        <f t="array" ref="G299">IF(F299="","",SUBSTITUTE(SUBSTITUTE(SUBSTITUTE(SUBSTITUTE(F299,"&lt;li&gt;",CHAR(10)),"&lt;/li&gt;",""),"&lt;br&gt;",CHAR(10)),"&lt;strong&gt;",""))</f>
        <v/>
      </c>
      <c r="H299" s="13" cm="1" t="str">
        <f t="array" ref="H299">IF(G299="","",SUBSTITUTE(SUBSTITUTE(SUBSTITUTE(SUBSTITUTE(SUBSTITUTE(G299,"&lt;p&gt;",""),"&lt;/p&gt;",""),"&lt;ul&gt;",""),"&lt;/ul&gt;",""),"&lt;/strong&gt;",""))</f>
        <v/>
      </c>
      <c r="I299" s="14" cm="1" t="str">
        <f t="array" ref="I299">IF(C299="","",IF(OR(H299="",H299=0,H299=FALSE),"-",H299))</f>
        <v/>
      </c>
      <c r="J299">
</c>
      <c r="K299">
</c>
      <c r="L299" s="9" cm="1" t="str">
        <f t="array" ref="L299">IF(C299="","",IF(K299="Mort / Plus rien à faire","KO","OK"))</f>
        <v/>
      </c>
      <c r="M299" s="18">
</c>
      <c r="N299" s="15" cm="1" t="str">
        <f t="array" ref="N299">IF(OR(C299="",M299="",M299=0),"",M299)</f>
        <v/>
      </c>
      <c r="O299" s="18">
</c>
      <c r="P299" s="15" cm="1" t="str">
        <f t="array" ref="P299">IF(C299="","",IF(OR(O299="",O299=0),"-",O299))</f>
        <v/>
      </c>
      <c r="Q299" s="19">
</c>
      <c r="R299" s="16" cm="1" t="str">
        <f t="array" ref="R299">IF(C299="","",ROUND(Q299/1000000,3)&amp;" M€")</f>
        <v/>
      </c>
      <c r="S299" s="17">
</c>
      <c r="T299" s="9" cm="1" t="str">
        <f t="array" ref="T299">IF(C299="","",SUBSTITUTE(S299,"","")&amp;"%")</f>
        <v/>
      </c>
      <c r="U299" s="14" cm="1" t="str">
        <f t="array" ref="U299">IF(($N299="")*($P299=""),"",IF(($N299&lt;&gt;"")*($N299&gt;TODAY()-9)*($N299&lt;TODAY()+1)*($P299&lt;&gt;"")*($P299&gt;=TODAY())*($P299&lt;=TODAY()+13),"Semaine passée &amp; à venir",IF(($N299&lt;&gt;"")*($N299&gt;TODAY()-9)*($N299&lt;TODAY()+1),"Semaine passée",IF(($P299&lt;&gt;"")*($P299&gt;=TODAY())*($P299&lt;=TODAY()+13),"À venir","Autre"))))</f>
        <v/>
      </c>
      <c r="V299" s="8">
</c>
      <c r="W299" s="8">
</c>
      <c r="X299" s="8">
</c>
      <c r="Y299" s="8">
</c>
      <c r="Z299" s="8">
</c>
      <c r="AA299" s="8">
</c>
      <c r="AB299" s="8">
</c>
      <c r="AC299" s="8">
</c>
      <c r="AD299" s="8">
</c>
      <c r="AE299" s="8">
</c>
      <c r="AF299" s="8">
</c>
      <c r="AG299" s="8">
</c>
      <c r="AH299" s="8">
</c>
      <c r="AI299" s="8">
</c>
      <c r="AJ299" s="8">
</c>
      <c r="AK299" s="8">
</c>
    </row>
    <row r="300" ht="76.5" customHeight="1">
      <c r="A300">
</c>
      <c r="B300">
</c>
      <c r="C300" s="17">
</c>
      <c r="D300" s="17">
</c>
      <c r="E300">
</c>
      <c r="F300">
</c>
      <c r="G300" s="13" cm="1" t="str">
        <f t="array" ref="G300">IF(F300="","",SUBSTITUTE(SUBSTITUTE(SUBSTITUTE(SUBSTITUTE(F300,"&lt;li&gt;",CHAR(10)),"&lt;/li&gt;",""),"&lt;br&gt;",CHAR(10)),"&lt;strong&gt;",""))</f>
        <v/>
      </c>
      <c r="H300" s="13" cm="1" t="str">
        <f t="array" ref="H300">IF(G300="","",SUBSTITUTE(SUBSTITUTE(SUBSTITUTE(SUBSTITUTE(SUBSTITUTE(G300,"&lt;p&gt;",""),"&lt;/p&gt;",""),"&lt;ul&gt;",""),"&lt;/ul&gt;",""),"&lt;/strong&gt;",""))</f>
        <v/>
      </c>
      <c r="I300" s="14" cm="1" t="str">
        <f t="array" ref="I300">IF(C300="","",IF(OR(H300="",H300=0,H300=FALSE),"-",H300))</f>
        <v/>
      </c>
      <c r="J300">
</c>
      <c r="K300">
</c>
      <c r="L300" s="9" cm="1" t="str">
        <f t="array" ref="L300">IF(C300="","",IF(K300="Mort / Plus rien à faire","KO","OK"))</f>
        <v/>
      </c>
      <c r="M300" s="18">
</c>
      <c r="N300" s="15" cm="1" t="str">
        <f t="array" ref="N300">IF(OR(C300="",M300="",M300=0),"",M300)</f>
        <v/>
      </c>
      <c r="O300" s="18">
</c>
      <c r="P300" s="15" cm="1" t="str">
        <f t="array" ref="P300">IF(C300="","",IF(OR(O300="",O300=0),"-",O300))</f>
        <v/>
      </c>
      <c r="Q300" s="19">
</c>
      <c r="R300" s="16" cm="1" t="str">
        <f t="array" ref="R300">IF(C300="","",ROUND(Q300/1000000,3)&amp;" M€")</f>
        <v/>
      </c>
      <c r="S300" s="17">
</c>
      <c r="T300" s="9" cm="1" t="str">
        <f t="array" ref="T300">IF(C300="","",SUBSTITUTE(S300,"","")&amp;"%")</f>
        <v/>
      </c>
      <c r="U300" s="14" cm="1" t="str">
        <f t="array" ref="U300">IF(($N300="")*($P300=""),"",IF(($N300&lt;&gt;"")*($N300&gt;TODAY()-9)*($N300&lt;TODAY()+1)*($P300&lt;&gt;"")*($P300&gt;=TODAY())*($P300&lt;=TODAY()+13),"Semaine passée &amp; à venir",IF(($N300&lt;&gt;"")*($N300&gt;TODAY()-9)*($N300&lt;TODAY()+1),"Semaine passée",IF(($P300&lt;&gt;"")*($P300&gt;=TODAY())*($P300&lt;=TODAY()+13),"À venir","Autre"))))</f>
        <v/>
      </c>
      <c r="V300" s="8">
</c>
      <c r="W300" s="8">
</c>
      <c r="X300" s="8">
</c>
      <c r="Y300" s="8">
</c>
      <c r="Z300" s="8">
</c>
      <c r="AA300" s="8">
</c>
      <c r="AB300" s="8">
</c>
      <c r="AC300" s="8">
</c>
      <c r="AD300" s="8">
</c>
      <c r="AE300" s="8">
</c>
      <c r="AF300" s="8">
</c>
      <c r="AG300" s="8">
</c>
      <c r="AH300" s="8">
</c>
      <c r="AI300" s="8">
</c>
      <c r="AJ300" s="8">
</c>
      <c r="AK300" s="8">
</c>
    </row>
    <row r="301" ht="76.5" customHeight="1">
      <c r="A301">
</c>
      <c r="B301">
</c>
      <c r="C301" s="17">
</c>
      <c r="D301" s="17">
</c>
      <c r="E301">
</c>
      <c r="F301">
</c>
      <c r="G301" s="13" cm="1" t="str">
        <f t="array" ref="G301">IF(F301="","",SUBSTITUTE(SUBSTITUTE(SUBSTITUTE(SUBSTITUTE(F301,"&lt;li&gt;",CHAR(10)),"&lt;/li&gt;",""),"&lt;br&gt;",CHAR(10)),"&lt;strong&gt;",""))</f>
        <v/>
      </c>
      <c r="H301" s="13" cm="1" t="str">
        <f t="array" ref="H301">IF(G301="","",SUBSTITUTE(SUBSTITUTE(SUBSTITUTE(SUBSTITUTE(SUBSTITUTE(G301,"&lt;p&gt;",""),"&lt;/p&gt;",""),"&lt;ul&gt;",""),"&lt;/ul&gt;",""),"&lt;/strong&gt;",""))</f>
        <v/>
      </c>
      <c r="I301" s="14" cm="1" t="str">
        <f t="array" ref="I301">IF(C301="","",IF(OR(H301="",H301=0,H301=FALSE),"-",H301))</f>
        <v/>
      </c>
      <c r="J301">
</c>
      <c r="K301">
</c>
      <c r="L301" s="9" cm="1" t="str">
        <f t="array" ref="L301">IF(C301="","",IF(K301="Mort / Plus rien à faire","KO","OK"))</f>
        <v/>
      </c>
      <c r="M301" s="18">
</c>
      <c r="N301" s="15" cm="1" t="str">
        <f t="array" ref="N301">IF(OR(C301="",M301="",M301=0),"",M301)</f>
        <v/>
      </c>
      <c r="O301" s="18">
</c>
      <c r="P301" s="15" cm="1" t="str">
        <f t="array" ref="P301">IF(C301="","",IF(OR(O301="",O301=0),"-",O301))</f>
        <v/>
      </c>
      <c r="Q301" s="19">
</c>
      <c r="R301" s="16" cm="1" t="str">
        <f t="array" ref="R301">IF(C301="","",ROUND(Q301/1000000,3)&amp;" M€")</f>
        <v/>
      </c>
      <c r="S301" s="17">
</c>
      <c r="T301" s="9" cm="1" t="str">
        <f t="array" ref="T301">IF(C301="","",SUBSTITUTE(S301,"","")&amp;"%")</f>
        <v/>
      </c>
      <c r="U301" s="14" cm="1" t="str">
        <f t="array" ref="U301">IF(($N301="")*($P301=""),"",IF(($N301&lt;&gt;"")*($N301&gt;TODAY()-9)*($N301&lt;TODAY()+1)*($P301&lt;&gt;"")*($P301&gt;=TODAY())*($P301&lt;=TODAY()+13),"Semaine passée &amp; à venir",IF(($N301&lt;&gt;"")*($N301&gt;TODAY()-9)*($N301&lt;TODAY()+1),"Semaine passée",IF(($P301&lt;&gt;"")*($P301&gt;=TODAY())*($P301&lt;=TODAY()+13),"À venir","Autre"))))</f>
        <v/>
      </c>
      <c r="V301" s="8">
</c>
      <c r="W301" s="8">
</c>
      <c r="X301" s="8">
</c>
      <c r="Y301" s="8">
</c>
      <c r="Z301" s="8">
</c>
      <c r="AA301" s="8">
</c>
      <c r="AB301" s="8">
</c>
      <c r="AC301" s="8">
</c>
      <c r="AD301" s="8">
</c>
      <c r="AE301" s="8">
</c>
      <c r="AF301" s="8">
</c>
      <c r="AG301" s="8">
</c>
      <c r="AH301" s="8">
</c>
      <c r="AI301" s="8">
</c>
      <c r="AJ301" s="8">
</c>
      <c r="AK301" s="8">
</c>
    </row>
    <row r="302" ht="76.5" customHeight="1">
      <c r="A302">
</c>
      <c r="B302">
</c>
      <c r="C302" s="17">
</c>
      <c r="D302" s="17">
</c>
      <c r="E302">
</c>
      <c r="F302">
</c>
      <c r="G302" s="13" cm="1" t="str">
        <f t="array" ref="G302">IF(F302="","",SUBSTITUTE(SUBSTITUTE(SUBSTITUTE(SUBSTITUTE(F302,"&lt;li&gt;",CHAR(10)),"&lt;/li&gt;",""),"&lt;br&gt;",CHAR(10)),"&lt;strong&gt;",""))</f>
        <v/>
      </c>
      <c r="H302" s="13" cm="1" t="str">
        <f t="array" ref="H302">IF(G302="","",SUBSTITUTE(SUBSTITUTE(SUBSTITUTE(SUBSTITUTE(SUBSTITUTE(G302,"&lt;p&gt;",""),"&lt;/p&gt;",""),"&lt;ul&gt;",""),"&lt;/ul&gt;",""),"&lt;/strong&gt;",""))</f>
        <v/>
      </c>
      <c r="I302" s="14" cm="1" t="str">
        <f t="array" ref="I302">IF(C302="","",IF(OR(H302="",H302=0,H302=FALSE),"-",H302))</f>
        <v/>
      </c>
      <c r="J302">
</c>
      <c r="K302">
</c>
      <c r="L302" s="9" cm="1" t="str">
        <f t="array" ref="L302">IF(C302="","",IF(K302="Mort / Plus rien à faire","KO","OK"))</f>
        <v/>
      </c>
      <c r="M302" s="18">
</c>
      <c r="N302" s="15" cm="1" t="str">
        <f t="array" ref="N302">IF(OR(C302="",M302="",M302=0),"",M302)</f>
        <v/>
      </c>
      <c r="O302" s="18">
</c>
      <c r="P302" s="15" cm="1" t="str">
        <f t="array" ref="P302">IF(C302="","",IF(OR(O302="",O302=0),"-",O302))</f>
        <v/>
      </c>
      <c r="Q302" s="19">
</c>
      <c r="R302" s="16" cm="1" t="str">
        <f t="array" ref="R302">IF(C302="","",ROUND(Q302/1000000,3)&amp;" M€")</f>
        <v/>
      </c>
      <c r="S302" s="17">
</c>
      <c r="T302" s="9" cm="1" t="str">
        <f t="array" ref="T302">IF(C302="","",SUBSTITUTE(S302,"","")&amp;"%")</f>
        <v/>
      </c>
      <c r="U302" s="14" cm="1" t="str">
        <f t="array" ref="U302">IF(($N302="")*($P302=""),"",IF(($N302&lt;&gt;"")*($N302&gt;TODAY()-9)*($N302&lt;TODAY()+1)*($P302&lt;&gt;"")*($P302&gt;=TODAY())*($P302&lt;=TODAY()+13),"Semaine passée &amp; à venir",IF(($N302&lt;&gt;"")*($N302&gt;TODAY()-9)*($N302&lt;TODAY()+1),"Semaine passée",IF(($P302&lt;&gt;"")*($P302&gt;=TODAY())*($P302&lt;=TODAY()+13),"À venir","Autre"))))</f>
        <v/>
      </c>
      <c r="V302" s="8">
</c>
      <c r="W302" s="8">
</c>
      <c r="X302" s="8">
</c>
      <c r="Y302" s="8">
</c>
      <c r="Z302" s="8">
</c>
      <c r="AA302" s="8">
</c>
      <c r="AB302" s="8">
</c>
      <c r="AC302" s="8">
</c>
      <c r="AD302" s="8">
</c>
      <c r="AE302" s="8">
</c>
      <c r="AF302" s="8">
</c>
      <c r="AG302" s="8">
</c>
      <c r="AH302" s="8">
</c>
      <c r="AI302" s="8">
</c>
      <c r="AJ302" s="8">
</c>
      <c r="AK302" s="8">
</c>
    </row>
  </sheetData>
  <conditionalFormatting sqref="N4:N302">
    <cfRule priority="1" stopIfTrue="0" type="expression" dxfId="0">
      <formula>($N4&lt;&gt;"")*(($N4&gt;TODAY()-9)*($N4&lt;TODAY()+1)+(INT($N4)=TODAY()))
</formula>
    </cfRule>
  </conditionalFormatting>
  <conditionalFormatting sqref="P4:P302">
    <cfRule priority="1" stopIfTrue="0" type="expression" dxfId="1">
      <formula>($P4&lt;&gt;"")*($P4&gt;=TODAY())*($P4&lt;=TODAY()+13)</formula>
    </cfRule>
  </conditionalFormatting>
  <conditionalFormatting sqref="I4:I302">
    <cfRule priority="1" stopIfTrue="0" type="expression" dxfId="0">
      <formula>(($N4&lt;&gt;"")*($N4&gt;TODAY()-9)*($N4&lt;=TODAY())) + (($P4&lt;&gt;"")*($P4&gt;=TODAY())*($P4&lt;=TODAY()+13))</formula>
    </cfRule>
  </conditionalFormatting>
  <conditionalFormatting sqref="U4:U302">
    <cfRule priority="1" stopIfTrue="0" type="containsText" text="À venir" operator="containsText" dxfId="0">
      <formula>NOT(ISERROR(SEARCH("À venir",U4)))</formula>
    </cfRule>
  </conditionalFormatting>
  <conditionalFormatting sqref="U4:U302">
    <cfRule priority="1" stopIfTrue="0" type="containsText" text="Semaine passée" operator="containsText" dxfId="0">
      <formula>NOT(ISERROR(SEARCH("Semaine passée",U4)))</formula>
    </cfRule>
  </conditionalFormatting>
  <conditionalFormatting sqref="U4:U302">
    <cfRule priority="1" stopIfTrue="0" type="containsText" text="Semaine passée &amp; à venir" operator="containsText" dxfId="0">
      <formula>NOT(ISERROR(SEARCH("Semaine passée &amp; à venir",U4)))</formula>
    </cfRule>
  </conditionalFormatting>
  <tableParts count="1">
    <tablePart r:id="rId1"/>
  </tableParts>
</worksheet>
</file>
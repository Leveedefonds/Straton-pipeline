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<sst xmlns="http://schemas.openxmlformats.org/spreadsheetml/2006/main" count="537" uniqueCount="537">
  <si>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</si>
  <si>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</si>
  <si>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</si>
  <si>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</si>
  <si>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</si>
  <si>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</si>
  <si>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</si>
  <si>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</si>
  <si>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</si>
  <si>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</si>
  <si>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</si>
  <si>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</si>
  <si>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</si>
  <si>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</si>
  <si>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</si>
  <si>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</si>
  <si>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</si>
  <si>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</si>
  <si>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</si>
  <si>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</si>
  <si>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</si>
  <si>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</si>
  <si>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</si>
  <si>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CAP-DEV - Straton</t>
  </si>
  <si>
    <t>Fondation</t>
  </si>
  <si>
    <t>MUTILES ET VICTIMES DE GUERRE - FONDATION ANDRE MAGINOT</t>
  </si>
  <si>
    <t>Patrick Remm</t>
  </si>
  <si>
    <t>Romain Andrieu</t>
  </si>
  <si>
    <t>&lt;p&gt;CA juin : décision 1M€ SIENNA IM, 1M€ STRATON, investissement prévu 2026, SIENNA prioritaire. Défense jugé trop tôt, non coté. Demande RDV gal Peter, Patrick Remm, copie Christien Piquet. 25/03 : finalisation appels de marge, toujours pas de BS signé. Prochaine étape : relance avant 03/04.&lt;/p&gt;</t>
  </si>
  <si>
    <t>le 25 mars / finalisation des appels de marge</t>
  </si>
  <si>
    <t>Souscription réalisée</t>
  </si>
  <si>
    <t>100</t>
  </si>
  <si>
    <t>Assurance/Mutuelle</t>
  </si>
  <si>
    <t>SACRA</t>
  </si>
  <si>
    <t>Steve BAUMANN</t>
  </si>
  <si>
    <t>&lt;p&gt;Nouvelle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supplémentaire.&lt;/p&gt;</t>
  </si>
  <si>
    <t>Banque privée</t>
  </si>
  <si>
    <t>SOFIDY GESTION PRIVEE</t>
  </si>
  <si>
    <t>David Guillemet</t>
  </si>
  <si>
    <t>Edouard Gaurier</t>
  </si>
  <si>
    <t>&lt;p&gt;Appel terminé, prospect a des demandes sur 150-0 B ter, rdv téléphonique sur offre actuelle, doit revenir si intérêt clients. Enrichissement lead impossible (email non valide). Nouvelle piste créée pour équipe Ventes. Pas d'autres activités ou prochaines actions identifiées.&lt;/p&gt;</t>
  </si>
  <si>
    <t>En Due Diligence</t>
  </si>
  <si>
    <t>50</t>
  </si>
  <si>
    <t>Gilles Thibault</t>
  </si>
  <si>
    <t>&lt;p&gt;RDV tél prospect Straton Gilles Thibault, réflexion en cours sur montant à engager (100K jugé élevé). Nouvelle piste créée pour équipe Ventes. Pas d'autres activités ou prochaines étapes planifiées à ce jour. Attente retour prospect sur décision d'engagement.&lt;/p&gt;</t>
  </si>
  <si>
    <t>CGP</t>
  </si>
  <si>
    <t>WAGNER Gestion Privée</t>
  </si>
  <si>
    <t>Franck GIRARD</t>
  </si>
  <si>
    <t>&lt;p&gt;Appels répétés avec Jacques Maréchal (Wagner gestion privée) pour convaincre d'investir dans Straton. Feedback positif : accord pour investir 100K, ticket envisagé 150K. Dernier échange 22/04/2026. Prochaine étape : finaliser l'engagement sur le ticket proposé.&lt;/p&gt;</t>
  </si>
  <si>
    <t>ROTHSCHILD &amp; CO</t>
  </si>
  <si>
    <t>Vincent Danjoux</t>
  </si>
  <si>
    <t>&lt;p&gt;Relances régulières par mail et appel pour prise de nouvelles et timing d'investissement. Prospect intéressé par Straton, Quanto II, Calderion, a demandé doc Straton. Pas de retour concret depuis, relance en attente. Dernier échange 20/04/2026. Prochaine étape&amp;nbsp;: obtenir feedback sur calendrier.&lt;/p&gt;</t>
  </si>
  <si>
    <t>Interêt indicatif - A creuser</t>
  </si>
  <si>
    <t>HNWI</t>
  </si>
  <si>
    <t>Matthieu Milandri</t>
  </si>
  <si>
    <t>Levée de Fonds</t>
  </si>
  <si>
    <t>&lt;p&gt;Piste créée pour équipe Ventes le 16/03. Tentative d'enrichissement sans données société, aucun crédit consommé. Mention "Lead de CB" le 23/03. Aucun échange, activité ou action commerciale ultérieure enregistrée. Pas de prochaine étape identifiée ni de retour prospect sur fonds présentés.&lt;/p&gt;</t>
  </si>
  <si>
    <t>Single Family Office</t>
  </si>
  <si>
    <t>MANITOBA</t>
  </si>
  <si>
    <t>Hervé d'Halluin</t>
  </si>
  <si>
    <t>&lt;p&gt;Nouvelle piste créée pour équipe Ventes par Romain Andrieu. Aucun échange, action ou suivi supplémentaire enregistré à ce jour. Pas d'activité menée sur le prospect, aucune interaction ni retour du contact. Prochaines étapes non définies, aucun engagement ou action planifiée identifiée.&lt;/p&gt;</t>
  </si>
  <si>
    <t>DAYLIGHT CONSEILS</t>
  </si>
  <si>
    <t>Dorian Lagarnaudi</t>
  </si>
  <si>
    <t>&lt;p&gt;Déj. Bourrienne CB, OPNF, TS avec Daylight FO (D. Lagarnaudie) : échanges sur refinancement ptf global, tickets 1M Straton/1M Géodésie. Attente offres banques semaine prochaine. Décision d’attendre 2026 pour validation montant fonds suite incertitudes fiscales. Prochaine étape : réception offres.&lt;/p&gt;</t>
  </si>
  <si>
    <t>Rydge KPMG</t>
  </si>
  <si>
    <t>Edouard Sommade</t>
  </si>
  <si>
    <t>&lt;p&gt;Accord de partenariat Audacia pour fonds remploi, conditions financières à préparer. Intérêt fort confirmé pour nos stratégies diversification/remploi, screening complet avant signature. Dernier échange 27/03 : message laissé pour suivi avancement convention partenaires. Prochaine étape : finaliser conditions.&lt;/p&gt;</t>
  </si>
  <si>
    <t>Xavier Lugherini</t>
  </si>
  <si>
    <t>&lt;p&gt;Nouvelle piste créée équipe Ventes 16/03. Lead enrichi sans données société, email générique, aucun crédit consommé. Lead CB noté 23/03. Aucun échange, activité ou retour prospect enregistré depuis. Pas d'action planifiée ni de feedback sur fonds présentés. Suivi inexistant.&lt;/p&gt;</t>
  </si>
  <si>
    <t>AG2R La Mondiale</t>
  </si>
  <si>
    <t>Cyrille ROUSTANG</t>
  </si>
  <si>
    <t>&lt;p&gt;2025.04.29 AG2R : Présentation Straton &amp;amp; Expansion, échanges sur fonds quantique, spatial, défense. AG2R analyse fonds, questionne thématiques nucléaire/défense, évoque contraintes internes, intérêt pour Origa, Ciclad, ACE. Suivi : deck Straton, benchmark concurrents. Prochain RDV T Rivron/C Roustang calé. Prochaine action 20/05/2026.&lt;/p&gt;</t>
  </si>
  <si>
    <t>rdv avec T Rivron calé et Cyril Roustang</t>
  </si>
  <si>
    <t>30</t>
  </si>
  <si>
    <t>Caisse Régionale du Crédit Agricole Brie-Picardie</t>
  </si>
  <si>
    <t>Benjamin GREBET</t>
  </si>
  <si>
    <t>&lt;p&gt;RDV physique 28/01/26 : présentation offre PE, Straton ciblé S2 2026, process référencement instruit, potentiel levée 1-5M€. Relances multiples Benjamin (mail, appel, vocal), envoi dataroom. 13/04/26 : Straton short-listé pour campagne PE BP S2 2026. Prochaine étape : relancer Benjamin (appel prévu 17/04/26).&lt;/p&gt;</t>
  </si>
  <si>
    <t>relancer</t>
  </si>
  <si>
    <t>IVESTA (150 0 B ter)</t>
  </si>
  <si>
    <t>Etienne MALLENGIER</t>
  </si>
  <si>
    <t>&lt;p&gt;Déj 5/03 avec T Barrey (fonds de fonds)&amp;nbsp;: IVESTA, 45 ETP, 3bn aum, 100 fonds PE, 20% venture. Recherche spécialistes, tickets ponctuels 1M€, coalition familles. Process : 4 votants, due diligence, focus gouvernance, alpha opérationnel. Deck partagé 8/04, relance fin mars. Prochaine étape&amp;nbsp;: retour sur choix STRATON.&lt;/p&gt;</t>
  </si>
  <si>
    <t>Dominique de la Vallée Poussin</t>
  </si>
  <si>
    <t>&lt;p&gt;Félicitations adressées à Thomas pour le Palmarès Choiseul, valorisation du travail Audacia/BITD. Proposition d'échange sur le fonds STRATON, ouverture à un rendez-vous ou appel. Attente de disponibilités pour organiser la rencontre. Pas d'autres actions ni retours prospect sur le fonds à ce stade.&lt;/p&gt;</t>
  </si>
  <si>
    <t>JOLKA INVEST</t>
  </si>
  <si>
    <t>Jonathan Kieffer</t>
  </si>
  <si>
    <t>&lt;p&gt;Aucune activité menée sur le prospect. Un nouvelle piste a été créée pour l'équipe "Ventes". Aucun échange, action ou retour identifié à ce jour. Pas de suivi, pas de prochaines étapes planifiées, aucune interaction ou retour du prospect enregistré.&lt;/p&gt;</t>
  </si>
  <si>
    <t>Caisse de retraite/Institution de prévoyance</t>
  </si>
  <si>
    <t>CAISSE D'EPARGNE PREVOYANCE COTE D'AZUR</t>
  </si>
  <si>
    <t>Romain Parinello</t>
  </si>
  <si>
    <t>&lt;p&gt;RDV 2/03/26&amp;nbsp;: défense, décision fin mars pour comité d'invest 1M€, Quadrille passe pour 1M€ le 3/03, reste 1M€, 50% de chance. 28/01/26&amp;nbsp;: intérêt TIKHEAU/WINEBERG, besoin side business. KO pré-comité, part vers club ABENEX, prochain RDV 20/06/26. Pas de retour prospect sur fonds.&lt;/p&gt;</t>
  </si>
  <si>
    <t>KO pré-comité / part vers un club del ABENEX sur le territoire / rdv 20 juin</t>
  </si>
  <si>
    <t>FAMILY PARTNERS</t>
  </si>
  <si>
    <t>Stéphane Rogron</t>
  </si>
  <si>
    <t>Pauline Cavalié</t>
  </si>
  <si>
    <t>&lt;p&gt;Multiples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relance.&lt;/p&gt;</t>
  </si>
  <si>
    <t>Pas encore prêt - A alimenter</t>
  </si>
  <si>
    <t>AG Patrimoine</t>
  </si>
  <si>
    <t>Anais Gouirand</t>
  </si>
  <si>
    <t>&lt;p&gt;Visio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Opale.&lt;/p&gt;</t>
  </si>
  <si>
    <t>Pierre Auberdiac</t>
  </si>
  <si>
    <t>&lt;p&gt;Piste créée pour équipe Ventes le 16/03. Lead enrichment tenté, pas de données trouvées. Appel entrant STRATON noté, aucune note ou retour détaillé. Pas d'autres échanges, comptes-rendus ou actions précises. Prochaines étapes non définies, aucune activité programmée à ce jour.&lt;/p&gt;</t>
  </si>
  <si>
    <t>appel entrant STRATON</t>
  </si>
  <si>
    <t>Saint Jacques Patrimoine</t>
  </si>
  <si>
    <t>Louis Marie Collin</t>
  </si>
  <si>
    <t>&lt;p&gt;03/02/2026: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stade.&lt;/p&gt;</t>
  </si>
  <si>
    <t>Mutuelle UNEO</t>
  </si>
  <si>
    <t>Marc LECLERE</t>
  </si>
  <si>
    <t>&lt;p&gt;03/03 : Offre présentée à UNEO, instruction commune. Blocage Président Leclaire (déjà 5 offres, doute sur la démarche). Demande d'appui à JFC (pas de lien). Présence Marc Leclere/Marie Chabaud à soirée ULTRAOPS. Prochaine étape : lever blocage UNEO, suivi à prévoir d'ici 20/05.&lt;/p&gt;</t>
  </si>
  <si>
    <t>soirée ULTRAOPS &lt;&gt; presence de Marc Leclere avec La nouvelle DG de SOLIDARM Marie Chabaud, “soirée ULTRAOPS &lt;&gt; presence de Marc Leclere avec La nouvelle DG de SOLIDARM Marie Chabaud”pour Romain Andrieu</t>
  </si>
  <si>
    <t>Probablement mort</t>
  </si>
  <si>
    <t>Carac</t>
  </si>
  <si>
    <t>Estelle KERENFLEC'H</t>
  </si>
  <si>
    <t>&lt;p&gt;Déj. avec Fabrice Hammouche : peu dispo, découvre dossier STRATON, apprécie la thèse, peu au fait de l’offre concurrente, n’aime pas Émergence, a souscrit Weinberg. Estelle : fonds dette impact, pas de réup Weinberg, mapping fonds FR, due dil Tikehau, standby Partners. Prochaine étape : suivi mapping et retours Fabrice/Michel.&lt;/p&gt;</t>
  </si>
  <si>
    <t>Banque (haut de bilan)</t>
  </si>
  <si>
    <t>CAISSE D'EPARGNE ILE DE FRANCE - CEIDF</t>
  </si>
  <si>
    <t>Guillaume GUIN</t>
  </si>
  <si>
    <t>&lt;p&gt;Déj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attendue.&lt;/p&gt;</t>
  </si>
  <si>
    <t>Frédéric Duponchel</t>
  </si>
  <si>
    <t>&lt;p&gt;Lead créé pour équipe Ventes, origine OdP. Revu lors des journées de Bourrienne, accord pour reprendre contact. Pas d'autres échanges ou actions récentes, pas de retour prospect sur fonds présentés. Prochaine étape : relancer pour fixer un rendez-vous. Aucun passage en comité mentionné.&lt;/p&gt;</t>
  </si>
  <si>
    <t xml:space="preserve">BAUDINO CONSEIL </t>
  </si>
  <si>
    <t>Jérémy Baudino</t>
  </si>
  <si>
    <t>&lt;p&gt;Appels et mails échangés : prise de news, envoi d'actualité, relance. Prospect connaît nos offres, peu d'intérêt pour le non-coté (trop long), beaucoup de trésorerie d'entreprise, début de société. Souhaite doc Straton, peut-être intéressé par FCPI. Prochaine étape : envoi doc, suivi.&lt;/p&gt;</t>
  </si>
  <si>
    <t>Union des Mutuelles Retraites</t>
  </si>
  <si>
    <t>Lyes Larezki</t>
  </si>
  <si>
    <t>&lt;p&gt;05/02 : discussions fonds défense, CA UmR, tickets petits validés en principe, administrateurs éducation nationale, 3 fonds étudiés (EMERGENCE, AUDACIA/NewAlpha, dette), Weinberg fermé, RDV en cours Liez Arezky, interviews à lancer, suivi à prévoir sur sélection fonds et retours administrateurs.&lt;/p&gt;</t>
  </si>
  <si>
    <t>EMERAUDE CAPITAL</t>
  </si>
  <si>
    <t>Benjamin Continente</t>
  </si>
  <si>
    <t>&lt;p&gt;Multiples relances mail (29/01, 16/02, 31/03) et appels pour organiser RDV Paris/Toulouse avec B. Continente, sans réponse à ce jour. Envoi deck Straton à jour, proposition réunion CGP Emeraude pour présentation fonds. Prochaine action : relance invitation événement Défense 09/04.&lt;/p&gt;</t>
  </si>
  <si>
    <t>Caisse Régionale du Crédit Agricole Centre France</t>
  </si>
  <si>
    <t>Didier Ramond</t>
  </si>
  <si>
    <t>&lt;p&gt;RDV 7/01 avec CRCA Centre France (Didier Ramond)&amp;nbsp;: stratégie PE, intérêt défense, fonds dédiés, tickets 400k-2M€, attente retour sur offre fonds dédiée (proposée 6/03), relances 30/01, 2/04, 22/04, 23/04. Prochaine étape&amp;nbsp;: retour qualifié CRCA sur offre, relance en cours, attente décision.&lt;/p&gt;</t>
  </si>
  <si>
    <t>relance faite</t>
  </si>
  <si>
    <t>Klésia</t>
  </si>
  <si>
    <t>Christian SCHMIDT DE LA BRÉLIE</t>
  </si>
  <si>
    <t>&lt;p&gt;Rdv 4 mars avec Emmanuelle Cales : nettoyage Ptf agpm, vente actions cotées Klesia, marge retrouvée en PE. Deck envoyé, suivi levées/investissements. Tickets 2026 : 5-10M€ Straton, &amp;gt;20M€ ADIT possible, concurrence présente. Prochain rdv prévu 28 mai. Besoin de temps, marché interrogé.&lt;/p&gt;</t>
  </si>
  <si>
    <t>Défense / tout le marché les interroge / Point d'actu sur STRATON / Besoin de temps</t>
  </si>
  <si>
    <t>Gwenn Delamaire</t>
  </si>
  <si>
    <t>&lt;p&gt;Piste créée pour équipe Ventes 11/03. Lead de OdP, tentative d'enrichissement échouée (email invalide). Aucun retour prospect sur fonds présentés. Dernière action 27/04&amp;nbsp;: à relancer. Aucune activité récente significative, prochaine étape&amp;nbsp;: relance à prévoir.&lt;/p&gt;</t>
  </si>
  <si>
    <t>20</t>
  </si>
  <si>
    <t>LA FRANCE MUTUALISTE</t>
  </si>
  <si>
    <t>Souhail KORAICHY</t>
  </si>
  <si>
    <t>&lt;p&gt;Nov 2025 : échec, relance reconquête engagée. 01/04/2026 : nouvelle piste créée équipe Ventes. Déj. prévu avec Anna Fougerat (Présidente, général de division Gendarmerie) pour avancer. Prochaine étape : RDV physique 22/07/2026. Pas de retour prospect sur fonds à ce stade.&lt;/p&gt;</t>
  </si>
  <si>
    <t>Suite à l'échec de Nov 2025 travail de reconquete</t>
  </si>
  <si>
    <t>Uniprevoyance</t>
  </si>
  <si>
    <t>Catherine Lombard</t>
  </si>
  <si>
    <t>&lt;p&gt;Relance mail 12/02/2026 pour connaître stratégie d'investissement, focus PE non cotés souveraineté. Aucun retour ni activité récente. Piste créée pour équipe Ventes. Pas d'autres échanges, notes ou actions récentes. Prochaine étape : attente réponse prospect sur stratégie.&lt;/p&gt;</t>
  </si>
  <si>
    <t>FRR - Fonds de Réserve pour les Retraites</t>
  </si>
  <si>
    <t>Victoire Costa de Beauregard</t>
  </si>
  <si>
    <t>&lt;p&gt;Label TIBI requis, FRR relance PE avec forte demande France, fonds cibles 200M€ min, 70% France, emprise max 20%, ticket min 20-30M€, priorité aux relations existantes, peu de place pour nouveaux fonds, sélection fonds de fonds TIBI en cours, mandataires adresseront fonds &amp;lt;300M€, process en cours, info à venir.&lt;/p&gt;</t>
  </si>
  <si>
    <t>9 avril / Les mandataires adresseront les fonds de moins de 300 M€ plutôt.   Le processus est encore en cours, nous communiquerons lorsqu’il sera achevé.</t>
  </si>
  <si>
    <t>Holding</t>
  </si>
  <si>
    <t>Thierry Jullien</t>
  </si>
  <si>
    <t>&lt;p&gt;Relance post-rencontre mars Paris Hôtel de Bourrienne, intérêt confirmé pour Straton (capital développement défense). Proposée mise en relation avec gérant Thomas Schmitz. RDV présentation prévu, échanges avec ctj@tlcfinance.fr et emichaud@findecordoba.lu. Ticket fait par Financière de Cordoba sur Capital Croissance 2.&lt;/p&gt;</t>
  </si>
  <si>
    <t>rdv de présentation (contact de CB), rdv fait. Doit discerner / Nous revient.</t>
  </si>
  <si>
    <t>AGAMI Family Office</t>
  </si>
  <si>
    <t>François Simon</t>
  </si>
  <si>
    <t>&lt;p&gt;Intérêt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notables.&lt;/p&gt;</t>
  </si>
  <si>
    <t>Fonds de fonds</t>
  </si>
  <si>
    <t>BNP PARIBAS DEVELOPPEMENT</t>
  </si>
  <si>
    <t>Laurence Pinta</t>
  </si>
  <si>
    <t>&lt;p&gt;Nouvelle piste créée pour équipe Ventes. RDV 1 en cours de calage, pas encore d'autres actions ou retours du prospect. Prochaines étapes : fixer le RDV et obtenir premiers échanges. Aucun retour prospect sur fonds présentés à ce stade. Pas d'autres activités ou conclusions notables.&lt;/p&gt;</t>
  </si>
  <si>
    <t>rdv1 callé le 19 Mai</t>
  </si>
  <si>
    <t>Intérêt à qualifier</t>
  </si>
  <si>
    <t>BPCE SA</t>
  </si>
  <si>
    <t>Maxime Pech</t>
  </si>
  <si>
    <t>&lt;p&gt;RDV physique 19/02 : discussion marché Luxembourgeois, question sur référencement fonds, sujet clos (taux d'emprise, taille fonds/ticket). Déjeuner 25/03 planifié. Prochaine étape : reprendre RDV pour planifier 2027. Pas de retour prospect sur fonds, pas de mention de comité.&lt;/p&gt;</t>
  </si>
  <si>
    <t>Déjeuner 25 mars 2026 / Pistes à explorer MIROVA et NATIXIS Wealth</t>
  </si>
  <si>
    <t>ARKEA CAPITAL</t>
  </si>
  <si>
    <t>Pierre-Emmanuel Boulic</t>
  </si>
  <si>
    <t>&lt;p&gt;Thierry Vallet rejoint ARKEA Capital avec Pierre-Emmanuel Boulic, relation positive, question récurrente sur le responsable ESG. Nouvelle piste créée pour équipe Ventes. Pas d'autres actions ou retours prospect, ni prochaines étapes identifiées à ce stade.&lt;/p&gt;</t>
  </si>
  <si>
    <t>Multi Family Office</t>
  </si>
  <si>
    <t>Arwen MFO</t>
  </si>
  <si>
    <t>Gwendal Garrigue</t>
  </si>
  <si>
    <t>&lt;p&gt;09/02 point PTF C2 avec Thomas. 20/04 échange, proposition de rencontre 26 ou 29/04, FO intéressés par stratégie Défense. 28/04 Romain propose rdv à la demande d'Edouard. Prochaine étape : fixer rdv. Feedback positif sur l'intérêt des FO pour la stratégie présentée.&lt;/p&gt;</t>
  </si>
  <si>
    <t>SOLIDARM-MUTUELLE SOCIALE DES FORCES ARMEES</t>
  </si>
  <si>
    <t>Jean-François Furet-Coste</t>
  </si>
  <si>
    <t>&lt;p&gt;Offre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planifiée.&lt;/p&gt;</t>
  </si>
  <si>
    <t>soirée ULTRAOPS &lt;&gt; presence de Marc Leclere avec La nouvelle DG de SOLIDARM Marie Chabaud</t>
  </si>
  <si>
    <t>Picket Wealth</t>
  </si>
  <si>
    <t>Karine Wilkinson</t>
  </si>
  <si>
    <t>&lt;p&gt;05/02/2026&amp;nbsp;: Actus et ak en cours, client potentiellement intéressé, attente confirmation pour fixer rencontre avec Charles. Lead créé pour équipe Ventes, tentative d'enrichissement impossible (email non valide). Prochaine étape&amp;nbsp;: retour client pour RDV.&lt;/p&gt;</t>
  </si>
  <si>
    <t>MUTUELLE EPARGNE RETRAITE - MER</t>
  </si>
  <si>
    <t>Patrice Gallou</t>
  </si>
  <si>
    <t>&lt;p&gt;Mail envoyé au nouveau DG Patrick Gallou le 1/04. RDV physique réalisé, échanges sur RMC, CARAC, LAFRANCEMUTUALISTE. Pas de retour explicite du prospect sur les fonds. Prochaine étape non précisée, pas d'activité programmée à ce jour. Dernière action le 22/04, suivi à relancer.&lt;/p&gt;</t>
  </si>
  <si>
    <t>Mail posté au nouveau DG / Patrick Gallou / service-gestion@mutuelleepargneretraite.fr&gt;”pour Romain Andrieu</t>
  </si>
  <si>
    <t>Abeille Assurances</t>
  </si>
  <si>
    <t>Nicolas Dechaux</t>
  </si>
  <si>
    <t>&lt;p&gt;Déj.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02/04).&lt;/p&gt;</t>
  </si>
  <si>
    <t>envoyer les detals du closing tech + Deck à jour, Déjeuner S. Goirand / Revue d'actualité sur STRATON</t>
  </si>
  <si>
    <t>NBIM - NORGES BANK INVESTMENT MANAGER</t>
  </si>
  <si>
    <t>Kenza IDMAHAMMA</t>
  </si>
  <si>
    <t>&lt;p&gt;RDV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maintenir.&lt;/p&gt;</t>
  </si>
  <si>
    <t>10</t>
  </si>
  <si>
    <t>MONCEAU GENERALE ASSURANCES</t>
  </si>
  <si>
    <t>Jérome Sennelier</t>
  </si>
  <si>
    <t>&lt;p&gt;Aucune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récentes.&lt;/p&gt;</t>
  </si>
  <si>
    <t>BANQUE POPULAIRE AUVERGNE RHONE ALPES</t>
  </si>
  <si>
    <t>Florian Raoul</t>
  </si>
  <si>
    <t>&lt;p&gt;Visio réalisée le 20/04 sur offre Audacia 150 0 B Ter. Nouvelle piste créée le 13/04 pour équipe Ventes. Prochaine étape : relance avant le 27/04 (activité "Echange - Mail - Document envoyé" à faire, note : XXXX). Pas de retour prospect sur fonds à ce stade.&lt;/p&gt;</t>
  </si>
  <si>
    <t>À relancer</t>
  </si>
  <si>
    <t>Société de gestion</t>
  </si>
  <si>
    <t>MONTEFIORE</t>
  </si>
  <si>
    <t>Sébastien Barbe</t>
  </si>
  <si>
    <t>&lt;p&gt;Nouvelle piste créée pour équipe Ventes. Aucun échange, activité ou retour prospect enregistré à ce jour. Pas d'action menée ni de prochaine étape planifiée. Aucun retour sur fonds présentés, aucune conclusion ou avis prospect disponible. Suivi inexistant à ce stade.&lt;/p&gt;</t>
  </si>
  <si>
    <t>Caisse d'Épargne Normandie</t>
  </si>
  <si>
    <t>Jacob HOLAY</t>
  </si>
  <si>
    <t>&lt;p&gt;RDV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stade.&lt;/p&gt;</t>
  </si>
  <si>
    <t>Echange tel avec Aurélien Valet &lt;&gt; rdv mandataire acté. Propostion dans un mois</t>
  </si>
  <si>
    <t>OCIRP</t>
  </si>
  <si>
    <t>Julien Guernigon</t>
  </si>
  <si>
    <t>&lt;p&gt;Rencontre Choiseul 40 Défense le 21/04/2026. Présentation OCIRP : portefeuille 2,7 Md€, 25% actions, forte orientation obligations, progression non-coté/illiquide. Pas de fonds Article 9. Flux net dispo 84 M€. Pas d'activité future planifiée mentionnée. Nouvelle piste créée équipe Ventes.&lt;/p&gt;</t>
  </si>
  <si>
    <t>CAMPOY-HENEAUX LTD</t>
  </si>
  <si>
    <t>Thierry Campoy-Heneaux</t>
  </si>
  <si>
    <t>&lt;p&gt;RDV physique avec Thierry Campoy-Heneaux, focus FO/MFO, pas d'intérêt VC, revoir en 2027. Activités : gestion patrimoniale, Champagne, Immo, MedTech, Pharmacie. Feedback prospect : préfère solutions sur-mesure, pas de co-invest VC, AUDACIA non, Straton ok. Relance prévue l'an prochain.&lt;/p&gt;</t>
  </si>
  <si>
    <t>Pas d'intérêt sur le VC / revoir l'année prochaine</t>
  </si>
  <si>
    <t>CNP Assurances</t>
  </si>
  <si>
    <t>Raphaël BONTE</t>
  </si>
  <si>
    <t>Amaury Daignes</t>
  </si>
  <si>
    <t>&lt;p&gt;Présentation Expansion/Straton, bon contact, prospect a investi 15M€ dans CICLAD, cible 15M€ dans STRATON mais refuse (trop petit, mauvais souvenir fonds PME). Intérêt thématique Expansion mais jugé trop niche. Prochaine action : prendre des nouvelles. Pas d'autres activités récentes.&lt;/p&gt;</t>
  </si>
  <si>
    <t>prendre des nouvelles</t>
  </si>
  <si>
    <t>SAPIANS</t>
  </si>
  <si>
    <t>Etienne de Saint-germain</t>
  </si>
  <si>
    <t>&lt;p&gt;Nouvelle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27/03.&lt;/p&gt;</t>
  </si>
  <si>
    <t>27 mars / MasterClass 150 0 B Ter dont Straton</t>
  </si>
  <si>
    <t>&lt;p&gt;Nouvelle piste créée pour équipe Ventes. 27/04 : demande entrante, un client souhaite investir dans STRATON. Pas d'autres échanges ou actions récentes identifiés. Prochaines étapes à définir, aucun retour prospect ni suivi complémentaire enregistré à ce stade.&lt;/p&gt;</t>
  </si>
  <si>
    <t>Thierry Sanson</t>
  </si>
  <si>
    <t>&lt;p&gt;RDV physique 150 0 Ber &amp;lt;&amp;gt; straton et Procession réalisé, prospect n'a pas manifesté d'intérêt pour le VC. Aucun retour positif ni suite prévue à ce stade. Dernier échange le 17/04/2026. Pas d'autres activités ou prochaines étapes identifiées dans le suivi récent.&lt;/p&gt;</t>
  </si>
  <si>
    <t>action de relance Pauline Cavalié pour Procession; reste Straton</t>
  </si>
  <si>
    <t>NEUFLIZE OBC</t>
  </si>
  <si>
    <t>Laetitia Revereau</t>
  </si>
  <si>
    <t>&lt;p&gt;Lead LG, échanges mails 20/04/2026 sur financement PME BITD, mention journée Cahiers de Bourrienne 9/04, intérêt prospect pour sujet Défense, attente de créneaux pour échange. Dernière activité prévue&amp;nbsp;: relancer sur Straton (échéance 29/11/2025). Peu d'infos détaillées sur prospect.&lt;/p&gt;</t>
  </si>
  <si>
    <t>Belles Rives CGP</t>
  </si>
  <si>
    <t>Franck Girard</t>
  </si>
  <si>
    <t>&lt;p&gt;Piste créée pour équipe Ventes. 26/02/2026 : call pour signature convention distribution fonds. En attente KYC distributeur. Enrichissement lead impossible (email non valide). Aucune activité planifiée ou réalisée depuis, prochaine étape : finaliser KYC pour avancer.&lt;/p&gt;</t>
  </si>
  <si>
    <t>ALLIANZ FRANCE</t>
  </si>
  <si>
    <t>Martine LEGENDRE KALOUSTIAN</t>
  </si>
  <si>
    <t>&lt;p&gt;Contact établi avec remplaçant de Martine via julien.vincent@allianz.fr. PE reste à Paris, autres flux vers Allemagne. Investissements bloqués, Venture trop élevé, focus TIBI 2. Allianz réduit PE, privilégie dette privée, IARD, ETF. Prochaine étape : suivi avec Thomas Collet. Deadline 23/04/2026.&lt;/p&gt;</t>
  </si>
  <si>
    <t>Echange de mail avec Julien Vincent / Senior Analust</t>
  </si>
  <si>
    <t>OPTIMUM Vie</t>
  </si>
  <si>
    <t>Pierre Bourdeau</t>
  </si>
  <si>
    <t>&lt;p&gt;Aucune activité menée sur le prospect. Un nouvelle piste a été créée pour l'équipe "Ventes". Aucun échange, action ou retour du prospect enregistré à ce jour. Pas de prochaine étape identifiée ni de suivi en cours.&lt;/p&gt;</t>
  </si>
  <si>
    <t>YIELCO Investments AG</t>
  </si>
  <si>
    <t>Manuel Deimel</t>
  </si>
  <si>
    <t>&lt;p&gt;Mail Romain : Présentation fonds Audacia FPCI Défense, cible 100M€ (hard cap 150M€), maturité 10 ans, 8 secteurs industriels hors munitions/armes controversées, 15 PME visées (CA 5-50M€), minoritaire, France, IRR cible 12,5%, 10M€ engagés, closing technique semaine pro, closing final 30/09/26. Nouvelle piste créée équipe Ventes.&lt;/p&gt;</t>
  </si>
  <si>
    <t>FO Wilmouth</t>
  </si>
  <si>
    <t>Alain Wilmouth</t>
  </si>
  <si>
    <t>&lt;p&gt;Alain souhaite investir 5-10M€ via Audacia, intérêt fort pour Newspace/Straton, possible fonds dédié avec son frère (vente 40M€ d’actions 2CRSI, besoin 150M€), rdv juin avec avocat puis financier. Alain peut mobiliser d’autres investisseurs. Projet rachat boîte drones, Audacia intéressé. Prochaine étape : appel d’Alain d’ici fin mai.&lt;/p&gt;</t>
  </si>
  <si>
    <t>attendre l'appel du juriste d'Alain. / Structuration poche de 40Me</t>
  </si>
  <si>
    <t>BRED</t>
  </si>
  <si>
    <t>Olivier FOUCHET</t>
  </si>
  <si>
    <t>&lt;p&gt;Nouvelle piste créée pour équipe Ventes par Romain Andrieu le 03/04/2026. Aucun échange, activité, ni suivi enregistré à ce jour. Pas d'interaction ni d'action menée avec le prospect. Prochaines étapes non définies faute d'activité ou de retour identifié.&lt;/p&gt;</t>
  </si>
  <si>
    <t>Reprise de contact / mail posté</t>
  </si>
  <si>
    <t>Multi-gérant</t>
  </si>
  <si>
    <t>ADAXTRA CAPITAL</t>
  </si>
  <si>
    <t>Xavier Goblot</t>
  </si>
  <si>
    <t>&lt;p&gt;Nouvelle piste créée pour équipe Ventes. Aucun échange, action ou retour prospect enregistré à ce jour. Pas d'activité, de suivi ou de prochaine étape identifiée. Aucun retour ni conclusion prospect sur les fonds présentés. Aucun contexte de création détaillé mentionné.&lt;/p&gt;</t>
  </si>
  <si>
    <t>Remplace francois.parmentier</t>
  </si>
  <si>
    <t>Corporate</t>
  </si>
  <si>
    <t>Le Damantin</t>
  </si>
  <si>
    <t>Anne Foucher-Mari</t>
  </si>
  <si>
    <t>&lt;p&gt;Lead créé pour équipe Ventes. Contact initial TS, relance par TS le 27 avril, attente retour. Dernière action : relance faite, pas de réponse à ce jour. Pas de retour prospect sur fonds présentés, aucune conclusion notée. Prochaine étape : attendre retour suite relance récente.&lt;/p&gt;</t>
  </si>
  <si>
    <t>rdv en 2027 / pas d'argent de dispo du fait de travaux</t>
  </si>
  <si>
    <t>Worms Holding</t>
  </si>
  <si>
    <t>Christian Burckel</t>
  </si>
  <si>
    <t>&lt;p&gt;Contact prospect Romain Andrieu, échange mail 21/04, présentation fonds transmise en interne, pas d'intérêt personnel mais relais dans l'organisation (présence PE). Nouvelle piste créée pour équipe Ventes. Prochaine étape : suivi réponse interne, deadline activité 30/04, pas d'autres actions notées.&lt;/p&gt;</t>
  </si>
  <si>
    <t>Echange par mail / transfert aux activités fonds de fonds</t>
  </si>
  <si>
    <t>MUTUELLE INTERIALE</t>
  </si>
  <si>
    <t>Jean-François Tilquin</t>
  </si>
  <si>
    <t>&lt;p&gt;Relance faite, attente retour pour caler déjeuner début février, relancer si pas de nouvelle. Dossier soumis en interne le 18/11/2025, DG/élus attendent initiative publique défense, pas de capacité 2025 ni Q1 2026, CA doute intérêt P-E, préfère fonds dettes, renvoi décision en 2026. Suivi à maintenir.&lt;/p&gt;</t>
  </si>
  <si>
    <t>relance faite. A suivre</t>
  </si>
  <si>
    <t>Bred Banque Privée</t>
  </si>
  <si>
    <t>Antoine Beclin</t>
  </si>
  <si>
    <t>&lt;p&gt;OdP a relancé une famille pour leverage bancaire, question sur fonds AUDACIA. RDV apéro Fort de France 23/02, process référencement BRED, chasse gardée Guyane/FdF, peu de concurrence gestion privée. Prochaine étape : présenter formellement fonds Straton/Géodesic. Feedback sur financement Dorian Lagarnaudie.&lt;/p&gt;</t>
  </si>
  <si>
    <t>Argentum</t>
  </si>
  <si>
    <t>Jorgen</t>
  </si>
  <si>
    <t>&lt;p&gt;Contact initié suite à échange à Amsterdam 0100 avec Jorgen sur fonds défense France (BITD). Présentation du fonds Audacia : cible 100M€, maturité 10 ans, 15 PME visées, IRR cible 12,5%. 10M€ déjà engagés, closing technique prévu semaine prochaine, closing principal 30/09/2026. Attente retour d'intérêt.&lt;/p&gt;</t>
  </si>
  <si>
    <t>BATIPART IMMO VALORISATION</t>
  </si>
  <si>
    <t>Quentin Deleruyelle</t>
  </si>
  <si>
    <t>&lt;p&gt;Mail 20/04 : relance sur sujet Défense, retour sur l'événement du 9/04 (financement PME BITD), intérêt exprimé pour échanger, demande de créneaux. Nouvelle piste créée pour équipe Ventes. Pas d'autres activités ou retours prospect notés. Prochaine étape : organiser un échange.&lt;/p&gt;</t>
  </si>
  <si>
    <t>MEROUR</t>
  </si>
  <si>
    <t>Merour</t>
  </si>
  <si>
    <t>&lt;p&gt;Mail prospect reçu 20/04/2026 : retour sur journée du 9/04 (financement PME BITD), intérêt exprimé pour échanger sur sujet Défense, demande de créneaux pour RDV. Nouvelle piste créée pour équipe Ventes. Aucun retour prospect sur fonds présentés, pas d'activité complémentaire enregistrée à ce jour.&lt;/p&gt;</t>
  </si>
  <si>
    <t>MUTUELLE DE POITIERS ASSURANCES</t>
  </si>
  <si>
    <t>Nicolas Guerin</t>
  </si>
  <si>
    <t>&lt;p&gt;Comité Straton 30/03 : fonds jugé trop petit, besoin de voir la dynamique, possible rediscussion. KO comité 27/03, tenir informé de la levée, pas de seuil spécifique. Derniers échanges sans évolution majeure. Prochaine étape : suivi levée, pas de relance immédiate prévue, deadline 06/07/2026.&lt;/p&gt;</t>
  </si>
  <si>
    <t>KO comité du 27 mars /Tenir informé de la levées (pas de seuil de levée specifique)</t>
  </si>
  <si>
    <t>NOVOFERM FRANCE</t>
  </si>
  <si>
    <t>Xavier Terrien</t>
  </si>
  <si>
    <t>&lt;p&gt;Mail reçu 20/04 de Romain : relance sur l'événement du 9/04 (financement PME BITD), mention d'un commentaire LinkedIn, intérêt exprimé pour échanger sur le sujet Défense, demande de créneaux pour RDV. Aucune activité ou action supplémentaire enregistrée à ce stade.&lt;/p&gt;</t>
  </si>
  <si>
    <t>INHESTIA</t>
  </si>
  <si>
    <t>Benoit COINTE</t>
  </si>
  <si>
    <t>&lt;p&gt;RDV 24/03 Toulouse&amp;nbsp;: reporting fonds Constellation 3, clients appétents PME/non coté, philanthropie (éducation/environnement) très valorisée, réflexion sur réinvestissement C4, focus dette/co-invest, phase d’investissement clients lancée avril/mai. Dernier contact 29/04&amp;nbsp;: prise de nouvelles, envoi article CB JDD.&lt;/p&gt;</t>
  </si>
  <si>
    <t>Societe Generale Private Banking</t>
  </si>
  <si>
    <t>Julie Nadal</t>
  </si>
  <si>
    <t>&lt;p&gt;Projet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stade.&lt;/p&gt;</t>
  </si>
  <si>
    <t>NORMANDIE PARTICIPATIONS</t>
  </si>
  <si>
    <t>Franck MURRAY</t>
  </si>
  <si>
    <t>&lt;p&gt;RDV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rassurant.&lt;/p&gt;</t>
  </si>
  <si>
    <t>Co-invest en Région Normandie</t>
  </si>
  <si>
    <t>RSC SAS Famille Derville</t>
  </si>
  <si>
    <t>Famille Derville</t>
  </si>
  <si>
    <t>&lt;p&gt;Déjeuner 26/03 avec Famille Derville, Charles, Olivier. Remerciements envoyés. Intérêt exprimé pour Straton et le spatial. Pas de retour négatif sur Quantonation II. Prochaine étape : approfondir Straton/spatial avec le prospect. Aucun refus ou blocage mentionné à ce stade.&lt;/p&gt;</t>
  </si>
  <si>
    <t>Déjeuner Bourrienne CB, OPNF, RSC SAS avec la Famille Derville</t>
  </si>
  <si>
    <t>ALPHIDES CONSEIL</t>
  </si>
  <si>
    <t>Fabien Guedes</t>
  </si>
  <si>
    <t>&lt;p&gt;Piste créée équipe Ventes. Tentative enrichissement lead échouée (email invalide). Échange sur fonds deeptech et remploi clients, pas de retour prospect ni prochaines étapes identifiées. Aucune activité complémentaire, pas de conclusion prospect sur fonds présentés.&lt;/p&gt;</t>
  </si>
  <si>
    <t>ARKEA AM FUNDS</t>
  </si>
  <si>
    <t>Emmanuelle Bonale</t>
  </si>
  <si>
    <t>&lt;p&gt;Nouvelle piste créée pour équipe Ventes par Romain Andrieu. Aucun échange, action ou retour prospect enregistré à ce jour. Pas d'activité, pas de suivi, aucune prochaine étape planifiée. Aucun retour ni conclusion prospect sur les fonds présentés. Aucun contexte de création détaillé mentionné.&lt;/p&gt;</t>
  </si>
  <si>
    <t>Présentation de Straton / deck envoyé à Xavier Chapon</t>
  </si>
  <si>
    <t>Caroline Thiebaud</t>
  </si>
  <si>
    <t>&lt;p&gt;Nouvelle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jour.&lt;/p&gt;</t>
  </si>
  <si>
    <t>MIF Mutuelle d'Ivry</t>
  </si>
  <si>
    <t>Walid Sanna</t>
  </si>
  <si>
    <t>&lt;p&gt;13/01/2026 : deck envoyé, à alimenter en 2026. Lead créé pour équipe Ventes. Tentative d'enrichissement échouée (email non valide). Aucune activité ni échange prospect identifié depuis, pas de retour ni prochaine étape précisée. Suivi à relancer ou compléter.&lt;/p&gt;</t>
  </si>
  <si>
    <t>Maud Huret Norman K</t>
  </si>
  <si>
    <t>Maud Huret</t>
  </si>
  <si>
    <t>&lt;p&gt;Nouvelle piste créée pour équipe Ventes. Client évoque remploi possible Straton et géodésie, montant 450K. Pas d'autres actions ou retours prospect mentionnés. Prochaines étapes non précisées, aucune activité future planifiée à ce stade.&lt;/p&gt;</t>
  </si>
  <si>
    <t>Caisse de Retraite du Personnel Naviguant (CRPN)</t>
  </si>
  <si>
    <t>Arthur Harmel</t>
  </si>
  <si>
    <t>&lt;p&gt;Relances suite départ O. Groleau, contact établi avec successeur D. Tomi. Plusieurs relances mail en janv. 2026. RDV physique 24/03/2026 avec JY Mary : refus sur fonds non cotés, allocations PE saturées, aucun dossier examiné à ce stade. Attente évolution situation, pas d'action prévue.&lt;/p&gt;</t>
  </si>
  <si>
    <t>allocations PE sont saturées. A ce stade, nous n'examinons aucun dossier.</t>
  </si>
  <si>
    <t>Conseil</t>
  </si>
  <si>
    <t>DESJARDINS (CC DESJARDINS)</t>
  </si>
  <si>
    <t>Mathieu Gouin</t>
  </si>
  <si>
    <t>&lt;p&gt;Multiples RDV et relances avec Pierre Tessier, Louis Potvin, Danielle Filistin, Georges Mitchell. Désintérêt Desjardins pour fonds hors Québec, ouverture possible si gérant local. Mandat SIPAREX gagné, suivi sur deeptech/défense. Position Desjardins évolutive, attente retour. Prochaines étapes : échange à finaliser, relance prévue fin avril.&lt;/p&gt;</t>
  </si>
  <si>
    <t>à relancer, evolution sur la thèse Défense &lt;&gt; avec Pierre Tessier et Louis Potvin</t>
  </si>
  <si>
    <t>Olivia Laplane</t>
  </si>
  <si>
    <t>&lt;p&gt;RDV physique 30/01/26 avec Olivia Laplane (BPCE SA) : animation CE/BP BITD, référent défense par caisse, prise de parole prévue mars 2026. Prospect connectée au webinar Straton, montée en gamme validée, cible témoignage Straton 9 avril. En attente de commande. Prochaine action : pousser offre retail HNWIO.&lt;/p&gt;</t>
  </si>
  <si>
    <t>Pierre Tessier</t>
  </si>
  <si>
    <t>&lt;p&gt;RDV physique réalisé, position du prospect en évolution mais non finalisée. Discussion à poursuivre une fois la décision communiquée. Louis Potvin ajouté en copie pour suivi. Prochaine étape : caler un RDV de suivi avec Pierre Teisser. Pas de retour définitif du prospect sur les fonds à ce stade.&lt;/p&gt;</t>
  </si>
  <si>
    <t>CAISSE PREVOYANCE ET RETRAITE PERS FERROVIAIRE</t>
  </si>
  <si>
    <t>Pierre Robin</t>
  </si>
  <si>
    <t>&lt;p&gt;Aucune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ferroviaires.&lt;/p&gt;</t>
  </si>
  <si>
    <t>FONDATION FRANCOIS SOMMER</t>
  </si>
  <si>
    <t>Alban de Loisy</t>
  </si>
  <si>
    <t>&lt;p&gt;Déjeuner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Brevet.&lt;/p&gt;</t>
  </si>
  <si>
    <t>STRATON &lt;&gt; reprendre rdv avec Thierry Brevet</t>
  </si>
  <si>
    <t>Clément Police</t>
  </si>
  <si>
    <t>&lt;p&gt;Piste créée équipe Ventes. Pas d'enrichissement société via email. RDV physique prévu fin d'année après vente 300 ha à Reims (apple entrant STRATON). Aucun retour prospect sur fonds présenté. Prochaine étape : RDV 2 fin d'année. Pas d'autres actions ou retours notables à date.&lt;/p&gt;</t>
  </si>
  <si>
    <t>apple entrant STRATON / RDV 2 fin d'année suite à la vente des 300 hectares à Reims</t>
  </si>
  <si>
    <t>Malakoff Humanis</t>
  </si>
  <si>
    <t>Boris Jacquet</t>
  </si>
  <si>
    <t>&lt;p&gt;RDV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2026.&lt;/p&gt;</t>
  </si>
  <si>
    <t>CAISSE D'EPARGNE LOIRE CENTRE</t>
  </si>
  <si>
    <t>Isabelle Jallet</t>
  </si>
  <si>
    <t>&lt;p&gt;05/01/25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défense.&lt;/p&gt;</t>
  </si>
  <si>
    <t>Jérémie Lepissier</t>
  </si>
  <si>
    <t>&lt;p&gt;Intérêt initial pour diversification/remploi (ex-CEO SDG Matjys). Café le 24/02, ticket jugé trop important par prospect. Dernier échange : prospect se consacre à l'achat de son appartement, projet mis en pause. Prochaine action : prise de news prévue le 04/01/2027.&lt;/p&gt;</t>
  </si>
  <si>
    <t>Prise de news</t>
  </si>
  <si>
    <t>LCL</t>
  </si>
  <si>
    <t>Louis Saumureau</t>
  </si>
  <si>
    <t>&lt;p&gt;Mail prospect 20/04 : intérêt pour sujet Défense, proposition d'échange suite à publication LinkedIn, demande de créneaux. RDV physique planifié le 29/04. Dernier échange confirmé le 29/04. Prochaine étape : tenir le RDV et retour sur financement PME BITD. Pas de conclusion prospect sur fonds à ce stade.&lt;/p&gt;</t>
  </si>
  <si>
    <t>Nous présente à la nouvelle équipe fonds de fonds non coté</t>
  </si>
  <si>
    <t>SYNAPSIS PATRIMOINE</t>
  </si>
  <si>
    <t>Guillaume Duport</t>
  </si>
  <si>
    <t>&lt;p&gt;Café Toulouse 24/03 : échanges sur fonds Audacia, intérêt pour Défense, questions sur valos/dealflow. Mise en contact avec Métagram/Patrinum. Relances mails 21/04 et 29/04 : pas d'intérêt client à date, recontact si besoin. Dernière action : relance prévue 19/05. Pas de VC pour l’instant.&lt;/p&gt;</t>
  </si>
  <si>
    <t>Pascal Teurquetil</t>
  </si>
  <si>
    <t>&lt;p&gt;Nouvelle piste créée équipe Ventes. Présentation confidentielle All Strat reçue via GP New Alpha, objectif 1er closing 100 M€ été, Crédit Mutuel La Française aurait engagé 30 M€. Pas de données société via enrichissement email. Aucune activité future planifiée ni retour prospect sur fonds.&lt;/p&gt;</t>
  </si>
  <si>
    <t>Boursorama Gestion Privée</t>
  </si>
  <si>
    <t>Jean Bay</t>
  </si>
  <si>
    <t>&lt;p&gt;05/02/2026: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planifier.&lt;/p&gt;</t>
  </si>
  <si>
    <t>Olivier NANECOU</t>
  </si>
  <si>
    <t>OLIVIER NANECOU</t>
  </si>
  <si>
    <t>&lt;p&gt;Nouvelle piste créée pour équipe Ventes. Aucun échange, appel ou retour prospect enregistré. Dernière activité prévue : relance à effectuer avant le 30/03/2026, non réalisée à ce jour. Aucune conclusion ni retour prospect sur les fonds présentés. Prochaine étape : relancer le contact.&lt;/p&gt;</t>
  </si>
  <si>
    <t>À Relancer</t>
  </si>
  <si>
    <t>Fiblac</t>
  </si>
  <si>
    <t>Hugo de Gérauvillier</t>
  </si>
  <si>
    <t>&lt;p&gt;Point sur fonds deeptech, docs à envoyer pour alimenter. Enrichissement lead impossible (email non valide). Nouvelle piste créée pour équipe Ventes. Pas d'autres activités ni retours prospects. Prochaine étape : envoi de documentation, attente retour sur fonds présentés.&lt;/p&gt;</t>
  </si>
  <si>
    <t>CHEVAL BLANC PATRIMOINE</t>
  </si>
  <si>
    <t>Nam Delpierre</t>
  </si>
  <si>
    <t>&lt;p&gt;25/02/2026 café avec Directeur Cheval Blanc Patrimoine CGP, présentation offre globale, prospect intéressé mais pas de suite, préfère fonds de dette privés, réticent sur fonds fiscaux (mauvaise réputation). Call vœux 2026, collecte FCPI Wind évoquée. Pas d'action future prévue à ce stade.&lt;/p&gt;</t>
  </si>
  <si>
    <t>Association</t>
  </si>
  <si>
    <t>CAVP Caisse d'Assurance Vieillesse des Pharmaciens</t>
  </si>
  <si>
    <t>Alain PESTRE</t>
  </si>
  <si>
    <t>&lt;p&gt;Rdv en cours de calage avec CAVP/Arnaud le Romain pour Idico Forteresse (dette défense, co-invest retraite). Gros clients français à l'étranger. Fonds min 100M€, ticket min 10M€. Gestion collégiale, 3 décideurs. Relance faite, attente retour pour fixer rdv. Pas de feedback prospect sur fonds.&lt;/p&gt;</t>
  </si>
  <si>
    <t>relance faite &lt;&gt; en attente du retour.</t>
  </si>
  <si>
    <t>Safra</t>
  </si>
  <si>
    <t>Hugo Belliard</t>
  </si>
  <si>
    <t>&lt;p&gt;03/02/2026: Point offre remploi. 28/01: Préparation petit déjeuner sur fonds remploi et deeptech. Enrichissement lead impossible (email invalide). Nouvelle piste créée équipe Ventes. Prochaine étape: organiser petit déjeuner thématique. Pas d'autres actions ou retours prospects notés.&lt;/p&gt;</t>
  </si>
  <si>
    <t>OUTMATCH INVEST</t>
  </si>
  <si>
    <t>Thomas Sanson</t>
  </si>
  <si>
    <t>&lt;p&gt;Intérêt souverain noté le 28/01, création piste pour équipe Ventes. Tentative d'enrichissement lead échouée (email invalide). Aucune activité ou action supplémentaire enregistrée, pas de prochaine étape identifiée à ce jour.&lt;/p&gt;</t>
  </si>
  <si>
    <t>M. et Mme Picchioli</t>
  </si>
  <si>
    <t>&lt;p&gt;RDV 02/02/2026 CB, EG, CP pour investir 400K tréso. Visio terminée, décision d'investir évoquée. Relance et proposition RDV gérant pour diversification sur Straton le 30/03/2026. Pas de retour prospect sur fonds présentés. Prochaines étapes : attendre réponse à la relance RDV gérant.&lt;/p&gt;</t>
  </si>
  <si>
    <t>Marie de Vaugelas</t>
  </si>
  <si>
    <t>&lt;p&gt;Aucune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prospect.&lt;/p&gt;</t>
  </si>
  <si>
    <t>UNOFI</t>
  </si>
  <si>
    <t>Patrick BOUCHINDOME</t>
  </si>
  <si>
    <t>&lt;p&gt;RDV 12/02/26 CRR Florence Dourdet&amp;nbsp;: UNOFI n’investit qu’en immobilier direct via SCPI Notapierre et SCI Unofimmo, focus bureaux, pas de fonds tiers. Pas d’enveloppe non-coté pour 2026, veille suspendue. Relance prévue fin septembre pour perspectives 2027. Ouverture à présentation d’opérations très core.&lt;/p&gt;</t>
  </si>
  <si>
    <t>A relancer en Septembre</t>
  </si>
  <si>
    <t>Ecureuil Protection Social</t>
  </si>
  <si>
    <t>Brice PIPINO</t>
  </si>
  <si>
    <t>&lt;p&gt;Aucune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disponibles.&lt;/p&gt;</t>
  </si>
  <si>
    <t>BANQUE POPULAIRE RIVE DE PARIS</t>
  </si>
  <si>
    <t>Mélanie salomez</t>
  </si>
  <si>
    <t>&lt;p&gt;RDV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2027.&lt;/p&gt;</t>
  </si>
  <si>
    <t>relancer en Juin 2026 pour instruction 2027</t>
  </si>
  <si>
    <t>Strat&amp;Fi Solutions</t>
  </si>
  <si>
    <t>Pauline de Sanderval</t>
  </si>
  <si>
    <t>&lt;p&gt;RDV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prospect.&lt;/p&gt;</t>
  </si>
  <si>
    <t>A relancer fin mars 2026 / proposition faite.</t>
  </si>
  <si>
    <t>SNCF</t>
  </si>
  <si>
    <t>Lucas RUDOLF</t>
  </si>
  <si>
    <t>&lt;p&gt;Mail présentation Straton envoyé 10/02, attribution initiale Romain Andrieu. Enrichissement lead impossible (email non valide). Nouvelle piste créée pour équipe Ventes. Pas d'activité ou retour prospect, prochaines étapes non définies. Suivi à relancer si besoin.&lt;/p&gt;</t>
  </si>
  <si>
    <t>MIFAssur</t>
  </si>
  <si>
    <t>Walid SANAA</t>
  </si>
  <si>
    <t>&lt;p&gt;RDV physique réalisé, prospect pas intéressé par le fonds coté à ce stade (taux jugés peu attractifs). Allocation en réflexion, suivi à alimenter. Relance prévue pour un déjeuner, pas de retour sur évolution depuis. Prochaine étape&amp;nbsp;: relancer pour déjeuner, pas d'autres actions planifiées.&lt;/p&gt;</t>
  </si>
  <si>
    <t>nouvelles dates de déjeuner proposées</t>
  </si>
  <si>
    <t>KL Conseil Notaires</t>
  </si>
  <si>
    <t>Caroline Emerique</t>
  </si>
  <si>
    <t>&lt;p&gt;Présentation fonds Audacia au prospect pour étudier un partenariat et envoi de dossiers. Aucun retour du prospect sur l'intérêt ou les suites à donner. Tentative d'enrichissement lead échouée (email invalide). Pas d'autres actions ou activités planifiées à ce jour.&lt;/p&gt;</t>
  </si>
  <si>
    <t>MIE Mutuelle Intergroupes d'Entraide</t>
  </si>
  <si>
    <t>Véronique Dubois</t>
  </si>
  <si>
    <t>&lt;p&gt;RDV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commission.&lt;/p&gt;</t>
  </si>
  <si>
    <t>Relance faite</t>
  </si>
  <si>
    <t>Cabinet d'avocats</t>
  </si>
  <si>
    <t>ARKWOOD</t>
  </si>
  <si>
    <t>Xavier GUERIN</t>
  </si>
  <si>
    <t>&lt;p&gt;25/02/26 relance Arkwood Avocats pour dossier remploi, contact tél. Présentation Audacia fonds remploi, prospect doit envoyer dossiers mais très occupé par études expatriation. 06/03/26 relance, prospect toujours très pris. Prochaine action&amp;nbsp;: prise de news, deadline 18/03/26.&lt;/p&gt;</t>
  </si>
  <si>
    <t>prise de news</t>
  </si>
  <si>
    <t xml:space="preserve">OFILAE </t>
  </si>
  <si>
    <t>Baptiste Maes</t>
  </si>
  <si>
    <t>&lt;p&gt;Café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invitation.&lt;/p&gt;</t>
  </si>
  <si>
    <t>CARCDSF CAISSE AUTONOME DE RETRAITE DES CHIRURGIENS DENTISTES ET DES SAGES-FEMMES</t>
  </si>
  <si>
    <t>Anne-Laure Baud</t>
  </si>
  <si>
    <t>&lt;p&gt;Aucune activité menée sur le prospect. Infos : CARCDSF, caisse de retraite obligatoire pour chirurgiens-dentistes en France, structure reconnue, gère la retraite de milliers de professionnels de santé. Nouvelle piste créée pour équipe Ventes, pas d'autres actions ou retours notés.&lt;/p&gt;</t>
  </si>
  <si>
    <t>TAITTINGER COMPAGNIE COMMERCIALE ET VITICOLE CHAMPENOISE</t>
  </si>
  <si>
    <t>Ane-Claire Taittinger</t>
  </si>
  <si>
    <t>&lt;p&gt;Nouvelle piste créée pour équipe Ventes. Tentative d'enrichissement lead sans données société trouvées (email générique). Dernier contact mentionné : "Conrtact TS". Aucune activité ou prochaine étape renseignée. Pas de retour prospect ni d'avis sur fonds présentés. Pas d'action future planifiée.&lt;/p&gt;</t>
  </si>
  <si>
    <t>IPECA</t>
  </si>
  <si>
    <t>David Boyer</t>
  </si>
  <si>
    <t>&lt;p&gt;21/01/2026 : Bleuet de France intéressé par BITD mais allocation PE non coté saturée, rien avant 2 ans sauf distribution. Ticket 5M€ habituel, déçus par intervention de l'État sur sorties fonds. Ouverts à fonds de dette défense si rendement &amp;gt;8%. Déjeuner prévu 17/04 avec David Boyer pour avancer.&lt;/p&gt;</t>
  </si>
  <si>
    <t>Déjeuner décalé au 5 mai avec David Boyer</t>
  </si>
  <si>
    <t>SPVM</t>
  </si>
  <si>
    <t>Aurélien Faure</t>
  </si>
  <si>
    <t>&lt;p&gt;Prospect SPVM suivi activement, échanges récents sur projet Straton. Dernière action : relance prévue avant comité janvier 2026 (échéance 29/11/2025). Activité : appel à passer. Lead créé pour équipe Ventes. Enrichissement email impossible. Prochaine étape : relancer sur Straton.&lt;/p&gt;</t>
  </si>
  <si>
    <t>COVEA FINANCE</t>
  </si>
  <si>
    <t>Olivier Leborgne</t>
  </si>
  <si>
    <t>&lt;p&gt;15M investis dans Weinberg, satisfaction sur la gestion mais inquiétude sur l'exit, intérêt pour la thèse européenne. COVEA : focus 2026 PE, 80% re-up, 20% nouvelles stratégies, arrêt des autres. Attente validation allocation PE Straton, ouverture possible sur le non coté. Prochaine étape : suivi validation allocation.&lt;/p&gt;</t>
  </si>
  <si>
    <t>ACOSS (anciennement URSSAF Caisse Nationale)</t>
  </si>
  <si>
    <t>Denis NEITER</t>
  </si>
  <si>
    <t>&lt;p&gt;Mail envoyé à jean-luc.vitre@acoss.fr pour Straton, Jean Luc Vitré identifié comme homme clef. RDV physique terminé, demande de rdv faite à Denis Neiter. Nouvelle piste créée pour équipe Ventes. Prochaine étape : suivi avec Jean Luc Vitré, attente retour suite mail du 21/04.&lt;/p&gt;</t>
  </si>
  <si>
    <t>Echange avec Jean-luc qui me pousse vers Yann Cotrel / demande de rdv faite</t>
  </si>
  <si>
    <t>SAINT OLIVE et Cie (BANQUE)</t>
  </si>
  <si>
    <t>François Permezel</t>
  </si>
  <si>
    <t>&lt;p&gt;Aucune activité ou échange significatif enregistré sur l'opportunité. Seule information : une nouvelle piste a été créée pour l'équipe Ventes, sans détail sur le contexte, les actions menées ou les prochaines étapes. Aucun retour ni avis prospect, aucun suivi ou action récente identifiée.&lt;/p&gt;</t>
  </si>
  <si>
    <t>BANQUE POPULAIRE GRAND OUEST</t>
  </si>
  <si>
    <t>Delphine KERAMBRUN</t>
  </si>
  <si>
    <t>&lt;p&gt;RDV physique et appel menés : Delphine Kerabuam couvre LCR, non coté traité par DGD Bruno Pain. Demande de RDV faite avec DGD. Relance effectuée, feedback : à relancer de nouveau. Prochaine étape : nouvelle relance à prévoir, attente retour DGD. Pas de conclusion prospect sur fonds à ce stade.&lt;/p&gt;</t>
  </si>
  <si>
    <t>A relancer de nouveau</t>
  </si>
  <si>
    <t>Mayo KABA</t>
  </si>
  <si>
    <t>&lt;p&gt;Aucune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stade.&lt;/p&gt;</t>
  </si>
  <si>
    <t>PREVOIR VIE GROUPE PREVOIR</t>
  </si>
  <si>
    <t>Laurent Degioanni</t>
  </si>
  <si>
    <t>&lt;p&gt;Aucune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planifiées.&lt;/p&gt;</t>
  </si>
  <si>
    <t>MEESCHAERT GESTION PRIVEE</t>
  </si>
  <si>
    <t>Nicolas Andrieu</t>
  </si>
  <si>
    <t>&lt;p&gt;Nouvelle piste créée pour équipe Ventes. Tentative d'enrichissement lead échouée (email invalide). Action prévue : organiser petit déjeuner avec clients. Aucune activité supplémentaire ni retour prospect sur fonds présentés. Prochaine étape : planification du rendez-vous.&lt;/p&gt;</t>
  </si>
  <si>
    <t>GICAT &lt;&gt; STRATON</t>
  </si>
  <si>
    <t>Hubert Raymond</t>
  </si>
  <si>
    <t>&lt;p&gt;RDV physique réalisé avec STRATON, discussion sur mécénat doctorant, conseil dealflow/fonds. OK financement Doctorat, introduction France Mutualiste. Aucune action de levée prévue. Pas de prochaines étapes identifiées à ce stade. Dernière activité 17/03/2026.&lt;/p&gt;</t>
  </si>
  <si>
    <t>Pas d'action de levées / RDV fait / OK financement Doctorat et intro France Mutualiste</t>
  </si>
  <si>
    <t>Mort / Plus rien à faire</t>
  </si>
  <si>
    <t>0</t>
  </si>
  <si>
    <t>CRPCEN (Caisse de Retraîte et de Prévoyance des Clercs et employés de Notaires)</t>
  </si>
  <si>
    <t>Bruno Vaillant</t>
  </si>
  <si>
    <t>&lt;p&gt;Aucune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France.&lt;/p&gt;</t>
  </si>
  <si>
    <t>MUTUELLE MEDICIS</t>
  </si>
  <si>
    <t>Michel Clerc</t>
  </si>
  <si>
    <t>&lt;p&gt;Aucune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récentes.&lt;/p&gt;</t>
  </si>
  <si>
    <t>MATMUT</t>
  </si>
  <si>
    <t>Nicolas GOMART</t>
  </si>
  <si>
    <t>&lt;p&gt;RDV physique demandé avec Aurélie Dumont (14/01), suivi par échanges, JFC est intervenu, puis renvoi vers Leovic Lecluse (13/04). Dernière action : transfert dossier à Leovic Lecluse. Prochaine étape : attente retour/prise en charge par Leovic Lecluse. Pas d'avis prospect sur fonds.&lt;/p&gt;</t>
  </si>
  <si>
    <t>UNEDIC</t>
  </si>
  <si>
    <t>Jun DUMOLARD</t>
  </si>
  <si>
    <t>&lt;p&gt;RDV physique UNEDIC &amp;lt;&amp;gt; IPEM le 06/02 : UNEDIC gère 60mds€ de dettes, focus liquidité, politiques d'investissement très monétaires, très peu d'intérêt pour PE, ouverture marginale sur fonds obligataires ESG. Pas d'activité ou de suivi supplémentaire identifié à ce jour.&lt;/p&gt;</t>
  </si>
  <si>
    <t>CAISSE D'EPARGNE ET DE PREVOYANCE HAUTS DE FRANCE</t>
  </si>
  <si>
    <t>Stéphanie Olié</t>
  </si>
  <si>
    <t>&lt;p&gt;Aucune activité ni échange significatif enregistré sur cette opportunité. Seule information : nouvelle piste créée pour l'équipe Ventes par Romain Andrieu. Aucun suivi, action ou retour prospect identifié à ce jour.&lt;/p&gt;</t>
  </si>
  <si>
    <t>CNAVPL -  Caisse nationale d’assurance vieillesse des professions libérales</t>
  </si>
  <si>
    <t>C Zinai</t>
  </si>
  <si>
    <t>&lt;p&gt;Relance effectuée le 14 avril, contact en cours. Dernier échange physique noté, suivi par une relance récente. Pas de retour prospect mentionné sur les fonds présentés. Prochaine étape : attendre retour suite à la relance. Pas d'autres actions ou conclusions prospect recensées à ce jour.&lt;/p&gt;</t>
  </si>
  <si>
    <t>à relancer</t>
  </si>
  <si>
    <t>ARKEA</t>
  </si>
  <si>
    <t>Sophie COULON-RENOUVEL</t>
  </si>
  <si>
    <t>&lt;p&gt;Multiples échanges ARKEA/AUDACIA, focus fonds de fonds, STRATON/SLP EXPANSION poussés. Rdv avec Sophie Coulon-Renouvel, Olivia Inizan impliquée, mandat Pierre-Emmanuel Boulic. ARKEA hérite du sujet fonds de fonds 2026. Prochaine étape : organiser un rdv, deadline 14/01/2026.&lt;/p&gt;</t>
  </si>
  <si>
    <t>BPCE Life - Luxembourg</t>
  </si>
  <si>
    <t>Tristan TOUZELLIER</t>
  </si>
  <si>
    <t>&lt;p&gt;RDV physique 19/02/2026 avec Trisan Touzilier, point méthodo, suivi à faire sur chantier Luxembourgeois. Dernière activité : pas de nouvelle action, discussion sur taille du fond, % d'emprise fonds/clients. Pas de feedback prospect sur fonds. Prochaine étape non précisée.&lt;/p&gt;</t>
  </si>
  <si>
    <t>CAISSE D'EPARGNE ET DE PREVOYANCE DE RHONE ALPES</t>
  </si>
  <si>
    <t>Didier Bruno</t>
  </si>
  <si>
    <t>&lt;p&gt;16/02/2026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piste.&lt;/p&gt;</t>
  </si>
  <si>
    <t>Rdv en janvier 2027 pour requalifier le lead</t>
  </si>
  <si>
    <t>AGRICA EPARGNE</t>
  </si>
  <si>
    <t>Aurélien Leguay</t>
  </si>
  <si>
    <t>&lt;p&gt;Ouverture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venir.&lt;/p&gt;</t>
  </si>
  <si>
    <t>BPIFrance</t>
  </si>
  <si>
    <t>Edoardo SAMPAIO</t>
  </si>
  <si>
    <t>&lt;p&gt;Prospect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notables.&lt;/p&gt;</t>
  </si>
  <si>
    <t>Appeler Edoardo de manière light pour le sonder sur Straton</t>
  </si>
  <si>
    <t>Julien Psomas</t>
  </si>
  <si>
    <t>&lt;p&gt;Piste créée pour équipe Ventes le 16/03/2026. Tentative d'enrichissement sans données société, aucun crédit consommé. Mention "Lead de CB" le 23/03/2026. Aucun échange, action commerciale ou retour prospect enregistré depuis la création. Pas d'étape suivante identifiée.&lt;/p&gt;</t>
  </si>
  <si>
    <t>ORPHEOPOLIS</t>
  </si>
  <si>
    <t>Jean-Francois Grimaud</t>
  </si>
  <si>
    <t>&lt;p&gt;Aucune activité menée sur le prospect. ORPHEOPOLIS : acteur majeur protection enfance, gère établissements, accompagne enfants/familles en difficulté, forte implantation nationale, longue histoire. Pas d'interactions, ni retours, ni prochaines étapes identifiées à ce jour.&lt;/p&gt;</t>
  </si>
  <si>
    <t>UNION DES BLESSES DE LA FACE ET DE LA TETE</t>
  </si>
  <si>
    <t>Godefry Pouch</t>
  </si>
  <si>
    <t>&lt;p&gt;Intro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d'intérêt.&lt;/p&gt;</t>
  </si>
  <si>
    <t>relance faite. Ne me répond plus</t>
  </si>
  <si>
    <t>MGPrev Adel CHANANE</t>
  </si>
  <si>
    <t>Adel CHANANE</t>
  </si>
  <si>
    <t>&lt;p&gt;Relance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récentes.&lt;/p&gt;</t>
  </si>
  <si>
    <t>Léovic LECLUZE</t>
  </si>
  <si>
    <t>&lt;p&gt;Leovic confirme : pas de PE défense, pas de VC. Dernier échange enregistré, aucune activité téléphonique ou note complémentaire. Pas de prochaines étapes planifiées à ce stade, attente de retour ou nouvelles instructions. Aucun retour prospect sur les fonds présentés. Suivi à poursuivre.&lt;/p&gt;</t>
  </si>
  <si>
    <t>Leovic confirme Pas de PE defense et pas de vc</t>
  </si>
  <si>
    <t>Vendeur de Pasqal</t>
  </si>
  <si>
    <t>Georges-Olivier Reymond</t>
  </si>
  <si>
    <t>&lt;p&gt;Nouvelle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l'instant.&lt;/p&gt;</t>
  </si>
  <si>
    <t>prendre rdv fin decembre / capacité totale estimée 100Me</t>
  </si>
  <si>
    <t>Fédération AGIRC-ARRCO</t>
  </si>
  <si>
    <t>Céline NOUET</t>
  </si>
  <si>
    <t>&lt;p&gt;RDV physique Deauville avec F.X. Selleret (DG AGIRC ARRCO) : 90% allocation Europe, soutien transition Total, profil très français. Demande de RDV faite à M Nany (assistante C Nouet). Pas de retour prospect sur fonds. Prochaine étape : attendre réponse RDV. Nouvelle piste créée équipe Ventes.&lt;/p&gt;</t>
  </si>
  <si>
    <t>Demande de rdv faite à M Nany (assistante de C Nouet)</t>
  </si>
  <si>
    <t>CAVEC Caisse Assurance Vieillesse Experts Comptables</t>
  </si>
  <si>
    <t>Vincent BRETIN</t>
  </si>
  <si>
    <t>&lt;p&gt;Offre STRATON transmise à la bonne adresse suite au départ de Bretin. Nouvelle piste créée pour équipe Ventes. Aucune activité récente ni retour prospect sur les fonds présentés. Pas d'action ou étape à venir identifiée dans les échanges ou activités.&lt;/p&gt;</t>
  </si>
  <si>
    <t>Caisse de retraite du Sénat</t>
  </si>
  <si>
    <t>Gian Marco Revellat</t>
  </si>
  <si>
    <t>&lt;p&gt;Intro par Hubert Raymond/Sénateur Ludovic Haye. RDV physique réalisé, contact établi, attente de nouvelles dates pour suite. Pas de retour prospect sur fonds présentés. Pas d'autres actions ni comité mentionné. Suivi assuré par Romain Andrieu. Prochaine étape : fixer prochain RDV.&lt;/p&gt;</t>
  </si>
  <si>
    <t>relancer l.haye@senat.fr pour un rdv au Sénat</t>
  </si>
  <si>
    <t>Christophe Leguay</t>
  </si>
  <si>
    <t>&lt;p&gt;RDV physique 23/01/2026 avec CAISSE D'EPARGNE ET DE PREVOYANCE HAUTS DE FRANCE. Entreprise BCorp, aucun intérêt pour la défense. Seule piste possible : fonds de fonds capdev et Tourisme. Pas d'autres actions ou prochaines étapes mentionnées. Nouvelle piste créée équipe Ventes.&lt;/p&gt;</t>
  </si>
  <si>
    <t>rdv en 2027 sur la Défense</t>
  </si>
  <si>
    <t>MUTAC</t>
  </si>
  <si>
    <t>Guilhem Pialot</t>
  </si>
  <si>
    <t>&lt;p&gt;14/01/2026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prévue.&lt;/p&gt;</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</si>
</sst>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4">
    <font>
      <sz val="10"/>
      <color rgb="000000"/>
      <name val="Arial"/>
    </font>
    <font>
      <sz val="10"/>
      <color rgb="FFFFFF"/>
      <name val="Arial"/>
    </font>
    <font>
      <sz val="30"/>
      <color rgb="FFFFFF"/>
      <name val="Arial"/>
    </font>
    <font>
      <sz val="10"/>
      <color rgb="351C75"/>
      <name val="Arial"/>
    </font>
  </fonts>
  <fills count="5">
    <fill>
      <patternFill patternType="none"/>
    </fill>
    <fill>
      <patternFill patternType="gray125"/>
    </fill>
    <fill>
      <patternFill patternType="solid">
        <fgColor rgb="351C75"/>
        <bgColor indexed="64"/>
      </patternFill>
    </fill>
    <fill>
      <patternFill patternType="solid">
        <fgColor rgb="FFFFFF"/>
        <bgColor indexed="64"/>
      </patternFill>
    </fill>
    <fill>
      <patternFill patternType="solid">
        <fgColor rgb="FF9900"/>
        <bgColor indexed="64"/>
      </patternFill>
    </fill>
  </fills>
  <borders count="1">
    <border>
      <left>
        </left>
      <right>
        </right>
      <top>
        </top>
      <bottom>
        </bottom>
      <diagonal>
        </diagonal>
    </border>
  </borders>
  <cellXfs count="17">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3" fontId="1" borderId="0" applyAlignment="1">
      <alignment vertical="center" horizontal="center"/>
    </xf>
    <xf numFmtId="164" fillId="3" fontId="1" borderId="0" applyAlignment="1">
      <alignment vertical="center" horizontal="center"/>
    </xf>
    <xf numFmtId="0" fillId="3" fontId="1" borderId="0" applyAlignment="1">
      <alignment vertical="center" horizontal="center" wrapText="1"/>
    </xf>
    <xf numFmtId="0" fillId="0" fontId="1" borderId="0"/>
    <xf numFmtId="0" fillId="0" fontId="3" borderId="0"/>
    <xf numFmtId="0" fillId="0" fontId="3" borderId="0" applyAlignment="1">
      <alignment vertical="center" horizontal="center" wrapText="1"/>
    </xf>
    <xf numFmtId="0" fillId="3" fontId="3" borderId="0" applyAlignment="1">
      <alignment vertical="center" horizontal="center" wrapText="1"/>
    </xf>
    <xf numFmtId="0" fillId="4" fontId="1" borderId="0" applyAlignment="1">
      <alignment vertical="center" horizontal="center" wrapText="1"/>
    </xf>
    <xf numFmtId="49" fillId="0" fontId="3" borderId="0" applyAlignment="1">
      <alignment vertical="center" horizontal="center" wrapText="1"/>
    </xf>
    <xf numFmtId="0" fillId="0" fontId="3" borderId="0" applyAlignment="1">
      <alignment wrapText="1"/>
    </xf>
    <xf numFmtId="0" fillId="0" fontId="3" borderId="0" applyAlignment="1">
      <alignment vertical="center" wrapText="1"/>
    </xf>
    <xf numFmtId="164" fillId="0" fontId="3" borderId="0" applyAlignment="1">
      <alignment vertical="center" horizontal="center" wrapText="1"/>
    </xf>
    <xf numFmtId="165" fillId="0" fontId="3" borderId="0" applyAlignment="1">
      <alignment vertical="center" horizontal="center" wrapText="1"/>
    </xf>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202" headerRowCount="1" totalsRowCount="0">
  <autoFilter ref="A3:V2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18.88" customWidth="1" hidden="0"/>
    <col min="2" max="2" width="27.17" customWidth="1" hidden="0"/>
    <col min="3" max="3" width="33.89" customWidth="1" hidden="0"/>
    <col min="4" max="4" width="26.31" customWidth="1" hidden="0"/>
    <col min="5" max="5" width="17.59" customWidth="1" hidden="0"/>
    <col min="6" max="6" width="24.17" customWidth="1" hidden="1"/>
    <col min="7" max="7" width="23.31" customWidth="1" hidden="1"/>
    <col min="8" max="8" width="47.9" customWidth="1" hidden="1"/>
    <col min="9" max="9" width="57.63" customWidth="1" hidden="0"/>
    <col min="10" max="10" width="77.08" customWidth="1" hidden="1"/>
    <col min="11" max="11" width="25.31" customWidth="1" hidden="1"/>
    <col min="12" max="12" width="11.01" customWidth="1" hidden="0"/>
    <col min="13" max="13" width="23.31" customWidth="1" hidden="1"/>
    <col min="14" max="14" width="11.87" customWidth="1" hidden="0"/>
    <col min="15" max="15" width="24.88" customWidth="1" hidden="1"/>
    <col min="16" max="16" width="12.3" customWidth="1" hidden="0"/>
    <col min="17" max="17" width="15.16" customWidth="1" hidden="1"/>
    <col min="18" max="18" width="15.16" customWidth="1" hidden="0"/>
    <col min="19" max="19" width="15.16" customWidth="1" hidden="1"/>
    <col min="20" max="20" width="13.3" customWidth="1" hidden="0"/>
    <col min="21" max="21" width="11.58"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 min="37" max="37" width="13.73" customWidth="1" hidden="0"/>
  </cols>
  <sheetData>
    <row r="1" ht="41.2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5">
</c>
      <c r="Y1" s="6">
</c>
      <c r="Z1" s="4">
</c>
      <c r="AA1" s="4">
</c>
      <c r="AB1" s="6">
</c>
      <c r="AC1" s="6">
</c>
      <c r="AD1" s="6">
</c>
      <c r="AE1" s="7">
</c>
      <c r="AF1" s="7">
</c>
      <c r="AG1" s="7">
</c>
      <c r="AH1" s="7">
</c>
      <c r="AI1" s="7">
</c>
      <c r="AJ1" s="7">
</c>
      <c r="AK1" s="7">
</c>
    </row>
    <row r="2" ht="31.5" customHeight="1">
      <c r="A2" s="8">
</c>
      <c r="B2" s="9">
</c>
      <c r="C2" s="9" cm="1" t="n">
        <f t="array" ref="C2">SUBTOTAL(9,V4:V202)</f>
        <v>147</v>
      </c>
      <c r="D2" s="8">
</c>
      <c r="E2" s="8">
</c>
      <c r="F2" s="8">
</c>
      <c r="G2" s="8">
</c>
      <c r="H2" s="8">
</c>
      <c r="I2" s="8">
</c>
      <c r="J2" s="8">
</c>
      <c r="K2" s="8">
</c>
      <c r="L2" s="8">
</c>
      <c r="M2" s="8">
</c>
      <c r="N2" s="8">
</c>
      <c r="O2" s="8">
</c>
      <c r="P2" s="8">
</c>
      <c r="Q2" s="10" cm="1" t="n">
        <f t="array" ref="Q2">SUBTOTAL(9,Q4:Q302)</f>
        <v>116050000</v>
      </c>
      <c r="R2" s="10" cm="1" t="str">
        <f t="array" ref="R2">ROUND(Q2/1000000,3)&amp;" M€"</f>
        <v>116.05 M€</v>
      </c>
      <c r="S2" s="8">
</c>
      <c r="T2" s="8">
</c>
      <c r="U2" s="8">
</c>
      <c r="V2" s="8">
</c>
      <c r="W2" s="8">
</c>
      <c r="X2" s="8">
</c>
      <c r="Y2" s="8">
</c>
      <c r="Z2" s="8">
</c>
      <c r="AA2" s="8">
</c>
      <c r="AB2" s="8">
</c>
      <c r="AC2" s="8">
</c>
      <c r="AD2" s="8">
</c>
      <c r="AE2" s="8">
</c>
      <c r="AF2" s="8">
</c>
      <c r="AG2" s="8">
</c>
      <c r="AH2" s="8">
</c>
      <c r="AI2" s="8">
</c>
      <c r="AJ2" s="8">
</c>
      <c r="AK2" s="8">
</c>
    </row>
    <row r="3" ht="39.75" customHeight="1">
      <c r="A3" s="2" t="s">
        <v>1</v>
      </c>
      <c r="B3" s="2" t="s">
        <v>2</v>
      </c>
      <c r="C3" s="2" t="s">
        <v>3</v>
      </c>
      <c r="D3" s="2" t="s">
        <v>4</v>
      </c>
      <c r="E3" s="2" t="s">
        <v>5</v>
      </c>
      <c r="F3" s="11" t="s">
        <v>6</v>
      </c>
      <c r="G3" s="11" t="s">
        <v>7</v>
      </c>
      <c r="H3" s="11" t="s">
        <v>8</v>
      </c>
      <c r="I3" s="2" t="s">
        <v>9</v>
      </c>
      <c r="J3" s="11" t="s">
        <v>10</v>
      </c>
      <c r="K3" s="11" t="s">
        <v>11</v>
      </c>
      <c r="L3" s="2" t="s">
        <v>12</v>
      </c>
      <c r="M3" s="11" t="s">
        <v>13</v>
      </c>
      <c r="N3" s="2" t="s">
        <v>14</v>
      </c>
      <c r="O3" s="11" t="s">
        <v>15</v>
      </c>
      <c r="P3" s="2" t="s">
        <v>16</v>
      </c>
      <c r="Q3" s="11" t="s">
        <v>17</v>
      </c>
      <c r="R3" s="2" t="s">
        <v>18</v>
      </c>
      <c r="S3" s="11" t="s">
        <v>19</v>
      </c>
      <c r="T3" s="2" t="s">
        <v>20</v>
      </c>
      <c r="U3" s="2" t="s">
        <v>21</v>
      </c>
      <c r="V3" s="7" t="s">
        <v>22</v>
      </c>
      <c r="W3" s="7">
</c>
      <c r="X3" s="7">
</c>
      <c r="Y3" s="7">
</c>
      <c r="Z3" s="7">
</c>
      <c r="AA3" s="7">
</c>
      <c r="AB3" s="7">
</c>
      <c r="AC3" s="7">
</c>
      <c r="AD3" s="7">
</c>
      <c r="AE3" s="7">
</c>
      <c r="AF3" s="7">
</c>
      <c r="AG3" s="7">
</c>
      <c r="AH3" s="7">
</c>
      <c r="AI3" s="7">
</c>
      <c r="AJ3" s="7">
</c>
      <c r="AK3" s="7">
</c>
    </row>
    <row r="4" ht="76.5" customHeight="1">
      <c r="A4" s="9" t="s">
        <v>23</v>
      </c>
      <c r="B4" s="9" t="s">
        <v>24</v>
      </c>
      <c r="C4" s="12" t="s">
        <v>25</v>
      </c>
      <c r="D4" s="12" t="s">
        <v>26</v>
      </c>
      <c r="E4" s="9" t="s">
        <v>27</v>
      </c>
      <c r="F4" s="13" t="s">
        <v>28</v>
      </c>
      <c r="G4" s="13" cm="1" t="str">
        <f t="array" ref="G4">IF(F4="","",SUBSTITUTE(SUBSTITUTE(SUBSTITUTE(SUBSTITUTE(F4,"&lt;li&gt;",CHAR(10)),"&lt;/li&gt;",""),"&lt;br&gt;",CHAR(10)),"&lt;strong&gt;",""))</f>
        <v>&lt;p&gt;CA juin : décision 1M€ SIENNA IM, 1M€ STRATON, investissement prévu 2026, SIENNA prioritaire. Défense jugé trop tôt, non coté. Demande RDV gal Peter, Patrick Remm, copie Christien Piquet. 25/03 : finalisation appels de marge, toujours pas de BS signé. Prochaine étape : relance avant 03/04.&lt;/p&gt;</v>
      </c>
      <c r="H4" s="13" cm="1" t="str">
        <f t="array" ref="H4">IF(G4="","",SUBSTITUTE(SUBSTITUTE(SUBSTITUTE(SUBSTITUTE(SUBSTITUTE(G4,"&lt;p&gt;",""),"&lt;/p&gt;",""),"&lt;ul&gt;",""),"&lt;/ul&gt;",""),"&lt;/strong&gt;",""))</f>
        <v>CA juin : décision 1M€ SIENNA IM, 1M€ STRATON, investissement prévu 2026, SIENNA prioritaire. Défense jugé trop tôt, non coté. Demande RDV gal Peter, Patrick Remm, copie Christien Piquet. 25/03 : finalisation appels de marge, toujours pas de BS signé. Prochaine étape : relance avant 03/04.</v>
      </c>
      <c r="I4" s="14" cm="1" t="str">
        <f t="array" ref="I4">IF(C4="","",IF(OR(H4="",H4=0,H4=FALSE),"-",H4))</f>
        <v>CA juin : décision 1M€ SIENNA IM, 1M€ STRATON, investissement prévu 2026, SIENNA prioritaire. Défense jugé trop tôt, non coté. Demande RDV gal Peter, Patrick Remm, copie Christien Piquet. 25/03 : finalisation appels de marge, toujours pas de BS signé. Prochaine étape : relance avant 03/04.</v>
      </c>
      <c r="J4" s="8" t="s">
        <v>29</v>
      </c>
      <c r="K4" s="8" t="s">
        <v>30</v>
      </c>
      <c r="L4" s="9" cm="1" t="str">
        <f t="array" ref="L4">IF(C4="","",IF(K4="Mort / Plus rien à faire","KO","OK"))</f>
        <v>OK</v>
      </c>
      <c r="M4" s="15">
        <v>46114.67883101852</v>
      </c>
      <c r="N4" s="15" cm="1" t="n">
        <f t="array" ref="N4">IF(OR(C4="",M4="",M4=0),"",M4)</f>
        <v>46114.67883101852</v>
      </c>
      <c r="O4" s="15">
</c>
      <c r="P4" s="15" cm="1" t="str">
        <f t="array" ref="P4">IF(C4="","",IF(OR(O4="",O4=0),"-",O4))</f>
        <v>-</v>
      </c>
      <c r="Q4" s="16">
        <v>1000000</v>
      </c>
      <c r="R4" s="16" cm="1" t="str">
        <f t="array" ref="R4">IF(C4="","",ROUND(Q4/1000000,3)&amp;" M€")</f>
        <v>1 M€</v>
      </c>
      <c r="S4" s="12" t="s">
        <v>31</v>
      </c>
      <c r="T4" s="9" cm="1" t="str">
        <f t="array" ref="T4">IF(C4="","",SUBSTITUTE(S4,"","")&amp;"%")</f>
        <v>100%</v>
      </c>
      <c r="U4" s="14" cm="1" t="str">
        <f t="array" ref="U4">IF(($N4="")*($P4=""),"",IF(($N4&lt;&gt;"")*($N4&gt;TODAY()-9)*($N4&lt;TODAY()+1)*($P4&lt;&gt;"")*($P4&gt;=TODAY())*($P4&lt;=TODAY()+13),"Semaine passée &amp; à venir",IF(($N4&lt;&gt;"")*($N4&gt;TODAY()-9)*($N4&lt;TODAY()+1),"Semaine passée",IF(($P4&lt;&gt;"")*($P4&gt;=TODAY())*($P4&lt;=TODAY()+13),"À venir","Autre"))))</f>
        <v>Autre</v>
      </c>
      <c r="V4" s="8" cm="1" t="n">
        <f t="array" ref="V4">IF(C4&lt;&gt;"",1,0)</f>
        <v>1</v>
      </c>
      <c r="W4" s="8">
</c>
      <c r="X4" s="8">
</c>
      <c r="Y4" s="8">
</c>
      <c r="Z4" s="8">
</c>
      <c r="AA4" s="8">
</c>
      <c r="AB4" s="8">
</c>
      <c r="AC4" s="8">
</c>
      <c r="AD4" s="8">
</c>
      <c r="AE4" s="8">
</c>
      <c r="AF4" s="8">
</c>
      <c r="AG4" s="8">
</c>
      <c r="AH4" s="8">
</c>
      <c r="AI4" s="8">
</c>
      <c r="AJ4" s="8">
</c>
      <c r="AK4" s="8">
</c>
    </row>
    <row r="5" ht="76.5" customHeight="1">
      <c r="A5" s="9" t="s">
        <v>23</v>
      </c>
      <c r="B5" s="9" t="s">
        <v>32</v>
      </c>
      <c r="C5" s="12" t="s">
        <v>33</v>
      </c>
      <c r="D5" s="12" t="s">
        <v>34</v>
      </c>
      <c r="E5" s="9" t="s">
        <v>27</v>
      </c>
      <c r="F5" s="8" t="s">
        <v>35</v>
      </c>
      <c r="G5" s="13" cm="1" t="str">
        <f t="array" ref="G5">IF(F5="","",SUBSTITUTE(SUBSTITUTE(SUBSTITUTE(SUBSTITUTE(F5,"&lt;li&gt;",CHAR(10)),"&lt;/li&gt;",""),"&lt;br&gt;",CHAR(10)),"&lt;strong&gt;",""))</f>
        <v>&lt;p&gt;Nouvelle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supplémentaire.&lt;/p&gt;</v>
      </c>
      <c r="H5" s="13" cm="1" t="str">
        <f t="array" ref="H5">IF(G5="","",SUBSTITUTE(SUBSTITUTE(SUBSTITUTE(SUBSTITUTE(SUBSTITUTE(G5,"&lt;p&gt;",""),"&lt;/p&gt;",""),"&lt;ul&gt;",""),"&lt;/ul&gt;",""),"&lt;/strong&gt;",""))</f>
        <v>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v>
      </c>
      <c r="I5" s="14" cm="1" t="str">
        <f t="array" ref="I5">IF(C5="","",IF(OR(H5="",H5=0,H5=FALSE),"-",H5))</f>
        <v>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v>
      </c>
      <c r="J5" s="8">
</c>
      <c r="K5" s="8" t="s">
        <v>30</v>
      </c>
      <c r="L5" s="9" cm="1" t="str">
        <f t="array" ref="L5">IF(C5="","",IF(K5="Mort / Plus rien à faire","KO","OK"))</f>
        <v>OK</v>
      </c>
      <c r="M5" s="15">
        <v>46053.60560185185</v>
      </c>
      <c r="N5" s="15" cm="1" t="n">
        <f t="array" ref="N5">IF(OR(C5="",M5="",M5=0),"",M5)</f>
        <v>46053.60560185185</v>
      </c>
      <c r="O5" s="15">
</c>
      <c r="P5" s="15" cm="1" t="str">
        <f t="array" ref="P5">IF(C5="","",IF(OR(O5="",O5=0),"-",O5))</f>
        <v>-</v>
      </c>
      <c r="Q5" s="16">
        <v>5000000</v>
      </c>
      <c r="R5" s="16" cm="1" t="str">
        <f t="array" ref="R5">IF(C5="","",ROUND(Q5/1000000,3)&amp;" M€")</f>
        <v>5 M€</v>
      </c>
      <c r="S5" s="12" t="s">
        <v>31</v>
      </c>
      <c r="T5" s="9" cm="1" t="str">
        <f t="array" ref="T5">IF(C5="","",SUBSTITUTE(S5,"","")&amp;"%")</f>
        <v>100%</v>
      </c>
      <c r="U5" s="14" cm="1" t="str">
        <f t="array" ref="U5">IF(($N5="")*($P5=""),"",IF(($N5&lt;&gt;"")*($N5&gt;TODAY()-9)*($N5&lt;TODAY()+1)*($P5&lt;&gt;"")*($P5&gt;=TODAY())*($P5&lt;=TODAY()+13),"Semaine passée &amp; à venir",IF(($N5&lt;&gt;"")*($N5&gt;TODAY()-9)*($N5&lt;TODAY()+1),"Semaine passée",IF(($P5&lt;&gt;"")*($P5&gt;=TODAY())*($P5&lt;=TODAY()+13),"À venir","Autre"))))</f>
        <v>Autre</v>
      </c>
      <c r="V5" s="8" cm="1" t="n">
        <f t="array" ref="V5">IF(C5&lt;&gt;"",1,0)</f>
        <v>1</v>
      </c>
      <c r="W5" s="8">
</c>
      <c r="X5" s="14">
</c>
      <c r="Y5" s="8">
</c>
      <c r="Z5" s="8">
</c>
      <c r="AA5" s="8">
</c>
      <c r="AB5" s="8">
</c>
      <c r="AC5" s="8">
</c>
      <c r="AD5" s="8">
</c>
      <c r="AE5" s="8">
</c>
      <c r="AF5" s="8">
</c>
      <c r="AG5" s="8">
</c>
      <c r="AH5" s="8">
</c>
      <c r="AI5" s="8">
</c>
      <c r="AJ5" s="8">
</c>
      <c r="AK5" s="8">
</c>
    </row>
    <row r="6" ht="76.5" customHeight="1">
      <c r="A6" s="9" t="s">
        <v>23</v>
      </c>
      <c r="B6" s="9" t="s">
        <v>36</v>
      </c>
      <c r="C6" s="12" t="s">
        <v>37</v>
      </c>
      <c r="D6" s="12" t="s">
        <v>38</v>
      </c>
      <c r="E6" s="9" t="s">
        <v>39</v>
      </c>
      <c r="F6" s="8" t="s">
        <v>40</v>
      </c>
      <c r="G6" s="13" cm="1" t="str">
        <f t="array" ref="G6">IF(F6="","",SUBSTITUTE(SUBSTITUTE(SUBSTITUTE(SUBSTITUTE(F6,"&lt;li&gt;",CHAR(10)),"&lt;/li&gt;",""),"&lt;br&gt;",CHAR(10)),"&lt;strong&gt;",""))</f>
        <v>&lt;p&gt;Appel terminé, prospect a des demandes sur 150-0 B ter, rdv téléphonique sur offre actuelle, doit revenir si intérêt clients. Enrichissement lead impossible (email non valide). Nouvelle piste créée pour équipe Ventes. Pas d'autres activités ou prochaines actions identifiées.&lt;/p&gt;</v>
      </c>
      <c r="H6" s="13" cm="1" t="str">
        <f t="array" ref="H6">IF(G6="","",SUBSTITUTE(SUBSTITUTE(SUBSTITUTE(SUBSTITUTE(SUBSTITUTE(G6,"&lt;p&gt;",""),"&lt;/p&gt;",""),"&lt;ul&gt;",""),"&lt;/ul&gt;",""),"&lt;/strong&gt;",""))</f>
        <v>Appel terminé, prospect a des demandes sur 150-0 B ter, rdv téléphonique sur offre actuelle, doit revenir si intérêt clients. Enrichissement lead impossible (email non valide). Nouvelle piste créée pour équipe Ventes. Pas d'autres activités ou prochaines actions identifiées.</v>
      </c>
      <c r="I6" s="14" cm="1" t="str">
        <f t="array" ref="I6">IF(C6="","",IF(OR(H6="",H6=0,H6=FALSE),"-",H6))</f>
        <v>Appel terminé, prospect a des demandes sur 150-0 B ter, rdv téléphonique sur offre actuelle, doit revenir si intérêt clients. Enrichissement lead impossible (email non valide). Nouvelle piste créée pour équipe Ventes. Pas d'autres activités ou prochaines actions identifiées.</v>
      </c>
      <c r="J6" s="8">
</c>
      <c r="K6" s="8" t="s">
        <v>41</v>
      </c>
      <c r="L6" s="9" cm="1" t="str">
        <f t="array" ref="L6">IF(C6="","",IF(K6="Mort / Plus rien à faire","KO","OK"))</f>
        <v>OK</v>
      </c>
      <c r="M6" s="15">
        <v>46132.63554398148</v>
      </c>
      <c r="N6" s="15" cm="1" t="n">
        <f t="array" ref="N6">IF(OR(C6="",M6="",M6=0),"",M6)</f>
        <v>46132.63554398148</v>
      </c>
      <c r="O6" s="15">
</c>
      <c r="P6" s="15" cm="1" t="str">
        <f t="array" ref="P6">IF(C6="","",IF(OR(O6="",O6=0),"-",O6))</f>
        <v>-</v>
      </c>
      <c r="Q6" s="16">
        <v>0</v>
      </c>
      <c r="R6" s="16" cm="1" t="str">
        <f t="array" ref="R6">IF(C6="","",ROUND(Q6/1000000,3)&amp;" M€")</f>
        <v>0 M€</v>
      </c>
      <c r="S6" s="12" t="s">
        <v>42</v>
      </c>
      <c r="T6" s="9" cm="1" t="str">
        <f t="array" ref="T6">IF(C6="","",SUBSTITUTE(S6,"","")&amp;"%")</f>
        <v>50%</v>
      </c>
      <c r="U6" s="14" cm="1" t="str">
        <f t="array" ref="U6">IF(($N6="")*($P6=""),"",IF(($N6&lt;&gt;"")*($N6&gt;TODAY()-9)*($N6&lt;TODAY()+1)*($P6&lt;&gt;"")*($P6&gt;=TODAY())*($P6&lt;=TODAY()+13),"Semaine passée &amp; à venir",IF(($N6&lt;&gt;"")*($N6&gt;TODAY()-9)*($N6&lt;TODAY()+1),"Semaine passée",IF(($P6&lt;&gt;"")*($P6&gt;=TODAY())*($P6&lt;=TODAY()+13),"À venir","Autre"))))</f>
        <v>Autre</v>
      </c>
      <c r="V6" s="8" cm="1" t="n">
        <f t="array" ref="V6">IF(C6&lt;&gt;"",1,0)</f>
        <v>1</v>
      </c>
      <c r="W6" s="8">
</c>
      <c r="X6" s="8">
</c>
      <c r="Y6" s="8">
</c>
      <c r="Z6" s="8">
</c>
      <c r="AA6" s="8">
</c>
      <c r="AB6" s="8">
</c>
      <c r="AC6" s="8">
</c>
      <c r="AD6" s="8">
</c>
      <c r="AE6" s="8">
</c>
      <c r="AF6" s="8">
</c>
      <c r="AG6" s="8">
</c>
      <c r="AH6" s="8">
</c>
      <c r="AI6" s="8">
</c>
      <c r="AJ6" s="8">
</c>
      <c r="AK6" s="8">
</c>
    </row>
    <row r="7" ht="76.5" customHeight="1">
      <c r="A7" s="9" t="s">
        <v>23</v>
      </c>
      <c r="B7" s="9">
</c>
      <c r="C7" s="12" t="s">
        <v>43</v>
      </c>
      <c r="D7" s="12" t="s">
        <v>43</v>
      </c>
      <c r="E7" s="9" t="s">
        <v>39</v>
      </c>
      <c r="F7" s="8" t="s">
        <v>44</v>
      </c>
      <c r="G7" s="13" cm="1" t="str">
        <f t="array" ref="G7">IF(F7="","",SUBSTITUTE(SUBSTITUTE(SUBSTITUTE(SUBSTITUTE(F7,"&lt;li&gt;",CHAR(10)),"&lt;/li&gt;",""),"&lt;br&gt;",CHAR(10)),"&lt;strong&gt;",""))</f>
        <v>&lt;p&gt;RDV tél prospect Straton Gilles Thibault, réflexion en cours sur montant à engager (100K jugé élevé). Nouvelle piste créée pour équipe Ventes. Pas d'autres activités ou prochaines étapes planifiées à ce jour. Attente retour prospect sur décision d'engagement.&lt;/p&gt;</v>
      </c>
      <c r="H7" s="13" cm="1" t="str">
        <f t="array" ref="H7">IF(G7="","",SUBSTITUTE(SUBSTITUTE(SUBSTITUTE(SUBSTITUTE(SUBSTITUTE(G7,"&lt;p&gt;",""),"&lt;/p&gt;",""),"&lt;ul&gt;",""),"&lt;/ul&gt;",""),"&lt;/strong&gt;",""))</f>
        <v>RDV tél prospect Straton Gilles Thibault, réflexion en cours sur montant à engager (100K jugé élevé). Nouvelle piste créée pour équipe Ventes. Pas d'autres activités ou prochaines étapes planifiées à ce jour. Attente retour prospect sur décision d'engagement.</v>
      </c>
      <c r="I7" s="14" cm="1" t="str">
        <f t="array" ref="I7">IF(C7="","",IF(OR(H7="",H7=0,H7=FALSE),"-",H7))</f>
        <v>RDV tél prospect Straton Gilles Thibault, réflexion en cours sur montant à engager (100K jugé élevé). Nouvelle piste créée pour équipe Ventes. Pas d'autres activités ou prochaines étapes planifiées à ce jour. Attente retour prospect sur décision d'engagement.</v>
      </c>
      <c r="J7" s="8">
</c>
      <c r="K7" s="8" t="s">
        <v>41</v>
      </c>
      <c r="L7" s="9" cm="1" t="str">
        <f t="array" ref="L7">IF(C7="","",IF(K7="Mort / Plus rien à faire","KO","OK"))</f>
        <v>OK</v>
      </c>
      <c r="M7" s="15">
        <v>46132.63375</v>
      </c>
      <c r="N7" s="15" cm="1" t="n">
        <f t="array" ref="N7">IF(OR(C7="",M7="",M7=0),"",M7)</f>
        <v>46132.63375</v>
      </c>
      <c r="O7" s="15">
</c>
      <c r="P7" s="15" cm="1" t="str">
        <f t="array" ref="P7">IF(C7="","",IF(OR(O7="",O7=0),"-",O7))</f>
        <v>-</v>
      </c>
      <c r="Q7" s="16">
        <v>100000</v>
      </c>
      <c r="R7" s="16" cm="1" t="str">
        <f t="array" ref="R7">IF(C7="","",ROUND(Q7/1000000,3)&amp;" M€")</f>
        <v>0.1 M€</v>
      </c>
      <c r="S7" s="12" t="s">
        <v>42</v>
      </c>
      <c r="T7" s="9" cm="1" t="str">
        <f t="array" ref="T7">IF(C7="","",SUBSTITUTE(S7,"","")&amp;"%")</f>
        <v>50%</v>
      </c>
      <c r="U7" s="14" cm="1" t="str">
        <f t="array" ref="U7">IF(($N7="")*($P7=""),"",IF(($N7&lt;&gt;"")*($N7&gt;TODAY()-9)*($N7&lt;TODAY()+1)*($P7&lt;&gt;"")*($P7&gt;=TODAY())*($P7&lt;=TODAY()+13),"Semaine passée &amp; à venir",IF(($N7&lt;&gt;"")*($N7&gt;TODAY()-9)*($N7&lt;TODAY()+1),"Semaine passée",IF(($P7&lt;&gt;"")*($P7&gt;=TODAY())*($P7&lt;=TODAY()+13),"À venir","Autre"))))</f>
        <v>Autre</v>
      </c>
      <c r="V7" s="8" cm="1" t="n">
        <f t="array" ref="V7">IF(C7&lt;&gt;"",1,0)</f>
        <v>1</v>
      </c>
      <c r="W7" s="8">
</c>
      <c r="X7" s="8">
</c>
      <c r="Y7" s="8">
</c>
      <c r="Z7" s="8">
</c>
      <c r="AA7" s="8">
</c>
      <c r="AB7" s="8">
</c>
      <c r="AC7" s="8">
</c>
      <c r="AD7" s="8">
</c>
      <c r="AE7" s="8">
</c>
      <c r="AF7" s="8">
</c>
      <c r="AG7" s="8">
</c>
      <c r="AH7" s="8">
</c>
      <c r="AI7" s="8">
</c>
      <c r="AJ7" s="8">
</c>
      <c r="AK7" s="8">
</c>
    </row>
    <row r="8" ht="76.5" customHeight="1">
      <c r="A8" s="9" t="s">
        <v>23</v>
      </c>
      <c r="B8" s="9" t="s">
        <v>45</v>
      </c>
      <c r="C8" s="12" t="s">
        <v>46</v>
      </c>
      <c r="D8" s="12" t="s">
        <v>47</v>
      </c>
      <c r="E8" s="9" t="s">
        <v>39</v>
      </c>
      <c r="F8" s="8" t="s">
        <v>48</v>
      </c>
      <c r="G8" s="13" cm="1" t="str">
        <f t="array" ref="G8">IF(F8="","",SUBSTITUTE(SUBSTITUTE(SUBSTITUTE(SUBSTITUTE(F8,"&lt;li&gt;",CHAR(10)),"&lt;/li&gt;",""),"&lt;br&gt;",CHAR(10)),"&lt;strong&gt;",""))</f>
        <v>&lt;p&gt;Appels répétés avec Jacques Maréchal (Wagner gestion privée) pour convaincre d'investir dans Straton. Feedback positif : accord pour investir 100K, ticket envisagé 150K. Dernier échange 22/04/2026. Prochaine étape : finaliser l'engagement sur le ticket proposé.&lt;/p&gt;</v>
      </c>
      <c r="H8" s="13" cm="1" t="str">
        <f t="array" ref="H8">IF(G8="","",SUBSTITUTE(SUBSTITUTE(SUBSTITUTE(SUBSTITUTE(SUBSTITUTE(G8,"&lt;p&gt;",""),"&lt;/p&gt;",""),"&lt;ul&gt;",""),"&lt;/ul&gt;",""),"&lt;/strong&gt;",""))</f>
        <v>Appels répétés avec Jacques Maréchal (Wagner gestion privée) pour convaincre d'investir dans Straton. Feedback positif : accord pour investir 100K, ticket envisagé 150K. Dernier échange 22/04/2026. Prochaine étape : finaliser l'engagement sur le ticket proposé.</v>
      </c>
      <c r="I8" s="14" cm="1" t="str">
        <f t="array" ref="I8">IF(C8="","",IF(OR(H8="",H8=0,H8=FALSE),"-",H8))</f>
        <v>Appels répétés avec Jacques Maréchal (Wagner gestion privée) pour convaincre d'investir dans Straton. Feedback positif : accord pour investir 100K, ticket envisagé 150K. Dernier échange 22/04/2026. Prochaine étape : finaliser l'engagement sur le ticket proposé.</v>
      </c>
      <c r="J8" s="8">
</c>
      <c r="K8" s="8" t="s">
        <v>41</v>
      </c>
      <c r="L8" s="9" cm="1" t="str">
        <f t="array" ref="L8">IF(C8="","",IF(K8="Mort / Plus rien à faire","KO","OK"))</f>
        <v>OK</v>
      </c>
      <c r="M8" s="15">
        <v>46135.586643518516</v>
      </c>
      <c r="N8" s="15" cm="1" t="n">
        <f t="array" ref="N8">IF(OR(C8="",M8="",M8=0),"",M8)</f>
        <v>46135.586643518516</v>
      </c>
      <c r="O8" s="15">
</c>
      <c r="P8" s="15" cm="1" t="str">
        <f t="array" ref="P8">IF(C8="","",IF(OR(O8="",O8=0),"-",O8))</f>
        <v>-</v>
      </c>
      <c r="Q8" s="16">
        <v>100000</v>
      </c>
      <c r="R8" s="16" cm="1" t="str">
        <f t="array" ref="R8">IF(C8="","",ROUND(Q8/1000000,3)&amp;" M€")</f>
        <v>0.1 M€</v>
      </c>
      <c r="S8" s="12" t="s">
        <v>42</v>
      </c>
      <c r="T8" s="9" cm="1" t="str">
        <f t="array" ref="T8">IF(C8="","",SUBSTITUTE(S8,"","")&amp;"%")</f>
        <v>50%</v>
      </c>
      <c r="U8" s="14" cm="1" t="str">
        <f t="array" ref="U8">IF(($N8="")*($P8=""),"",IF(($N8&lt;&gt;"")*($N8&gt;TODAY()-9)*($N8&lt;TODAY()+1)*($P8&lt;&gt;"")*($P8&gt;=TODAY())*($P8&lt;=TODAY()+13),"Semaine passée &amp; à venir",IF(($N8&lt;&gt;"")*($N8&gt;TODAY()-9)*($N8&lt;TODAY()+1),"Semaine passée",IF(($P8&lt;&gt;"")*($P8&gt;=TODAY())*($P8&lt;=TODAY()+13),"À venir","Autre"))))</f>
        <v>Autre</v>
      </c>
      <c r="V8" s="8" cm="1" t="n">
        <f t="array" ref="V8">IF(C8&lt;&gt;"",1,0)</f>
        <v>1</v>
      </c>
      <c r="W8" s="8">
</c>
      <c r="X8" s="8">
</c>
      <c r="Y8" s="8">
</c>
      <c r="Z8" s="8">
</c>
      <c r="AA8" s="8">
</c>
      <c r="AB8" s="8">
</c>
      <c r="AC8" s="8">
</c>
      <c r="AD8" s="8">
</c>
      <c r="AE8" s="8">
</c>
      <c r="AF8" s="8">
</c>
      <c r="AG8" s="8">
</c>
      <c r="AH8" s="8">
</c>
      <c r="AI8" s="8">
</c>
      <c r="AJ8" s="8">
</c>
      <c r="AK8" s="8">
</c>
    </row>
    <row r="9" ht="76.5" customHeight="1">
      <c r="A9" s="9" t="s">
        <v>23</v>
      </c>
      <c r="B9" s="9" t="s">
        <v>36</v>
      </c>
      <c r="C9" s="12" t="s">
        <v>49</v>
      </c>
      <c r="D9" s="12" t="s">
        <v>50</v>
      </c>
      <c r="E9" s="9" t="s">
        <v>39</v>
      </c>
      <c r="F9" s="8" t="s">
        <v>51</v>
      </c>
      <c r="G9" s="13" cm="1" t="str">
        <f t="array" ref="G9">IF(F9="","",SUBSTITUTE(SUBSTITUTE(SUBSTITUTE(SUBSTITUTE(F9,"&lt;li&gt;",CHAR(10)),"&lt;/li&gt;",""),"&lt;br&gt;",CHAR(10)),"&lt;strong&gt;",""))</f>
        <v>&lt;p&gt;Relances régulières par mail et appel pour prise de nouvelles et timing d'investissement. Prospect intéressé par Straton, Quanto II, Calderion, a demandé doc Straton. Pas de retour concret depuis, relance en attente. Dernier échange 20/04/2026. Prochaine étape&amp;nbsp;: obtenir feedback sur calendrier.&lt;/p&gt;</v>
      </c>
      <c r="H9" s="13" cm="1" t="str">
        <f t="array" ref="H9">IF(G9="","",SUBSTITUTE(SUBSTITUTE(SUBSTITUTE(SUBSTITUTE(SUBSTITUTE(G9,"&lt;p&gt;",""),"&lt;/p&gt;",""),"&lt;ul&gt;",""),"&lt;/ul&gt;",""),"&lt;/strong&gt;",""))</f>
        <v>Relances régulières par mail et appel pour prise de nouvelles et timing d'investissement. Prospect intéressé par Straton, Quanto II, Calderion, a demandé doc Straton. Pas de retour concret depuis, relance en attente. Dernier échange 20/04/2026. Prochaine étape&amp;nbsp;: obtenir feedback sur calendrier.</v>
      </c>
      <c r="I9" s="14" cm="1" t="str">
        <f t="array" ref="I9">IF(C9="","",IF(OR(H9="",H9=0,H9=FALSE),"-",H9))</f>
        <v>Relances régulières par mail et appel pour prise de nouvelles et timing d'investissement. Prospect intéressé par Straton, Quanto II, Calderion, a demandé doc Straton. Pas de retour concret depuis, relance en attente. Dernier échange 20/04/2026. Prochaine étape&amp;nbsp;: obtenir feedback sur calendrier.</v>
      </c>
      <c r="J9" s="8">
</c>
      <c r="K9" s="8" t="s">
        <v>52</v>
      </c>
      <c r="L9" s="9" cm="1" t="str">
        <f t="array" ref="L9">IF(C9="","",IF(K9="Mort / Plus rien à faire","KO","OK"))</f>
        <v>OK</v>
      </c>
      <c r="M9" s="15">
        <v>46129.69940972222</v>
      </c>
      <c r="N9" s="15" cm="1" t="n">
        <f t="array" ref="N9">IF(OR(C9="",M9="",M9=0),"",M9)</f>
        <v>46129.69940972222</v>
      </c>
      <c r="O9" s="15">
</c>
      <c r="P9" s="15" cm="1" t="str">
        <f t="array" ref="P9">IF(C9="","",IF(OR(O9="",O9=0),"-",O9))</f>
        <v>-</v>
      </c>
      <c r="Q9" s="16">
        <v>500000</v>
      </c>
      <c r="R9" s="16" cm="1" t="str">
        <f t="array" ref="R9">IF(C9="","",ROUND(Q9/1000000,3)&amp;" M€")</f>
        <v>0.5 M€</v>
      </c>
      <c r="S9" s="12" t="s">
        <v>42</v>
      </c>
      <c r="T9" s="9" cm="1" t="str">
        <f t="array" ref="T9">IF(C9="","",SUBSTITUTE(S9,"","")&amp;"%")</f>
        <v>50%</v>
      </c>
      <c r="U9" s="14" cm="1" t="str">
        <f t="array" ref="U9">IF(($N9="")*($P9=""),"",IF(($N9&lt;&gt;"")*($N9&gt;TODAY()-9)*($N9&lt;TODAY()+1)*($P9&lt;&gt;"")*($P9&gt;=TODAY())*($P9&lt;=TODAY()+13),"Semaine passée &amp; à venir",IF(($N9&lt;&gt;"")*($N9&gt;TODAY()-9)*($N9&lt;TODAY()+1),"Semaine passée",IF(($P9&lt;&gt;"")*($P9&gt;=TODAY())*($P9&lt;=TODAY()+13),"À venir","Autre"))))</f>
        <v>Autre</v>
      </c>
      <c r="V9" s="8" cm="1" t="n">
        <f t="array" ref="V9">IF(C9&lt;&gt;"",1,0)</f>
        <v>1</v>
      </c>
      <c r="W9" s="8">
</c>
      <c r="X9" s="8">
</c>
      <c r="Y9" s="8">
</c>
      <c r="Z9" s="8">
</c>
      <c r="AA9" s="8">
</c>
      <c r="AB9" s="8">
</c>
      <c r="AC9" s="8">
</c>
      <c r="AD9" s="8">
</c>
      <c r="AE9" s="8">
</c>
      <c r="AF9" s="8">
</c>
      <c r="AG9" s="8">
</c>
      <c r="AH9" s="8">
</c>
      <c r="AI9" s="8">
</c>
      <c r="AJ9" s="8">
</c>
      <c r="AK9" s="8">
</c>
    </row>
    <row r="10" ht="76.5" customHeight="1">
      <c r="A10" s="9" t="s">
        <v>23</v>
      </c>
      <c r="B10" s="9" t="s">
        <v>53</v>
      </c>
      <c r="C10" s="12" t="s">
        <v>54</v>
      </c>
      <c r="D10" s="12" t="s">
        <v>54</v>
      </c>
      <c r="E10" s="9" t="s">
        <v>55</v>
      </c>
      <c r="F10" s="8" t="s">
        <v>56</v>
      </c>
      <c r="G10" s="13" cm="1" t="str">
        <f t="array" ref="G10">IF(F10="","",SUBSTITUTE(SUBSTITUTE(SUBSTITUTE(SUBSTITUTE(F10,"&lt;li&gt;",CHAR(10)),"&lt;/li&gt;",""),"&lt;br&gt;",CHAR(10)),"&lt;strong&gt;",""))</f>
        <v>&lt;p&gt;Piste créée pour équipe Ventes le 16/03. Tentative d'enrichissement sans données société, aucun crédit consommé. Mention "Lead de CB" le 23/03. Aucun échange, activité ou action commerciale ultérieure enregistrée. Pas de prochaine étape identifiée ni de retour prospect sur fonds présentés.&lt;/p&gt;</v>
      </c>
      <c r="H10" s="13" cm="1" t="str">
        <f t="array" ref="H10">IF(G10="","",SUBSTITUTE(SUBSTITUTE(SUBSTITUTE(SUBSTITUTE(SUBSTITUTE(G10,"&lt;p&gt;",""),"&lt;/p&gt;",""),"&lt;ul&gt;",""),"&lt;/ul&gt;",""),"&lt;/strong&gt;",""))</f>
        <v>Piste créée pour équipe Ventes le 16/03. Tentative d'enrichissement sans données société, aucun crédit consommé. Mention "Lead de CB" le 23/03. Aucun échange, activité ou action commerciale ultérieure enregistrée. Pas de prochaine étape identifiée ni de retour prospect sur fonds présentés.</v>
      </c>
      <c r="I10" s="14" cm="1" t="str">
        <f t="array" ref="I10">IF(C10="","",IF(OR(H10="",H10=0,H10=FALSE),"-",H10))</f>
        <v>Piste créée pour équipe Ventes le 16/03. Tentative d'enrichissement sans données société, aucun crédit consommé. Mention "Lead de CB" le 23/03. Aucun échange, activité ou action commerciale ultérieure enregistrée. Pas de prochaine étape identifiée ni de retour prospect sur fonds présentés.</v>
      </c>
      <c r="J10" s="8">
</c>
      <c r="K10" s="8" t="s">
        <v>52</v>
      </c>
      <c r="L10" s="9" cm="1" t="str">
        <f t="array" ref="L10">IF(C10="","",IF(K10="Mort / Plus rien à faire","KO","OK"))</f>
        <v>OK</v>
      </c>
      <c r="M10" s="15">
        <v>46105.63811342593</v>
      </c>
      <c r="N10" s="15" cm="1" t="n">
        <f t="array" ref="N10">IF(OR(C10="",M10="",M10=0),"",M10)</f>
        <v>46105.63811342593</v>
      </c>
      <c r="O10" s="15">
</c>
      <c r="P10" s="15" cm="1" t="str">
        <f t="array" ref="P10">IF(C10="","",IF(OR(O10="",O10=0),"-",O10))</f>
        <v>-</v>
      </c>
      <c r="Q10" s="16">
        <v>0</v>
      </c>
      <c r="R10" s="16" cm="1" t="str">
        <f t="array" ref="R10">IF(C10="","",ROUND(Q10/1000000,3)&amp;" M€")</f>
        <v>0 M€</v>
      </c>
      <c r="S10" s="12" t="s">
        <v>42</v>
      </c>
      <c r="T10" s="9" cm="1" t="str">
        <f t="array" ref="T10">IF(C10="","",SUBSTITUTE(S10,"","")&amp;"%")</f>
        <v>50%</v>
      </c>
      <c r="U10" s="14" cm="1" t="str">
        <f t="array" ref="U10">IF(($N10="")*($P10=""),"",IF(($N10&lt;&gt;"")*($N10&gt;TODAY()-9)*($N10&lt;TODAY()+1)*($P10&lt;&gt;"")*($P10&gt;=TODAY())*($P10&lt;=TODAY()+13),"Semaine passée &amp; à venir",IF(($N10&lt;&gt;"")*($N10&gt;TODAY()-9)*($N10&lt;TODAY()+1),"Semaine passée",IF(($P10&lt;&gt;"")*($P10&gt;=TODAY())*($P10&lt;=TODAY()+13),"À venir","Autre"))))</f>
        <v>Autre</v>
      </c>
      <c r="V10" s="8" cm="1" t="n">
        <f t="array" ref="V10">IF(C10&lt;&gt;"",1,0)</f>
        <v>1</v>
      </c>
      <c r="W10" s="8">
</c>
      <c r="X10" s="8">
</c>
      <c r="Y10" s="8">
</c>
      <c r="Z10" s="8">
</c>
      <c r="AA10" s="8">
</c>
      <c r="AB10" s="8">
</c>
      <c r="AC10" s="8">
</c>
      <c r="AD10" s="8">
</c>
      <c r="AE10" s="8">
</c>
      <c r="AF10" s="8">
</c>
      <c r="AG10" s="8">
</c>
      <c r="AH10" s="8">
</c>
      <c r="AI10" s="8">
</c>
      <c r="AJ10" s="8">
</c>
      <c r="AK10" s="8">
</c>
    </row>
    <row r="11" ht="76.5" customHeight="1">
      <c r="A11" s="9" t="s">
        <v>23</v>
      </c>
      <c r="B11" s="9" t="s">
        <v>57</v>
      </c>
      <c r="C11" s="12" t="s">
        <v>58</v>
      </c>
      <c r="D11" s="12" t="s">
        <v>59</v>
      </c>
      <c r="E11" s="9" t="s">
        <v>27</v>
      </c>
      <c r="F11" s="8" t="s">
        <v>60</v>
      </c>
      <c r="G11" s="13" cm="1" t="str">
        <f t="array" ref="G11">IF(F11="","",SUBSTITUTE(SUBSTITUTE(SUBSTITUTE(SUBSTITUTE(F11,"&lt;li&gt;",CHAR(10)),"&lt;/li&gt;",""),"&lt;br&gt;",CHAR(10)),"&lt;strong&gt;",""))</f>
        <v>&lt;p&gt;Nouvelle piste créée pour équipe Ventes par Romain Andrieu. Aucun échange, action ou suivi supplémentaire enregistré à ce jour. Pas d'activité menée sur le prospect, aucune interaction ni retour du contact. Prochaines étapes non définies, aucun engagement ou action planifiée identifiée.&lt;/p&gt;</v>
      </c>
      <c r="H11" s="13" cm="1" t="str">
        <f t="array" ref="H11">IF(G11="","",SUBSTITUTE(SUBSTITUTE(SUBSTITUTE(SUBSTITUTE(SUBSTITUTE(G11,"&lt;p&gt;",""),"&lt;/p&gt;",""),"&lt;ul&gt;",""),"&lt;/ul&gt;",""),"&lt;/strong&gt;",""))</f>
        <v>Nouvelle piste créée pour équipe Ventes par Romain Andrieu. Aucun échange, action ou suivi supplémentaire enregistré à ce jour. Pas d'activité menée sur le prospect, aucune interaction ni retour du contact. Prochaines étapes non définies, aucun engagement ou action planifiée identifiée.</v>
      </c>
      <c r="I11" s="14" cm="1" t="str">
        <f t="array" ref="I11">IF(C11="","",IF(OR(H11="",H11=0,H11=FALSE),"-",H11))</f>
        <v>Nouvelle piste créée pour équipe Ventes par Romain Andrieu. Aucun échange, action ou suivi supplémentaire enregistré à ce jour. Pas d'activité menée sur le prospect, aucune interaction ni retour du contact. Prochaines étapes non définies, aucun engagement ou action planifiée identifiée.</v>
      </c>
      <c r="J11" s="8">
</c>
      <c r="K11" s="8" t="s">
        <v>41</v>
      </c>
      <c r="L11" s="9" cm="1" t="str">
        <f t="array" ref="L11">IF(C11="","",IF(K11="Mort / Plus rien à faire","KO","OK"))</f>
        <v>OK</v>
      </c>
      <c r="M11" s="15">
        <v>46134.35505787037</v>
      </c>
      <c r="N11" s="15" cm="1" t="n">
        <f t="array" ref="N11">IF(OR(C11="",M11="",M11=0),"",M11)</f>
        <v>46134.35505787037</v>
      </c>
      <c r="O11" s="15">
</c>
      <c r="P11" s="15" cm="1" t="str">
        <f t="array" ref="P11">IF(C11="","",IF(OR(O11="",O11=0),"-",O11))</f>
        <v>-</v>
      </c>
      <c r="Q11" s="16">
        <v>2000000</v>
      </c>
      <c r="R11" s="16" cm="1" t="str">
        <f t="array" ref="R11">IF(C11="","",ROUND(Q11/1000000,3)&amp;" M€")</f>
        <v>2 M€</v>
      </c>
      <c r="S11" s="12" t="s">
        <v>42</v>
      </c>
      <c r="T11" s="9" cm="1" t="str">
        <f t="array" ref="T11">IF(C11="","",SUBSTITUTE(S11,"","")&amp;"%")</f>
        <v>50%</v>
      </c>
      <c r="U11" s="14" cm="1" t="str">
        <f t="array" ref="U11">IF(($N11="")*($P11=""),"",IF(($N11&lt;&gt;"")*($N11&gt;TODAY()-9)*($N11&lt;TODAY()+1)*($P11&lt;&gt;"")*($P11&gt;=TODAY())*($P11&lt;=TODAY()+13),"Semaine passée &amp; à venir",IF(($N11&lt;&gt;"")*($N11&gt;TODAY()-9)*($N11&lt;TODAY()+1),"Semaine passée",IF(($P11&lt;&gt;"")*($P11&gt;=TODAY())*($P11&lt;=TODAY()+13),"À venir","Autre"))))</f>
        <v>Autre</v>
      </c>
      <c r="V11" s="8" cm="1" t="n">
        <f t="array" ref="V11">IF(C11&lt;&gt;"",1,0)</f>
        <v>1</v>
      </c>
      <c r="W11" s="8">
</c>
      <c r="X11" s="8">
</c>
      <c r="Y11" s="8">
</c>
      <c r="Z11" s="8">
</c>
      <c r="AA11" s="8">
</c>
      <c r="AB11" s="8">
</c>
      <c r="AC11" s="8">
</c>
      <c r="AD11" s="8">
</c>
      <c r="AE11" s="8">
</c>
      <c r="AF11" s="8">
</c>
      <c r="AG11" s="8">
</c>
      <c r="AH11" s="8">
</c>
      <c r="AI11" s="8">
</c>
      <c r="AJ11" s="8">
</c>
      <c r="AK11" s="8">
</c>
    </row>
    <row r="12" ht="76.5" customHeight="1">
      <c r="A12" s="9" t="s">
        <v>23</v>
      </c>
      <c r="B12" s="9" t="s">
        <v>45</v>
      </c>
      <c r="C12" s="12" t="s">
        <v>61</v>
      </c>
      <c r="D12" s="12" t="s">
        <v>62</v>
      </c>
      <c r="E12" s="9" t="s">
        <v>39</v>
      </c>
      <c r="F12" s="8" t="s">
        <v>63</v>
      </c>
      <c r="G12" s="13" cm="1" t="str">
        <f t="array" ref="G12">IF(F12="","",SUBSTITUTE(SUBSTITUTE(SUBSTITUTE(SUBSTITUTE(F12,"&lt;li&gt;",CHAR(10)),"&lt;/li&gt;",""),"&lt;br&gt;",CHAR(10)),"&lt;strong&gt;",""))</f>
        <v>&lt;p&gt;Déj. Bourrienne CB, OPNF, TS avec Daylight FO (D. Lagarnaudie) : échanges sur refinancement ptf global, tickets 1M Straton/1M Géodésie. Attente offres banques semaine prochaine. Décision d’attendre 2026 pour validation montant fonds suite incertitudes fiscales. Prochaine étape : réception offres.&lt;/p&gt;</v>
      </c>
      <c r="H12" s="13" cm="1" t="str">
        <f t="array" ref="H12">IF(G12="","",SUBSTITUTE(SUBSTITUTE(SUBSTITUTE(SUBSTITUTE(SUBSTITUTE(G12,"&lt;p&gt;",""),"&lt;/p&gt;",""),"&lt;ul&gt;",""),"&lt;/ul&gt;",""),"&lt;/strong&gt;",""))</f>
        <v>Déj. Bourrienne CB, OPNF, TS avec Daylight FO (D. Lagarnaudie) : échanges sur refinancement ptf global, tickets 1M Straton/1M Géodésie. Attente offres banques semaine prochaine. Décision d’attendre 2026 pour validation montant fonds suite incertitudes fiscales. Prochaine étape : réception offres.</v>
      </c>
      <c r="I12" s="14" cm="1" t="str">
        <f t="array" ref="I12">IF(C12="","",IF(OR(H12="",H12=0,H12=FALSE),"-",H12))</f>
        <v>Déj. Bourrienne CB, OPNF, TS avec Daylight FO (D. Lagarnaudie) : échanges sur refinancement ptf global, tickets 1M Straton/1M Géodésie. Attente offres banques semaine prochaine. Décision d’attendre 2026 pour validation montant fonds suite incertitudes fiscales. Prochaine étape : réception offres.</v>
      </c>
      <c r="J12" s="8">
</c>
      <c r="K12" s="8" t="s">
        <v>41</v>
      </c>
      <c r="L12" s="9" cm="1" t="str">
        <f t="array" ref="L12">IF(C12="","",IF(K12="Mort / Plus rien à faire","KO","OK"))</f>
        <v>OK</v>
      </c>
      <c r="M12" s="15">
        <v>46141.860439814816</v>
      </c>
      <c r="N12" s="15" cm="1" t="n">
        <f t="array" ref="N12">IF(OR(C12="",M12="",M12=0),"",M12)</f>
        <v>46141.860439814816</v>
      </c>
      <c r="O12" s="15">
</c>
      <c r="P12" s="15" cm="1" t="str">
        <f t="array" ref="P12">IF(C12="","",IF(OR(O12="",O12=0),"-",O12))</f>
        <v>-</v>
      </c>
      <c r="Q12" s="16">
        <v>1000000</v>
      </c>
      <c r="R12" s="16" cm="1" t="str">
        <f t="array" ref="R12">IF(C12="","",ROUND(Q12/1000000,3)&amp;" M€")</f>
        <v>1 M€</v>
      </c>
      <c r="S12" s="12" t="s">
        <v>42</v>
      </c>
      <c r="T12" s="9" cm="1" t="str">
        <f t="array" ref="T12">IF(C12="","",SUBSTITUTE(S12,"","")&amp;"%")</f>
        <v>50%</v>
      </c>
      <c r="U12" s="14" cm="1" t="str">
        <f t="array" ref="U12">IF(($N12="")*($P12=""),"",IF(($N12&lt;&gt;"")*($N12&gt;TODAY()-9)*($N12&lt;TODAY()+1)*($P12&lt;&gt;"")*($P12&gt;=TODAY())*($P12&lt;=TODAY()+13),"Semaine passée &amp; à venir",IF(($N12&lt;&gt;"")*($N12&gt;TODAY()-9)*($N12&lt;TODAY()+1),"Semaine passée",IF(($P12&lt;&gt;"")*($P12&gt;=TODAY())*($P12&lt;=TODAY()+13),"À venir","Autre"))))</f>
        <v>Semaine passée</v>
      </c>
      <c r="V12" s="8" cm="1" t="n">
        <f t="array" ref="V12">IF(C12&lt;&gt;"",1,0)</f>
        <v>1</v>
      </c>
      <c r="W12" s="8">
</c>
      <c r="X12" s="8">
</c>
      <c r="Y12" s="8">
</c>
      <c r="Z12" s="8">
</c>
      <c r="AA12" s="8">
</c>
      <c r="AB12" s="8">
</c>
      <c r="AC12" s="8">
</c>
      <c r="AD12" s="8">
</c>
      <c r="AE12" s="8">
</c>
      <c r="AF12" s="8">
</c>
      <c r="AG12" s="8">
</c>
      <c r="AH12" s="8">
</c>
      <c r="AI12" s="8">
</c>
      <c r="AJ12" s="8">
</c>
      <c r="AK12" s="8">
</c>
    </row>
    <row r="13" ht="76.5" customHeight="1">
      <c r="A13" s="9" t="s">
        <v>23</v>
      </c>
      <c r="B13" s="9" t="s">
        <v>45</v>
      </c>
      <c r="C13" s="12" t="s">
        <v>64</v>
      </c>
      <c r="D13" s="12" t="s">
        <v>65</v>
      </c>
      <c r="E13" s="9" t="s">
        <v>39</v>
      </c>
      <c r="F13" s="8" t="s">
        <v>66</v>
      </c>
      <c r="G13" s="13" cm="1" t="str">
        <f t="array" ref="G13">IF(F13="","",SUBSTITUTE(SUBSTITUTE(SUBSTITUTE(SUBSTITUTE(F13,"&lt;li&gt;",CHAR(10)),"&lt;/li&gt;",""),"&lt;br&gt;",CHAR(10)),"&lt;strong&gt;",""))</f>
        <v>&lt;p&gt;Accord de partenariat Audacia pour fonds remploi, conditions financières à préparer. Intérêt fort confirmé pour nos stratégies diversification/remploi, screening complet avant signature. Dernier échange 27/03 : message laissé pour suivi avancement convention partenaires. Prochaine étape : finaliser conditions.&lt;/p&gt;</v>
      </c>
      <c r="H13" s="13" cm="1" t="str">
        <f t="array" ref="H13">IF(G13="","",SUBSTITUTE(SUBSTITUTE(SUBSTITUTE(SUBSTITUTE(SUBSTITUTE(G13,"&lt;p&gt;",""),"&lt;/p&gt;",""),"&lt;ul&gt;",""),"&lt;/ul&gt;",""),"&lt;/strong&gt;",""))</f>
        <v>Accord de partenariat Audacia pour fonds remploi, conditions financières à préparer. Intérêt fort confirmé pour nos stratégies diversification/remploi, screening complet avant signature. Dernier échange 27/03 : message laissé pour suivi avancement convention partenaires. Prochaine étape : finaliser conditions.</v>
      </c>
      <c r="I13" s="14" cm="1" t="str">
        <f t="array" ref="I13">IF(C13="","",IF(OR(H13="",H13=0,H13=FALSE),"-",H13))</f>
        <v>Accord de partenariat Audacia pour fonds remploi, conditions financières à préparer. Intérêt fort confirmé pour nos stratégies diversification/remploi, screening complet avant signature. Dernier échange 27/03 : message laissé pour suivi avancement convention partenaires. Prochaine étape : finaliser conditions.</v>
      </c>
      <c r="J13" s="8">
</c>
      <c r="K13" s="8" t="s">
        <v>41</v>
      </c>
      <c r="L13" s="9" cm="1" t="str">
        <f t="array" ref="L13">IF(C13="","",IF(K13="Mort / Plus rien à faire","KO","OK"))</f>
        <v>OK</v>
      </c>
      <c r="M13" s="15">
        <v>46132.6387962963</v>
      </c>
      <c r="N13" s="15" cm="1" t="n">
        <f t="array" ref="N13">IF(OR(C13="",M13="",M13=0),"",M13)</f>
        <v>46132.6387962963</v>
      </c>
      <c r="O13" s="15">
</c>
      <c r="P13" s="15" cm="1" t="str">
        <f t="array" ref="P13">IF(C13="","",IF(OR(O13="",O13=0),"-",O13))</f>
        <v>-</v>
      </c>
      <c r="Q13" s="16">
        <v>0</v>
      </c>
      <c r="R13" s="16" cm="1" t="str">
        <f t="array" ref="R13">IF(C13="","",ROUND(Q13/1000000,3)&amp;" M€")</f>
        <v>0 M€</v>
      </c>
      <c r="S13" s="12" t="s">
        <v>42</v>
      </c>
      <c r="T13" s="9" cm="1" t="str">
        <f t="array" ref="T13">IF(C13="","",SUBSTITUTE(S13,"","")&amp;"%")</f>
        <v>50%</v>
      </c>
      <c r="U13" s="14" cm="1" t="str">
        <f t="array" ref="U13">IF(($N13="")*($P13=""),"",IF(($N13&lt;&gt;"")*($N13&gt;TODAY()-9)*($N13&lt;TODAY()+1)*($P13&lt;&gt;"")*($P13&gt;=TODAY())*($P13&lt;=TODAY()+13),"Semaine passée &amp; à venir",IF(($N13&lt;&gt;"")*($N13&gt;TODAY()-9)*($N13&lt;TODAY()+1),"Semaine passée",IF(($P13&lt;&gt;"")*($P13&gt;=TODAY())*($P13&lt;=TODAY()+13),"À venir","Autre"))))</f>
        <v>Autre</v>
      </c>
      <c r="V13" s="8" cm="1" t="n">
        <f t="array" ref="V13">IF(C13&lt;&gt;"",1,0)</f>
        <v>1</v>
      </c>
      <c r="W13" s="8">
</c>
      <c r="X13" s="8">
</c>
      <c r="Y13" s="8">
</c>
      <c r="Z13" s="8">
</c>
      <c r="AA13" s="8">
</c>
      <c r="AB13" s="8">
</c>
      <c r="AC13" s="8">
</c>
      <c r="AD13" s="8">
</c>
      <c r="AE13" s="8">
</c>
      <c r="AF13" s="8">
</c>
      <c r="AG13" s="8">
</c>
      <c r="AH13" s="8">
</c>
      <c r="AI13" s="8">
</c>
      <c r="AJ13" s="8">
</c>
      <c r="AK13" s="8">
</c>
    </row>
    <row r="14" ht="76.5" customHeight="1">
      <c r="A14" s="9" t="s">
        <v>23</v>
      </c>
      <c r="B14" s="9" t="s">
        <v>53</v>
      </c>
      <c r="C14" s="12" t="s">
        <v>67</v>
      </c>
      <c r="D14" s="12" t="s">
        <v>67</v>
      </c>
      <c r="E14" s="9" t="s">
        <v>39</v>
      </c>
      <c r="F14" s="8" t="s">
        <v>68</v>
      </c>
      <c r="G14" s="13" cm="1" t="str">
        <f t="array" ref="G14">IF(F14="","",SUBSTITUTE(SUBSTITUTE(SUBSTITUTE(SUBSTITUTE(F14,"&lt;li&gt;",CHAR(10)),"&lt;/li&gt;",""),"&lt;br&gt;",CHAR(10)),"&lt;strong&gt;",""))</f>
        <v>&lt;p&gt;Nouvelle piste créée équipe Ventes 16/03. Lead enrichi sans données société, email générique, aucun crédit consommé. Lead CB noté 23/03. Aucun échange, activité ou retour prospect enregistré depuis. Pas d'action planifiée ni de feedback sur fonds présentés. Suivi inexistant.&lt;/p&gt;</v>
      </c>
      <c r="H14" s="13" cm="1" t="str">
        <f t="array" ref="H14">IF(G14="","",SUBSTITUTE(SUBSTITUTE(SUBSTITUTE(SUBSTITUTE(SUBSTITUTE(G14,"&lt;p&gt;",""),"&lt;/p&gt;",""),"&lt;ul&gt;",""),"&lt;/ul&gt;",""),"&lt;/strong&gt;",""))</f>
        <v>Nouvelle piste créée équipe Ventes 16/03. Lead enrichi sans données société, email générique, aucun crédit consommé. Lead CB noté 23/03. Aucun échange, activité ou retour prospect enregistré depuis. Pas d'action planifiée ni de feedback sur fonds présentés. Suivi inexistant.</v>
      </c>
      <c r="I14" s="14" cm="1" t="str">
        <f t="array" ref="I14">IF(C14="","",IF(OR(H14="",H14=0,H14=FALSE),"-",H14))</f>
        <v>Nouvelle piste créée équipe Ventes 16/03. Lead enrichi sans données société, email générique, aucun crédit consommé. Lead CB noté 23/03. Aucun échange, activité ou retour prospect enregistré depuis. Pas d'action planifiée ni de feedback sur fonds présentés. Suivi inexistant.</v>
      </c>
      <c r="J14" s="8">
</c>
      <c r="K14" s="8" t="s">
        <v>52</v>
      </c>
      <c r="L14" s="9" cm="1" t="str">
        <f t="array" ref="L14">IF(C14="","",IF(K14="Mort / Plus rien à faire","KO","OK"))</f>
        <v>OK</v>
      </c>
      <c r="M14" s="15">
        <v>46105.646006944444</v>
      </c>
      <c r="N14" s="15" cm="1" t="n">
        <f t="array" ref="N14">IF(OR(C14="",M14="",M14=0),"",M14)</f>
        <v>46105.646006944444</v>
      </c>
      <c r="O14" s="15">
</c>
      <c r="P14" s="15" cm="1" t="str">
        <f t="array" ref="P14">IF(C14="","",IF(OR(O14="",O14=0),"-",O14))</f>
        <v>-</v>
      </c>
      <c r="Q14" s="16">
        <v>100000</v>
      </c>
      <c r="R14" s="16" cm="1" t="str">
        <f t="array" ref="R14">IF(C14="","",ROUND(Q14/1000000,3)&amp;" M€")</f>
        <v>0.1 M€</v>
      </c>
      <c r="S14" s="12" t="s">
        <v>42</v>
      </c>
      <c r="T14" s="9" cm="1" t="str">
        <f t="array" ref="T14">IF(C14="","",SUBSTITUTE(S14,"","")&amp;"%")</f>
        <v>50%</v>
      </c>
      <c r="U14" s="14" cm="1" t="str">
        <f t="array" ref="U14">IF(($N14="")*($P14=""),"",IF(($N14&lt;&gt;"")*($N14&gt;TODAY()-9)*($N14&lt;TODAY()+1)*($P14&lt;&gt;"")*($P14&gt;=TODAY())*($P14&lt;=TODAY()+13),"Semaine passée &amp; à venir",IF(($N14&lt;&gt;"")*($N14&gt;TODAY()-9)*($N14&lt;TODAY()+1),"Semaine passée",IF(($P14&lt;&gt;"")*($P14&gt;=TODAY())*($P14&lt;=TODAY()+13),"À venir","Autre"))))</f>
        <v>Autre</v>
      </c>
      <c r="V14" s="8" cm="1" t="n">
        <f t="array" ref="V14">IF(C14&lt;&gt;"",1,0)</f>
        <v>1</v>
      </c>
      <c r="W14" s="8">
</c>
      <c r="X14" s="8">
</c>
      <c r="Y14" s="8">
</c>
      <c r="Z14" s="8">
</c>
      <c r="AA14" s="8">
</c>
      <c r="AB14" s="8">
</c>
      <c r="AC14" s="8">
</c>
      <c r="AD14" s="8">
</c>
      <c r="AE14" s="8">
</c>
      <c r="AF14" s="8">
</c>
      <c r="AG14" s="8">
</c>
      <c r="AH14" s="8">
</c>
      <c r="AI14" s="8">
</c>
      <c r="AJ14" s="8">
</c>
      <c r="AK14" s="8">
</c>
    </row>
    <row r="15" ht="76.5" customHeight="1">
      <c r="A15" s="9" t="s">
        <v>23</v>
      </c>
      <c r="B15" s="9" t="s">
        <v>32</v>
      </c>
      <c r="C15" s="12" t="s">
        <v>69</v>
      </c>
      <c r="D15" s="12" t="s">
        <v>70</v>
      </c>
      <c r="E15" s="9" t="s">
        <v>27</v>
      </c>
      <c r="F15" s="8" t="s">
        <v>71</v>
      </c>
      <c r="G15" s="13" cm="1" t="str">
        <f t="array" ref="G15">IF(F15="","",SUBSTITUTE(SUBSTITUTE(SUBSTITUTE(SUBSTITUTE(F15,"&lt;li&gt;",CHAR(10)),"&lt;/li&gt;",""),"&lt;br&gt;",CHAR(10)),"&lt;strong&gt;",""))</f>
        <v>&lt;p&gt;2025.04.29 AG2R : Présentation Straton &amp;amp; Expansion, échanges sur fonds quantique, spatial, défense. AG2R analyse fonds, questionne thématiques nucléaire/défense, évoque contraintes internes, intérêt pour Origa, Ciclad, ACE. Suivi : deck Straton, benchmark concurrents. Prochain RDV T Rivron/C Roustang calé. Prochaine action 20/05/2026.&lt;/p&gt;</v>
      </c>
      <c r="H15" s="13" cm="1" t="str">
        <f t="array" ref="H15">IF(G15="","",SUBSTITUTE(SUBSTITUTE(SUBSTITUTE(SUBSTITUTE(SUBSTITUTE(G15,"&lt;p&gt;",""),"&lt;/p&gt;",""),"&lt;ul&gt;",""),"&lt;/ul&gt;",""),"&lt;/strong&gt;",""))</f>
        <v>2025.04.29 AG2R : Présentation Straton &amp;amp; Expansion, échanges sur fonds quantique, spatial, défense. AG2R analyse fonds, questionne thématiques nucléaire/défense, évoque contraintes internes, intérêt pour Origa, Ciclad, ACE. Suivi : deck Straton, benchmark concurrents. Prochain RDV T Rivron/C Roustang calé. Prochaine action 20/05/2026.</v>
      </c>
      <c r="I15" s="14" cm="1" t="str">
        <f t="array" ref="I15">IF(C15="","",IF(OR(H15="",H15=0,H15=FALSE),"-",H15))</f>
        <v>2025.04.29 AG2R : Présentation Straton &amp;amp; Expansion, échanges sur fonds quantique, spatial, défense. AG2R analyse fonds, questionne thématiques nucléaire/défense, évoque contraintes internes, intérêt pour Origa, Ciclad, ACE. Suivi : deck Straton, benchmark concurrents. Prochain RDV T Rivron/C Roustang calé. Prochaine action 20/05/2026.</v>
      </c>
      <c r="J15" s="8" t="s">
        <v>72</v>
      </c>
      <c r="K15" s="8" t="s">
        <v>52</v>
      </c>
      <c r="L15" s="9" cm="1" t="str">
        <f t="array" ref="L15">IF(C15="","",IF(K15="Mort / Plus rien à faire","KO","OK"))</f>
        <v>OK</v>
      </c>
      <c r="M15" s="15">
        <v>46134.35668981481</v>
      </c>
      <c r="N15" s="15" cm="1" t="n">
        <f t="array" ref="N15">IF(OR(C15="",M15="",M15=0),"",M15)</f>
        <v>46134.35668981481</v>
      </c>
      <c r="O15" s="15">
        <v>46162.708333333336</v>
      </c>
      <c r="P15" s="15" cm="1" t="n">
        <f t="array" ref="P15">IF(C15="","",IF(OR(O15="",O15=0),"-",O15))</f>
        <v>46162.708333333336</v>
      </c>
      <c r="Q15" s="16">
        <v>5000000</v>
      </c>
      <c r="R15" s="16" cm="1" t="str">
        <f t="array" ref="R15">IF(C15="","",ROUND(Q15/1000000,3)&amp;" M€")</f>
        <v>5 M€</v>
      </c>
      <c r="S15" s="12" t="s">
        <v>73</v>
      </c>
      <c r="T15" s="9" cm="1" t="str">
        <f t="array" ref="T15">IF(C15="","",SUBSTITUTE(S15,"","")&amp;"%")</f>
        <v>30%</v>
      </c>
      <c r="U15" s="14" cm="1" t="str">
        <f t="array" ref="U15">IF(($N15="")*($P15=""),"",IF(($N15&lt;&gt;"")*($N15&gt;TODAY()-9)*($N15&lt;TODAY()+1)*($P15&lt;&gt;"")*($P15&gt;=TODAY())*($P15&lt;=TODAY()+13),"Semaine passée &amp; à venir",IF(($N15&lt;&gt;"")*($N15&gt;TODAY()-9)*($N15&lt;TODAY()+1),"Semaine passée",IF(($P15&lt;&gt;"")*($P15&gt;=TODAY())*($P15&lt;=TODAY()+13),"À venir","Autre"))))</f>
        <v>Autre</v>
      </c>
      <c r="V15" s="8" cm="1" t="n">
        <f t="array" ref="V15">IF(C15&lt;&gt;"",1,0)</f>
        <v>1</v>
      </c>
      <c r="W15" s="8">
</c>
      <c r="X15" s="8">
</c>
      <c r="Y15" s="8">
</c>
      <c r="Z15" s="8">
</c>
      <c r="AA15" s="8">
</c>
      <c r="AB15" s="8">
</c>
      <c r="AC15" s="8">
</c>
      <c r="AD15" s="8">
</c>
      <c r="AE15" s="8">
</c>
      <c r="AF15" s="8">
</c>
      <c r="AG15" s="8">
</c>
      <c r="AH15" s="8">
</c>
      <c r="AI15" s="8">
</c>
      <c r="AJ15" s="8">
</c>
      <c r="AK15" s="8">
</c>
    </row>
    <row r="16" ht="76.5" customHeight="1">
      <c r="A16" s="9" t="s">
        <v>23</v>
      </c>
      <c r="B16" s="9" t="s">
        <v>36</v>
      </c>
      <c r="C16" s="12" t="s">
        <v>74</v>
      </c>
      <c r="D16" s="12" t="s">
        <v>75</v>
      </c>
      <c r="E16" s="9" t="s">
        <v>27</v>
      </c>
      <c r="F16" s="8" t="s">
        <v>76</v>
      </c>
      <c r="G16" s="13" cm="1" t="str">
        <f t="array" ref="G16">IF(F16="","",SUBSTITUTE(SUBSTITUTE(SUBSTITUTE(SUBSTITUTE(F16,"&lt;li&gt;",CHAR(10)),"&lt;/li&gt;",""),"&lt;br&gt;",CHAR(10)),"&lt;strong&gt;",""))</f>
        <v>&lt;p&gt;RDV physique 28/01/26 : présentation offre PE, Straton ciblé S2 2026, process référencement instruit, potentiel levée 1-5M€. Relances multiples Benjamin (mail, appel, vocal), envoi dataroom. 13/04/26 : Straton short-listé pour campagne PE BP S2 2026. Prochaine étape : relancer Benjamin (appel prévu 17/04/26).&lt;/p&gt;</v>
      </c>
      <c r="H16" s="13" cm="1" t="str">
        <f t="array" ref="H16">IF(G16="","",SUBSTITUTE(SUBSTITUTE(SUBSTITUTE(SUBSTITUTE(SUBSTITUTE(G16,"&lt;p&gt;",""),"&lt;/p&gt;",""),"&lt;ul&gt;",""),"&lt;/ul&gt;",""),"&lt;/strong&gt;",""))</f>
        <v>RDV physique 28/01/26 : présentation offre PE, Straton ciblé S2 2026, process référencement instruit, potentiel levée 1-5M€. Relances multiples Benjamin (mail, appel, vocal), envoi dataroom. 13/04/26 : Straton short-listé pour campagne PE BP S2 2026. Prochaine étape : relancer Benjamin (appel prévu 17/04/26).</v>
      </c>
      <c r="I16" s="14" cm="1" t="str">
        <f t="array" ref="I16">IF(C16="","",IF(OR(H16="",H16=0,H16=FALSE),"-",H16))</f>
        <v>RDV physique 28/01/26 : présentation offre PE, Straton ciblé S2 2026, process référencement instruit, potentiel levée 1-5M€. Relances multiples Benjamin (mail, appel, vocal), envoi dataroom. 13/04/26 : Straton short-listé pour campagne PE BP S2 2026. Prochaine étape : relancer Benjamin (appel prévu 17/04/26).</v>
      </c>
      <c r="J16" s="8" t="s">
        <v>77</v>
      </c>
      <c r="K16" s="8" t="s">
        <v>52</v>
      </c>
      <c r="L16" s="9" cm="1" t="str">
        <f t="array" ref="L16">IF(C16="","",IF(K16="Mort / Plus rien à faire","KO","OK"))</f>
        <v>OK</v>
      </c>
      <c r="M16" s="15">
        <v>46125.404074074075</v>
      </c>
      <c r="N16" s="15" cm="1" t="n">
        <f t="array" ref="N16">IF(OR(C16="",M16="",M16=0),"",M16)</f>
        <v>46125.404074074075</v>
      </c>
      <c r="O16" s="15">
</c>
      <c r="P16" s="15" cm="1" t="str">
        <f t="array" ref="P16">IF(C16="","",IF(OR(O16="",O16=0),"-",O16))</f>
        <v>-</v>
      </c>
      <c r="Q16" s="16">
        <v>1000000</v>
      </c>
      <c r="R16" s="16" cm="1" t="str">
        <f t="array" ref="R16">IF(C16="","",ROUND(Q16/1000000,3)&amp;" M€")</f>
        <v>1 M€</v>
      </c>
      <c r="S16" s="12" t="s">
        <v>73</v>
      </c>
      <c r="T16" s="9" cm="1" t="str">
        <f t="array" ref="T16">IF(C16="","",SUBSTITUTE(S16,"","")&amp;"%")</f>
        <v>30%</v>
      </c>
      <c r="U16" s="14" cm="1" t="str">
        <f t="array" ref="U16">IF(($N16="")*($P16=""),"",IF(($N16&lt;&gt;"")*($N16&gt;TODAY()-9)*($N16&lt;TODAY()+1)*($P16&lt;&gt;"")*($P16&gt;=TODAY())*($P16&lt;=TODAY()+13),"Semaine passée &amp; à venir",IF(($N16&lt;&gt;"")*($N16&gt;TODAY()-9)*($N16&lt;TODAY()+1),"Semaine passée",IF(($P16&lt;&gt;"")*($P16&gt;=TODAY())*($P16&lt;=TODAY()+13),"À venir","Autre"))))</f>
        <v>Autre</v>
      </c>
      <c r="V16" s="8" cm="1" t="n">
        <f t="array" ref="V16">IF(C16&lt;&gt;"",1,0)</f>
        <v>1</v>
      </c>
      <c r="W16" s="8">
</c>
      <c r="X16" s="8">
</c>
      <c r="Y16" s="8">
</c>
      <c r="Z16" s="8">
</c>
      <c r="AA16" s="8">
</c>
      <c r="AB16" s="8">
</c>
      <c r="AC16" s="8">
</c>
      <c r="AD16" s="8">
</c>
      <c r="AE16" s="8">
</c>
      <c r="AF16" s="8">
</c>
      <c r="AG16" s="8">
</c>
      <c r="AH16" s="8">
</c>
      <c r="AI16" s="8">
</c>
      <c r="AJ16" s="8">
</c>
      <c r="AK16" s="8">
</c>
    </row>
    <row r="17" ht="76.5" customHeight="1">
      <c r="A17" s="9" t="s">
        <v>23</v>
      </c>
      <c r="B17" s="9" t="s">
        <v>57</v>
      </c>
      <c r="C17" s="12" t="s">
        <v>78</v>
      </c>
      <c r="D17" s="12" t="s">
        <v>79</v>
      </c>
      <c r="E17" s="9" t="s">
        <v>27</v>
      </c>
      <c r="F17" s="8" t="s">
        <v>80</v>
      </c>
      <c r="G17" s="13" cm="1" t="str">
        <f t="array" ref="G17">IF(F17="","",SUBSTITUTE(SUBSTITUTE(SUBSTITUTE(SUBSTITUTE(F17,"&lt;li&gt;",CHAR(10)),"&lt;/li&gt;",""),"&lt;br&gt;",CHAR(10)),"&lt;strong&gt;",""))</f>
        <v>&lt;p&gt;Déj 5/03 avec T Barrey (fonds de fonds)&amp;nbsp;: IVESTA, 45 ETP, 3bn aum, 100 fonds PE, 20% venture. Recherche spécialistes, tickets ponctuels 1M€, coalition familles. Process : 4 votants, due diligence, focus gouvernance, alpha opérationnel. Deck partagé 8/04, relance fin mars. Prochaine étape&amp;nbsp;: retour sur choix STRATON.&lt;/p&gt;</v>
      </c>
      <c r="H17" s="13" cm="1" t="str">
        <f t="array" ref="H17">IF(G17="","",SUBSTITUTE(SUBSTITUTE(SUBSTITUTE(SUBSTITUTE(SUBSTITUTE(G17,"&lt;p&gt;",""),"&lt;/p&gt;",""),"&lt;ul&gt;",""),"&lt;/ul&gt;",""),"&lt;/strong&gt;",""))</f>
        <v>Déj 5/03 avec T Barrey (fonds de fonds)&amp;nbsp;: IVESTA, 45 ETP, 3bn aum, 100 fonds PE, 20% venture. Recherche spécialistes, tickets ponctuels 1M€, coalition familles. Process : 4 votants, due diligence, focus gouvernance, alpha opérationnel. Deck partagé 8/04, relance fin mars. Prochaine étape&amp;nbsp;: retour sur choix STRATON.</v>
      </c>
      <c r="I17" s="14" cm="1" t="str">
        <f t="array" ref="I17">IF(C17="","",IF(OR(H17="",H17=0,H17=FALSE),"-",H17))</f>
        <v>Déj 5/03 avec T Barrey (fonds de fonds)&amp;nbsp;: IVESTA, 45 ETP, 3bn aum, 100 fonds PE, 20% venture. Recherche spécialistes, tickets ponctuels 1M€, coalition familles. Process : 4 votants, due diligence, focus gouvernance, alpha opérationnel. Deck partagé 8/04, relance fin mars. Prochaine étape&amp;nbsp;: retour sur choix STRATON.</v>
      </c>
      <c r="J17" s="8">
</c>
      <c r="K17" s="8" t="s">
        <v>52</v>
      </c>
      <c r="L17" s="9" cm="1" t="str">
        <f t="array" ref="L17">IF(C17="","",IF(K17="Mort / Plus rien à faire","KO","OK"))</f>
        <v>OK</v>
      </c>
      <c r="M17" s="15">
        <v>46135.47131944444</v>
      </c>
      <c r="N17" s="15" cm="1" t="n">
        <f t="array" ref="N17">IF(OR(C17="",M17="",M17=0),"",M17)</f>
        <v>46135.47131944444</v>
      </c>
      <c r="O17" s="15">
</c>
      <c r="P17" s="15" cm="1" t="str">
        <f t="array" ref="P17">IF(C17="","",IF(OR(O17="",O17=0),"-",O17))</f>
        <v>-</v>
      </c>
      <c r="Q17" s="16">
        <v>1000000</v>
      </c>
      <c r="R17" s="16" cm="1" t="str">
        <f t="array" ref="R17">IF(C17="","",ROUND(Q17/1000000,3)&amp;" M€")</f>
        <v>1 M€</v>
      </c>
      <c r="S17" s="12" t="s">
        <v>73</v>
      </c>
      <c r="T17" s="9" cm="1" t="str">
        <f t="array" ref="T17">IF(C17="","",SUBSTITUTE(S17,"","")&amp;"%")</f>
        <v>30%</v>
      </c>
      <c r="U17" s="14" cm="1" t="str">
        <f t="array" ref="U17">IF(($N17="")*($P17=""),"",IF(($N17&lt;&gt;"")*($N17&gt;TODAY()-9)*($N17&lt;TODAY()+1)*($P17&lt;&gt;"")*($P17&gt;=TODAY())*($P17&lt;=TODAY()+13),"Semaine passée &amp; à venir",IF(($N17&lt;&gt;"")*($N17&gt;TODAY()-9)*($N17&lt;TODAY()+1),"Semaine passée",IF(($P17&lt;&gt;"")*($P17&gt;=TODAY())*($P17&lt;=TODAY()+13),"À venir","Autre"))))</f>
        <v>Autre</v>
      </c>
      <c r="V17" s="8" cm="1" t="n">
        <f t="array" ref="V17">IF(C17&lt;&gt;"",1,0)</f>
        <v>1</v>
      </c>
      <c r="W17" s="8">
</c>
      <c r="X17" s="8">
</c>
      <c r="Y17" s="8">
</c>
      <c r="Z17" s="8">
</c>
      <c r="AA17" s="8">
</c>
      <c r="AB17" s="8">
</c>
      <c r="AC17" s="8">
</c>
      <c r="AD17" s="8">
</c>
      <c r="AE17" s="8">
</c>
      <c r="AF17" s="8">
</c>
      <c r="AG17" s="8">
</c>
      <c r="AH17" s="8">
</c>
      <c r="AI17" s="8">
</c>
      <c r="AJ17" s="8">
</c>
      <c r="AK17" s="8">
</c>
    </row>
    <row r="18" ht="76.5" customHeight="1">
      <c r="A18" s="9" t="s">
        <v>23</v>
      </c>
      <c r="B18" s="9" t="s">
        <v>53</v>
      </c>
      <c r="C18" s="12" t="s">
        <v>81</v>
      </c>
      <c r="D18" s="12" t="s">
        <v>81</v>
      </c>
      <c r="E18" s="9" t="s">
        <v>27</v>
      </c>
      <c r="F18" s="8" t="s">
        <v>82</v>
      </c>
      <c r="G18" s="13" cm="1" t="str">
        <f t="array" ref="G18">IF(F18="","",SUBSTITUTE(SUBSTITUTE(SUBSTITUTE(SUBSTITUTE(F18,"&lt;li&gt;",CHAR(10)),"&lt;/li&gt;",""),"&lt;br&gt;",CHAR(10)),"&lt;strong&gt;",""))</f>
        <v>&lt;p&gt;Félicitations adressées à Thomas pour le Palmarès Choiseul, valorisation du travail Audacia/BITD. Proposition d'échange sur le fonds STRATON, ouverture à un rendez-vous ou appel. Attente de disponibilités pour organiser la rencontre. Pas d'autres actions ni retours prospect sur le fonds à ce stade.&lt;/p&gt;</v>
      </c>
      <c r="H18" s="13" cm="1" t="str">
        <f t="array" ref="H18">IF(G18="","",SUBSTITUTE(SUBSTITUTE(SUBSTITUTE(SUBSTITUTE(SUBSTITUTE(G18,"&lt;p&gt;",""),"&lt;/p&gt;",""),"&lt;ul&gt;",""),"&lt;/ul&gt;",""),"&lt;/strong&gt;",""))</f>
        <v>Félicitations adressées à Thomas pour le Palmarès Choiseul, valorisation du travail Audacia/BITD. Proposition d'échange sur le fonds STRATON, ouverture à un rendez-vous ou appel. Attente de disponibilités pour organiser la rencontre. Pas d'autres actions ni retours prospect sur le fonds à ce stade.</v>
      </c>
      <c r="I18" s="14" cm="1" t="str">
        <f t="array" ref="I18">IF(C18="","",IF(OR(H18="",H18=0,H18=FALSE),"-",H18))</f>
        <v>Félicitations adressées à Thomas pour le Palmarès Choiseul, valorisation du travail Audacia/BITD. Proposition d'échange sur le fonds STRATON, ouverture à un rendez-vous ou appel. Attente de disponibilités pour organiser la rencontre. Pas d'autres actions ni retours prospect sur le fonds à ce stade.</v>
      </c>
      <c r="J18" s="8">
</c>
      <c r="K18" s="8" t="s">
        <v>52</v>
      </c>
      <c r="L18" s="9" cm="1" t="str">
        <f t="array" ref="L18">IF(C18="","",IF(K18="Mort / Plus rien à faire","KO","OK"))</f>
        <v>OK</v>
      </c>
      <c r="M18" s="15">
        <v>46139.50864583333</v>
      </c>
      <c r="N18" s="15" cm="1" t="n">
        <f t="array" ref="N18">IF(OR(C18="",M18="",M18=0),"",M18)</f>
        <v>46139.50864583333</v>
      </c>
      <c r="O18" s="15">
</c>
      <c r="P18" s="15" cm="1" t="str">
        <f t="array" ref="P18">IF(C18="","",IF(OR(O18="",O18=0),"-",O18))</f>
        <v>-</v>
      </c>
      <c r="Q18" s="16">
        <v>100000</v>
      </c>
      <c r="R18" s="16" cm="1" t="str">
        <f t="array" ref="R18">IF(C18="","",ROUND(Q18/1000000,3)&amp;" M€")</f>
        <v>0.1 M€</v>
      </c>
      <c r="S18" s="12" t="s">
        <v>73</v>
      </c>
      <c r="T18" s="9" cm="1" t="str">
        <f t="array" ref="T18">IF(C18="","",SUBSTITUTE(S18,"","")&amp;"%")</f>
        <v>30%</v>
      </c>
      <c r="U18" s="14" cm="1" t="str">
        <f t="array" ref="U18">IF(($N18="")*($P18=""),"",IF(($N18&lt;&gt;"")*($N18&gt;TODAY()-9)*($N18&lt;TODAY()+1)*($P18&lt;&gt;"")*($P18&gt;=TODAY())*($P18&lt;=TODAY()+13),"Semaine passée &amp; à venir",IF(($N18&lt;&gt;"")*($N18&gt;TODAY()-9)*($N18&lt;TODAY()+1),"Semaine passée",IF(($P18&lt;&gt;"")*($P18&gt;=TODAY())*($P18&lt;=TODAY()+13),"À venir","Autre"))))</f>
        <v>Semaine passée</v>
      </c>
      <c r="V18" s="8" cm="1" t="n">
        <f t="array" ref="V18">IF(C18&lt;&gt;"",1,0)</f>
        <v>1</v>
      </c>
      <c r="W18" s="8">
</c>
      <c r="X18" s="8">
</c>
      <c r="Y18" s="8">
</c>
      <c r="Z18" s="8">
</c>
      <c r="AA18" s="8">
</c>
      <c r="AB18" s="8">
</c>
      <c r="AC18" s="8">
</c>
      <c r="AD18" s="8">
</c>
      <c r="AE18" s="8">
</c>
      <c r="AF18" s="8">
</c>
      <c r="AG18" s="8">
</c>
      <c r="AH18" s="8">
</c>
      <c r="AI18" s="8">
</c>
      <c r="AJ18" s="8">
</c>
      <c r="AK18" s="8">
</c>
    </row>
    <row r="19" ht="76.5" customHeight="1">
      <c r="A19" s="9" t="s">
        <v>23</v>
      </c>
      <c r="B19" s="9" t="s">
        <v>45</v>
      </c>
      <c r="C19" s="12" t="s">
        <v>83</v>
      </c>
      <c r="D19" s="12" t="s">
        <v>84</v>
      </c>
      <c r="E19" s="9" t="s">
        <v>39</v>
      </c>
      <c r="F19" s="8" t="s">
        <v>85</v>
      </c>
      <c r="G19" s="13" cm="1" t="str">
        <f t="array" ref="G19">IF(F19="","",SUBSTITUTE(SUBSTITUTE(SUBSTITUTE(SUBSTITUTE(F19,"&lt;li&gt;",CHAR(10)),"&lt;/li&gt;",""),"&lt;br&gt;",CHAR(10)),"&lt;strong&gt;",""))</f>
        <v>&lt;p&gt;Aucune activité menée sur le prospect. Un nouvelle piste a été créée pour l'équipe "Ventes". Aucun échange, action ou retour identifié à ce jour. Pas de suivi, pas de prochaines étapes planifiées, aucune interaction ou retour du prospect enregistré.&lt;/p&gt;</v>
      </c>
      <c r="H19" s="13" cm="1" t="str">
        <f t="array" ref="H19">IF(G19="","",SUBSTITUTE(SUBSTITUTE(SUBSTITUTE(SUBSTITUTE(SUBSTITUTE(G19,"&lt;p&gt;",""),"&lt;/p&gt;",""),"&lt;ul&gt;",""),"&lt;/ul&gt;",""),"&lt;/strong&gt;",""))</f>
        <v>Aucune activité menée sur le prospect. Un nouvelle piste a été créée pour l'équipe "Ventes". Aucun échange, action ou retour identifié à ce jour. Pas de suivi, pas de prochaines étapes planifiées, aucune interaction ou retour du prospect enregistré.</v>
      </c>
      <c r="I19" s="14" cm="1" t="str">
        <f t="array" ref="I19">IF(C19="","",IF(OR(H19="",H19=0,H19=FALSE),"-",H19))</f>
        <v>Aucune activité menée sur le prospect. Un nouvelle piste a été créée pour l'équipe "Ventes". Aucun échange, action ou retour identifié à ce jour. Pas de suivi, pas de prochaines étapes planifiées, aucune interaction ou retour du prospect enregistré.</v>
      </c>
      <c r="J19" s="8">
</c>
      <c r="K19" s="8" t="s">
        <v>52</v>
      </c>
      <c r="L19" s="9" cm="1" t="str">
        <f t="array" ref="L19">IF(C19="","",IF(K19="Mort / Plus rien à faire","KO","OK"))</f>
        <v>OK</v>
      </c>
      <c r="M19" s="15">
        <v>46135.62856481481</v>
      </c>
      <c r="N19" s="15" cm="1" t="n">
        <f t="array" ref="N19">IF(OR(C19="",M19="",M19=0),"",M19)</f>
        <v>46135.62856481481</v>
      </c>
      <c r="O19" s="15">
</c>
      <c r="P19" s="15" cm="1" t="str">
        <f t="array" ref="P19">IF(C19="","",IF(OR(O19="",O19=0),"-",O19))</f>
        <v>-</v>
      </c>
      <c r="Q19" s="16">
        <v>100000</v>
      </c>
      <c r="R19" s="16" cm="1" t="str">
        <f t="array" ref="R19">IF(C19="","",ROUND(Q19/1000000,3)&amp;" M€")</f>
        <v>0.1 M€</v>
      </c>
      <c r="S19" s="12" t="s">
        <v>73</v>
      </c>
      <c r="T19" s="9" cm="1" t="str">
        <f t="array" ref="T19">IF(C19="","",SUBSTITUTE(S19,"","")&amp;"%")</f>
        <v>30%</v>
      </c>
      <c r="U19" s="14" cm="1" t="str">
        <f t="array" ref="U19">IF(($N19="")*($P19=""),"",IF(($N19&lt;&gt;"")*($N19&gt;TODAY()-9)*($N19&lt;TODAY()+1)*($P19&lt;&gt;"")*($P19&gt;=TODAY())*($P19&lt;=TODAY()+13),"Semaine passée &amp; à venir",IF(($N19&lt;&gt;"")*($N19&gt;TODAY()-9)*($N19&lt;TODAY()+1),"Semaine passée",IF(($P19&lt;&gt;"")*($P19&gt;=TODAY())*($P19&lt;=TODAY()+13),"À venir","Autre"))))</f>
        <v>Autre</v>
      </c>
      <c r="V19" s="8" cm="1" t="n">
        <f t="array" ref="V19">IF(C19&lt;&gt;"",1,0)</f>
        <v>1</v>
      </c>
      <c r="W19" s="8">
</c>
      <c r="X19" s="8">
</c>
      <c r="Y19" s="8">
</c>
      <c r="Z19" s="8">
</c>
      <c r="AA19" s="8">
</c>
      <c r="AB19" s="8">
</c>
      <c r="AC19" s="8">
</c>
      <c r="AD19" s="8">
</c>
      <c r="AE19" s="8">
</c>
      <c r="AF19" s="8">
</c>
      <c r="AG19" s="8">
</c>
      <c r="AH19" s="8">
</c>
      <c r="AI19" s="8">
</c>
      <c r="AJ19" s="8">
</c>
      <c r="AK19" s="8">
</c>
    </row>
    <row r="20" ht="76.5" customHeight="1">
      <c r="A20" s="9" t="s">
        <v>23</v>
      </c>
      <c r="B20" s="9" t="s">
        <v>86</v>
      </c>
      <c r="C20" s="12" t="s">
        <v>87</v>
      </c>
      <c r="D20" s="12" t="s">
        <v>88</v>
      </c>
      <c r="E20" s="9" t="s">
        <v>27</v>
      </c>
      <c r="F20" s="8" t="s">
        <v>89</v>
      </c>
      <c r="G20" s="13" cm="1" t="str">
        <f t="array" ref="G20">IF(F20="","",SUBSTITUTE(SUBSTITUTE(SUBSTITUTE(SUBSTITUTE(F20,"&lt;li&gt;",CHAR(10)),"&lt;/li&gt;",""),"&lt;br&gt;",CHAR(10)),"&lt;strong&gt;",""))</f>
        <v>&lt;p&gt;RDV 2/03/26&amp;nbsp;: défense, décision fin mars pour comité d'invest 1M€, Quadrille passe pour 1M€ le 3/03, reste 1M€, 50% de chance. 28/01/26&amp;nbsp;: intérêt TIKHEAU/WINEBERG, besoin side business. KO pré-comité, part vers club ABENEX, prochain RDV 20/06/26. Pas de retour prospect sur fonds.&lt;/p&gt;</v>
      </c>
      <c r="H20" s="13" cm="1" t="str">
        <f t="array" ref="H20">IF(G20="","",SUBSTITUTE(SUBSTITUTE(SUBSTITUTE(SUBSTITUTE(SUBSTITUTE(G20,"&lt;p&gt;",""),"&lt;/p&gt;",""),"&lt;ul&gt;",""),"&lt;/ul&gt;",""),"&lt;/strong&gt;",""))</f>
        <v>RDV 2/03/26&amp;nbsp;: défense, décision fin mars pour comité d'invest 1M€, Quadrille passe pour 1M€ le 3/03, reste 1M€, 50% de chance. 28/01/26&amp;nbsp;: intérêt TIKHEAU/WINEBERG, besoin side business. KO pré-comité, part vers club ABENEX, prochain RDV 20/06/26. Pas de retour prospect sur fonds.</v>
      </c>
      <c r="I20" s="14" cm="1" t="str">
        <f t="array" ref="I20">IF(C20="","",IF(OR(H20="",H20=0,H20=FALSE),"-",H20))</f>
        <v>RDV 2/03/26&amp;nbsp;: défense, décision fin mars pour comité d'invest 1M€, Quadrille passe pour 1M€ le 3/03, reste 1M€, 50% de chance. 28/01/26&amp;nbsp;: intérêt TIKHEAU/WINEBERG, besoin side business. KO pré-comité, part vers club ABENEX, prochain RDV 20/06/26. Pas de retour prospect sur fonds.</v>
      </c>
      <c r="J20" s="8" t="s">
        <v>90</v>
      </c>
      <c r="K20" s="8" t="s">
        <v>52</v>
      </c>
      <c r="L20" s="9" cm="1" t="str">
        <f t="array" ref="L20">IF(C20="","",IF(K20="Mort / Plus rien à faire","KO","OK"))</f>
        <v>OK</v>
      </c>
      <c r="M20" s="15">
        <v>46135.394108796296</v>
      </c>
      <c r="N20" s="15" cm="1" t="n">
        <f t="array" ref="N20">IF(OR(C20="",M20="",M20=0),"",M20)</f>
        <v>46135.394108796296</v>
      </c>
      <c r="O20" s="15">
        <v>46192.083333333336</v>
      </c>
      <c r="P20" s="15" cm="1" t="n">
        <f t="array" ref="P20">IF(C20="","",IF(OR(O20="",O20=0),"-",O20))</f>
        <v>46192.083333333336</v>
      </c>
      <c r="Q20" s="16">
        <v>1000000</v>
      </c>
      <c r="R20" s="16" cm="1" t="str">
        <f t="array" ref="R20">IF(C20="","",ROUND(Q20/1000000,3)&amp;" M€")</f>
        <v>1 M€</v>
      </c>
      <c r="S20" s="12" t="s">
        <v>73</v>
      </c>
      <c r="T20" s="9" cm="1" t="str">
        <f t="array" ref="T20">IF(C20="","",SUBSTITUTE(S20,"","")&amp;"%")</f>
        <v>30%</v>
      </c>
      <c r="U20" s="14" cm="1" t="str">
        <f t="array" ref="U20">IF(($N20="")*($P20=""),"",IF(($N20&lt;&gt;"")*($N20&gt;TODAY()-9)*($N20&lt;TODAY()+1)*($P20&lt;&gt;"")*($P20&gt;=TODAY())*($P20&lt;=TODAY()+13),"Semaine passée &amp; à venir",IF(($N20&lt;&gt;"")*($N20&gt;TODAY()-9)*($N20&lt;TODAY()+1),"Semaine passée",IF(($P20&lt;&gt;"")*($P20&gt;=TODAY())*($P20&lt;=TODAY()+13),"À venir","Autre"))))</f>
        <v>Autre</v>
      </c>
      <c r="V20" s="8" cm="1" t="n">
        <f t="array" ref="V20">IF(C20&lt;&gt;"",1,0)</f>
        <v>1</v>
      </c>
      <c r="W20" s="8">
</c>
      <c r="X20" s="8">
</c>
      <c r="Y20" s="8">
</c>
      <c r="Z20" s="8">
</c>
      <c r="AA20" s="8">
</c>
      <c r="AB20" s="8">
</c>
      <c r="AC20" s="8">
</c>
      <c r="AD20" s="8">
</c>
      <c r="AE20" s="8">
</c>
      <c r="AF20" s="8">
</c>
      <c r="AG20" s="8">
</c>
      <c r="AH20" s="8">
</c>
      <c r="AI20" s="8">
</c>
      <c r="AJ20" s="8">
</c>
      <c r="AK20" s="8">
</c>
    </row>
    <row r="21" ht="76.5" customHeight="1">
      <c r="A21" s="9" t="s">
        <v>23</v>
      </c>
      <c r="B21" s="9" t="s">
        <v>57</v>
      </c>
      <c r="C21" s="12" t="s">
        <v>91</v>
      </c>
      <c r="D21" s="12" t="s">
        <v>92</v>
      </c>
      <c r="E21" s="9" t="s">
        <v>93</v>
      </c>
      <c r="F21" s="8" t="s">
        <v>94</v>
      </c>
      <c r="G21" s="13" cm="1" t="str">
        <f t="array" ref="G21">IF(F21="","",SUBSTITUTE(SUBSTITUTE(SUBSTITUTE(SUBSTITUTE(F21,"&lt;li&gt;",CHAR(10)),"&lt;/li&gt;",""),"&lt;br&gt;",CHAR(10)),"&lt;strong&gt;",""))</f>
        <v>&lt;p&gt;Multiples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relance.&lt;/p&gt;</v>
      </c>
      <c r="H21" s="13" cm="1" t="str">
        <f t="array" ref="H21">IF(G21="","",SUBSTITUTE(SUBSTITUTE(SUBSTITUTE(SUBSTITUTE(SUBSTITUTE(G21,"&lt;p&gt;",""),"&lt;/p&gt;",""),"&lt;ul&gt;",""),"&lt;/ul&gt;",""),"&lt;/strong&gt;",""))</f>
        <v>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v>
      </c>
      <c r="I21" s="14" cm="1" t="str">
        <f t="array" ref="I21">IF(C21="","",IF(OR(H21="",H21=0,H21=FALSE),"-",H21))</f>
        <v>Multiples relances et échanges (calls, mails, RDV) depuis 10/2025. RDV café 06/11, présentation fonds Audacia, intérêt pour spatial, quantique, défense. Stéphane pousse en interne, peu ouvert rétro, préfère honoraires. Dernière action&amp;nbsp;: relance invitation Rencontres Bourrienne 09/04. Prochaine étape&amp;nbsp;: suivi relance.</v>
      </c>
      <c r="J21" s="8">
</c>
      <c r="K21" s="8" t="s">
        <v>95</v>
      </c>
      <c r="L21" s="9" cm="1" t="str">
        <f t="array" ref="L21">IF(C21="","",IF(K21="Mort / Plus rien à faire","KO","OK"))</f>
        <v>OK</v>
      </c>
      <c r="M21" s="15">
        <v>46113.72516203704</v>
      </c>
      <c r="N21" s="15" cm="1" t="n">
        <f t="array" ref="N21">IF(OR(C21="",M21="",M21=0),"",M21)</f>
        <v>46113.72516203704</v>
      </c>
      <c r="O21" s="15">
</c>
      <c r="P21" s="15" cm="1" t="str">
        <f t="array" ref="P21">IF(C21="","",IF(OR(O21="",O21=0),"-",O21))</f>
        <v>-</v>
      </c>
      <c r="Q21" s="16">
        <v>0</v>
      </c>
      <c r="R21" s="16" cm="1" t="str">
        <f t="array" ref="R21">IF(C21="","",ROUND(Q21/1000000,3)&amp;" M€")</f>
        <v>0 M€</v>
      </c>
      <c r="S21" s="12" t="s">
        <v>73</v>
      </c>
      <c r="T21" s="9" cm="1" t="str">
        <f t="array" ref="T21">IF(C21="","",SUBSTITUTE(S21,"","")&amp;"%")</f>
        <v>30%</v>
      </c>
      <c r="U21" s="14" cm="1" t="str">
        <f t="array" ref="U21">IF(($N21="")*($P21=""),"",IF(($N21&lt;&gt;"")*($N21&gt;TODAY()-9)*($N21&lt;TODAY()+1)*($P21&lt;&gt;"")*($P21&gt;=TODAY())*($P21&lt;=TODAY()+13),"Semaine passée &amp; à venir",IF(($N21&lt;&gt;"")*($N21&gt;TODAY()-9)*($N21&lt;TODAY()+1),"Semaine passée",IF(($P21&lt;&gt;"")*($P21&gt;=TODAY())*($P21&lt;=TODAY()+13),"À venir","Autre"))))</f>
        <v>Autre</v>
      </c>
      <c r="V21" s="8" cm="1" t="n">
        <f t="array" ref="V21">IF(C21&lt;&gt;"",1,0)</f>
        <v>1</v>
      </c>
      <c r="W21" s="8">
</c>
      <c r="X21" s="8">
</c>
      <c r="Y21" s="8">
</c>
      <c r="Z21" s="8">
</c>
      <c r="AA21" s="8">
</c>
      <c r="AB21" s="8">
</c>
      <c r="AC21" s="8">
</c>
      <c r="AD21" s="8">
</c>
      <c r="AE21" s="8">
</c>
      <c r="AF21" s="8">
</c>
      <c r="AG21" s="8">
</c>
      <c r="AH21" s="8">
</c>
      <c r="AI21" s="8">
</c>
      <c r="AJ21" s="8">
</c>
      <c r="AK21" s="8">
</c>
    </row>
    <row r="22" ht="76.5" customHeight="1">
      <c r="A22" s="9" t="s">
        <v>23</v>
      </c>
      <c r="B22" s="9" t="s">
        <v>45</v>
      </c>
      <c r="C22" s="12" t="s">
        <v>96</v>
      </c>
      <c r="D22" s="12" t="s">
        <v>97</v>
      </c>
      <c r="E22" s="9" t="s">
        <v>93</v>
      </c>
      <c r="F22" s="8" t="s">
        <v>98</v>
      </c>
      <c r="G22" s="13" cm="1" t="str">
        <f t="array" ref="G22">IF(F22="","",SUBSTITUTE(SUBSTITUTE(SUBSTITUTE(SUBSTITUTE(F22,"&lt;li&gt;",CHAR(10)),"&lt;/li&gt;",""),"&lt;br&gt;",CHAR(10)),"&lt;strong&gt;",""))</f>
        <v>&lt;p&gt;Visio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Opale.&lt;/p&gt;</v>
      </c>
      <c r="H22" s="13" cm="1" t="str">
        <f t="array" ref="H22">IF(G22="","",SUBSTITUTE(SUBSTITUTE(SUBSTITUTE(SUBSTITUTE(SUBSTITUTE(G22,"&lt;p&gt;",""),"&lt;/p&gt;",""),"&lt;ul&gt;",""),"&lt;/ul&gt;",""),"&lt;/strong&gt;",""))</f>
        <v>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v>
      </c>
      <c r="I22" s="14" cm="1" t="str">
        <f t="array" ref="I22">IF(C22="","",IF(OR(H22="",H22=0,H22=FALSE),"-",H22))</f>
        <v>Visio 27/11/25 : découverte, intérêt marqué pour fonds Défense, doc à envoyer. 01/12/25 : présentation Straton+ATDI envoyée. 22/01/26 : relance suite envoi présentation. Cabinet créé 09/25, clientèle dirigeants/M&amp;amp;A, forte conviction PE/défense, évite fonds fiscaux, travaille avec Opale.</v>
      </c>
      <c r="J22" s="8">
</c>
      <c r="K22" s="8" t="s">
        <v>52</v>
      </c>
      <c r="L22" s="9" cm="1" t="str">
        <f t="array" ref="L22">IF(C22="","",IF(K22="Mort / Plus rien à faire","KO","OK"))</f>
        <v>OK</v>
      </c>
      <c r="M22" s="15">
        <v>46044.65715277778</v>
      </c>
      <c r="N22" s="15" cm="1" t="n">
        <f t="array" ref="N22">IF(OR(C22="",M22="",M22=0),"",M22)</f>
        <v>46044.65715277778</v>
      </c>
      <c r="O22" s="15">
</c>
      <c r="P22" s="15" cm="1" t="str">
        <f t="array" ref="P22">IF(C22="","",IF(OR(O22="",O22=0),"-",O22))</f>
        <v>-</v>
      </c>
      <c r="Q22" s="16">
        <v>0</v>
      </c>
      <c r="R22" s="16" cm="1" t="str">
        <f t="array" ref="R22">IF(C22="","",ROUND(Q22/1000000,3)&amp;" M€")</f>
        <v>0 M€</v>
      </c>
      <c r="S22" s="12" t="s">
        <v>73</v>
      </c>
      <c r="T22" s="9" cm="1" t="str">
        <f t="array" ref="T22">IF(C22="","",SUBSTITUTE(S22,"","")&amp;"%")</f>
        <v>30%</v>
      </c>
      <c r="U22" s="14" cm="1" t="str">
        <f t="array" ref="U22">IF(($N22="")*($P22=""),"",IF(($N22&lt;&gt;"")*($N22&gt;TODAY()-9)*($N22&lt;TODAY()+1)*($P22&lt;&gt;"")*($P22&gt;=TODAY())*($P22&lt;=TODAY()+13),"Semaine passée &amp; à venir",IF(($N22&lt;&gt;"")*($N22&gt;TODAY()-9)*($N22&lt;TODAY()+1),"Semaine passée",IF(($P22&lt;&gt;"")*($P22&gt;=TODAY())*($P22&lt;=TODAY()+13),"À venir","Autre"))))</f>
        <v>Autre</v>
      </c>
      <c r="V22" s="8" cm="1" t="n">
        <f t="array" ref="V22">IF(C22&lt;&gt;"",1,0)</f>
        <v>1</v>
      </c>
      <c r="W22" s="8">
</c>
      <c r="X22" s="8">
</c>
      <c r="Y22" s="8">
</c>
      <c r="Z22" s="8">
</c>
      <c r="AA22" s="8">
</c>
      <c r="AB22" s="8">
</c>
      <c r="AC22" s="8">
</c>
      <c r="AD22" s="8">
</c>
      <c r="AE22" s="8">
</c>
      <c r="AF22" s="8">
</c>
      <c r="AG22" s="8">
</c>
      <c r="AH22" s="8">
</c>
      <c r="AI22" s="8">
</c>
      <c r="AJ22" s="8">
</c>
      <c r="AK22" s="8">
</c>
    </row>
    <row r="23" ht="76.5" customHeight="1">
      <c r="A23" s="9" t="s">
        <v>23</v>
      </c>
      <c r="B23" s="9" t="s">
        <v>53</v>
      </c>
      <c r="C23" s="12" t="s">
        <v>99</v>
      </c>
      <c r="D23" s="12" t="s">
        <v>99</v>
      </c>
      <c r="E23" s="9" t="s">
        <v>27</v>
      </c>
      <c r="F23" s="8" t="s">
        <v>100</v>
      </c>
      <c r="G23" s="13" cm="1" t="str">
        <f t="array" ref="G23">IF(F23="","",SUBSTITUTE(SUBSTITUTE(SUBSTITUTE(SUBSTITUTE(F23,"&lt;li&gt;",CHAR(10)),"&lt;/li&gt;",""),"&lt;br&gt;",CHAR(10)),"&lt;strong&gt;",""))</f>
        <v>&lt;p&gt;Piste créée pour équipe Ventes le 16/03. Lead enrichment tenté, pas de données trouvées. Appel entrant STRATON noté, aucune note ou retour détaillé. Pas d'autres échanges, comptes-rendus ou actions précises. Prochaines étapes non définies, aucune activité programmée à ce jour.&lt;/p&gt;</v>
      </c>
      <c r="H23" s="13" cm="1" t="str">
        <f t="array" ref="H23">IF(G23="","",SUBSTITUTE(SUBSTITUTE(SUBSTITUTE(SUBSTITUTE(SUBSTITUTE(G23,"&lt;p&gt;",""),"&lt;/p&gt;",""),"&lt;ul&gt;",""),"&lt;/ul&gt;",""),"&lt;/strong&gt;",""))</f>
        <v>Piste créée pour équipe Ventes le 16/03. Lead enrichment tenté, pas de données trouvées. Appel entrant STRATON noté, aucune note ou retour détaillé. Pas d'autres échanges, comptes-rendus ou actions précises. Prochaines étapes non définies, aucune activité programmée à ce jour.</v>
      </c>
      <c r="I23" s="14" cm="1" t="str">
        <f t="array" ref="I23">IF(C23="","",IF(OR(H23="",H23=0,H23=FALSE),"-",H23))</f>
        <v>Piste créée pour équipe Ventes le 16/03. Lead enrichment tenté, pas de données trouvées. Appel entrant STRATON noté, aucune note ou retour détaillé. Pas d'autres échanges, comptes-rendus ou actions précises. Prochaines étapes non définies, aucune activité programmée à ce jour.</v>
      </c>
      <c r="J23" s="8" t="s">
        <v>101</v>
      </c>
      <c r="K23" s="8" t="s">
        <v>52</v>
      </c>
      <c r="L23" s="9" cm="1" t="str">
        <f t="array" ref="L23">IF(C23="","",IF(K23="Mort / Plus rien à faire","KO","OK"))</f>
        <v>OK</v>
      </c>
      <c r="M23" s="15">
        <v>46134.347407407404</v>
      </c>
      <c r="N23" s="15" cm="1" t="n">
        <f t="array" ref="N23">IF(OR(C23="",M23="",M23=0),"",M23)</f>
        <v>46134.347407407404</v>
      </c>
      <c r="O23" s="15">
</c>
      <c r="P23" s="15" cm="1" t="str">
        <f t="array" ref="P23">IF(C23="","",IF(OR(O23="",O23=0),"-",O23))</f>
        <v>-</v>
      </c>
      <c r="Q23" s="16">
        <v>0</v>
      </c>
      <c r="R23" s="16" cm="1" t="str">
        <f t="array" ref="R23">IF(C23="","",ROUND(Q23/1000000,3)&amp;" M€")</f>
        <v>0 M€</v>
      </c>
      <c r="S23" s="12" t="s">
        <v>73</v>
      </c>
      <c r="T23" s="9" cm="1" t="str">
        <f t="array" ref="T23">IF(C23="","",SUBSTITUTE(S23,"","")&amp;"%")</f>
        <v>30%</v>
      </c>
      <c r="U23" s="14" cm="1" t="str">
        <f t="array" ref="U23">IF(($N23="")*($P23=""),"",IF(($N23&lt;&gt;"")*($N23&gt;TODAY()-9)*($N23&lt;TODAY()+1)*($P23&lt;&gt;"")*($P23&gt;=TODAY())*($P23&lt;=TODAY()+13),"Semaine passée &amp; à venir",IF(($N23&lt;&gt;"")*($N23&gt;TODAY()-9)*($N23&lt;TODAY()+1),"Semaine passée",IF(($P23&lt;&gt;"")*($P23&gt;=TODAY())*($P23&lt;=TODAY()+13),"À venir","Autre"))))</f>
        <v>Autre</v>
      </c>
      <c r="V23" s="8" cm="1" t="n">
        <f t="array" ref="V23">IF(C23&lt;&gt;"",1,0)</f>
        <v>1</v>
      </c>
      <c r="W23" s="8">
</c>
      <c r="X23" s="8">
</c>
      <c r="Y23" s="8">
</c>
      <c r="Z23" s="8">
</c>
      <c r="AA23" s="8">
</c>
      <c r="AB23" s="8">
</c>
      <c r="AC23" s="8">
</c>
      <c r="AD23" s="8">
</c>
      <c r="AE23" s="8">
</c>
      <c r="AF23" s="8">
</c>
      <c r="AG23" s="8">
</c>
      <c r="AH23" s="8">
</c>
      <c r="AI23" s="8">
</c>
      <c r="AJ23" s="8">
</c>
      <c r="AK23" s="8">
</c>
    </row>
    <row r="24" ht="76.5" customHeight="1">
      <c r="A24" s="9" t="s">
        <v>23</v>
      </c>
      <c r="B24" s="9" t="s">
        <v>45</v>
      </c>
      <c r="C24" s="12" t="s">
        <v>102</v>
      </c>
      <c r="D24" s="12" t="s">
        <v>103</v>
      </c>
      <c r="E24" s="9" t="s">
        <v>39</v>
      </c>
      <c r="F24" s="8" t="s">
        <v>104</v>
      </c>
      <c r="G24" s="13" cm="1" t="str">
        <f t="array" ref="G24">IF(F24="","",SUBSTITUTE(SUBSTITUTE(SUBSTITUTE(SUBSTITUTE(F24,"&lt;li&gt;",CHAR(10)),"&lt;/li&gt;",""),"&lt;br&gt;",CHAR(10)),"&lt;strong&gt;",""))</f>
        <v>&lt;p&gt;03/02/2026: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stade.&lt;/p&gt;</v>
      </c>
      <c r="H24" s="13" cm="1" t="str">
        <f t="array" ref="H24">IF(G24="","",SUBSTITUTE(SUBSTITUTE(SUBSTITUTE(SUBSTITUTE(SUBSTITUTE(G24,"&lt;p&gt;",""),"&lt;/p&gt;",""),"&lt;ul&gt;",""),"&lt;/ul&gt;",""),"&lt;/strong&gt;",""))</f>
        <v>03/02/2026: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v>
      </c>
      <c r="I24" s="14" cm="1" t="str">
        <f t="array" ref="I24">IF(C24="","",IF(OR(H24="",H24=0,H24=FALSE),"-",H24))</f>
        <v>03/02/2026: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v>
      </c>
      <c r="J24" s="8">
</c>
      <c r="K24" s="8" t="s">
        <v>52</v>
      </c>
      <c r="L24" s="9" cm="1" t="str">
        <f t="array" ref="L24">IF(C24="","",IF(K24="Mort / Plus rien à faire","KO","OK"))</f>
        <v>OK</v>
      </c>
      <c r="M24" s="15">
        <v>46111.482881944445</v>
      </c>
      <c r="N24" s="15" cm="1" t="n">
        <f t="array" ref="N24">IF(OR(C24="",M24="",M24=0),"",M24)</f>
        <v>46111.482881944445</v>
      </c>
      <c r="O24" s="15">
</c>
      <c r="P24" s="15" cm="1" t="str">
        <f t="array" ref="P24">IF(C24="","",IF(OR(O24="",O24=0),"-",O24))</f>
        <v>-</v>
      </c>
      <c r="Q24" s="16">
        <v>250000</v>
      </c>
      <c r="R24" s="16" cm="1" t="str">
        <f t="array" ref="R24">IF(C24="","",ROUND(Q24/1000000,3)&amp;" M€")</f>
        <v>0.25 M€</v>
      </c>
      <c r="S24" s="12" t="s">
        <v>73</v>
      </c>
      <c r="T24" s="9" cm="1" t="str">
        <f t="array" ref="T24">IF(C24="","",SUBSTITUTE(S24,"","")&amp;"%")</f>
        <v>30%</v>
      </c>
      <c r="U24" s="14" cm="1" t="str">
        <f t="array" ref="U24">IF(($N24="")*($P24=""),"",IF(($N24&lt;&gt;"")*($N24&gt;TODAY()-9)*($N24&lt;TODAY()+1)*($P24&lt;&gt;"")*($P24&gt;=TODAY())*($P24&lt;=TODAY()+13),"Semaine passée &amp; à venir",IF(($N24&lt;&gt;"")*($N24&gt;TODAY()-9)*($N24&lt;TODAY()+1),"Semaine passée",IF(($P24&lt;&gt;"")*($P24&gt;=TODAY())*($P24&lt;=TODAY()+13),"À venir","Autre"))))</f>
        <v>Autre</v>
      </c>
      <c r="V24" s="8" cm="1" t="n">
        <f t="array" ref="V24">IF(C24&lt;&gt;"",1,0)</f>
        <v>1</v>
      </c>
      <c r="W24" s="8">
</c>
      <c r="X24" s="8">
</c>
      <c r="Y24" s="8">
</c>
      <c r="Z24" s="8">
</c>
      <c r="AA24" s="8">
</c>
      <c r="AB24" s="8">
</c>
      <c r="AC24" s="8">
</c>
      <c r="AD24" s="8">
</c>
      <c r="AE24" s="8">
</c>
      <c r="AF24" s="8">
</c>
      <c r="AG24" s="8">
</c>
      <c r="AH24" s="8">
</c>
      <c r="AI24" s="8">
</c>
      <c r="AJ24" s="8">
</c>
      <c r="AK24" s="8">
</c>
    </row>
    <row r="25" ht="76.5" customHeight="1">
      <c r="A25" s="9" t="s">
        <v>23</v>
      </c>
      <c r="B25" s="9" t="s">
        <v>32</v>
      </c>
      <c r="C25" s="12" t="s">
        <v>105</v>
      </c>
      <c r="D25" s="12" t="s">
        <v>106</v>
      </c>
      <c r="E25" s="9" t="s">
        <v>27</v>
      </c>
      <c r="F25" s="8" t="s">
        <v>107</v>
      </c>
      <c r="G25" s="13" cm="1" t="str">
        <f t="array" ref="G25">IF(F25="","",SUBSTITUTE(SUBSTITUTE(SUBSTITUTE(SUBSTITUTE(F25,"&lt;li&gt;",CHAR(10)),"&lt;/li&gt;",""),"&lt;br&gt;",CHAR(10)),"&lt;strong&gt;",""))</f>
        <v>&lt;p&gt;03/03 : Offre présentée à UNEO, instruction commune. Blocage Président Leclaire (déjà 5 offres, doute sur la démarche). Demande d'appui à JFC (pas de lien). Présence Marc Leclere/Marie Chabaud à soirée ULTRAOPS. Prochaine étape : lever blocage UNEO, suivi à prévoir d'ici 20/05.&lt;/p&gt;</v>
      </c>
      <c r="H25" s="13" cm="1" t="str">
        <f t="array" ref="H25">IF(G25="","",SUBSTITUTE(SUBSTITUTE(SUBSTITUTE(SUBSTITUTE(SUBSTITUTE(G25,"&lt;p&gt;",""),"&lt;/p&gt;",""),"&lt;ul&gt;",""),"&lt;/ul&gt;",""),"&lt;/strong&gt;",""))</f>
        <v>03/03 : Offre présentée à UNEO, instruction commune. Blocage Président Leclaire (déjà 5 offres, doute sur la démarche). Demande d'appui à JFC (pas de lien). Présence Marc Leclere/Marie Chabaud à soirée ULTRAOPS. Prochaine étape : lever blocage UNEO, suivi à prévoir d'ici 20/05.</v>
      </c>
      <c r="I25" s="14" cm="1" t="str">
        <f t="array" ref="I25">IF(C25="","",IF(OR(H25="",H25=0,H25=FALSE),"-",H25))</f>
        <v>03/03 : Offre présentée à UNEO, instruction commune. Blocage Président Leclaire (déjà 5 offres, doute sur la démarche). Demande d'appui à JFC (pas de lien). Présence Marc Leclere/Marie Chabaud à soirée ULTRAOPS. Prochaine étape : lever blocage UNEO, suivi à prévoir d'ici 20/05.</v>
      </c>
      <c r="J25" s="8" t="s">
        <v>108</v>
      </c>
      <c r="K25" s="8" t="s">
        <v>109</v>
      </c>
      <c r="L25" s="9" cm="1" t="str">
        <f t="array" ref="L25">IF(C25="","",IF(K25="Mort / Plus rien à faire","KO","OK"))</f>
        <v>OK</v>
      </c>
      <c r="M25" s="15">
        <v>46114.695543981485</v>
      </c>
      <c r="N25" s="15" cm="1" t="n">
        <f t="array" ref="N25">IF(OR(C25="",M25="",M25=0),"",M25)</f>
        <v>46114.695543981485</v>
      </c>
      <c r="O25" s="15">
        <v>46162.083333333336</v>
      </c>
      <c r="P25" s="15" cm="1" t="n">
        <f t="array" ref="P25">IF(C25="","",IF(OR(O25="",O25=0),"-",O25))</f>
        <v>46162.083333333336</v>
      </c>
      <c r="Q25" s="16">
        <v>0</v>
      </c>
      <c r="R25" s="16" cm="1" t="str">
        <f t="array" ref="R25">IF(C25="","",ROUND(Q25/1000000,3)&amp;" M€")</f>
        <v>0 M€</v>
      </c>
      <c r="S25" s="12" t="s">
        <v>73</v>
      </c>
      <c r="T25" s="9" cm="1" t="str">
        <f t="array" ref="T25">IF(C25="","",SUBSTITUTE(S25,"","")&amp;"%")</f>
        <v>30%</v>
      </c>
      <c r="U25" s="14" cm="1" t="str">
        <f t="array" ref="U25">IF(($N25="")*($P25=""),"",IF(($N25&lt;&gt;"")*($N25&gt;TODAY()-9)*($N25&lt;TODAY()+1)*($P25&lt;&gt;"")*($P25&gt;=TODAY())*($P25&lt;=TODAY()+13),"Semaine passée &amp; à venir",IF(($N25&lt;&gt;"")*($N25&gt;TODAY()-9)*($N25&lt;TODAY()+1),"Semaine passée",IF(($P25&lt;&gt;"")*($P25&gt;=TODAY())*($P25&lt;=TODAY()+13),"À venir","Autre"))))</f>
        <v>Autre</v>
      </c>
      <c r="V25" s="8" cm="1" t="n">
        <f t="array" ref="V25">IF(C25&lt;&gt;"",1,0)</f>
        <v>1</v>
      </c>
      <c r="W25" s="8">
</c>
      <c r="X25" s="8">
</c>
      <c r="Y25" s="8">
</c>
      <c r="Z25" s="8">
</c>
      <c r="AA25" s="8">
</c>
      <c r="AB25" s="8">
</c>
      <c r="AC25" s="8">
</c>
      <c r="AD25" s="8">
</c>
      <c r="AE25" s="8">
</c>
      <c r="AF25" s="8">
</c>
      <c r="AG25" s="8">
</c>
      <c r="AH25" s="8">
</c>
      <c r="AI25" s="8">
</c>
      <c r="AJ25" s="8">
</c>
      <c r="AK25" s="8">
</c>
    </row>
    <row r="26" ht="76.5" customHeight="1">
      <c r="A26" s="9" t="s">
        <v>23</v>
      </c>
      <c r="B26" s="9" t="s">
        <v>32</v>
      </c>
      <c r="C26" s="12" t="s">
        <v>110</v>
      </c>
      <c r="D26" s="12" t="s">
        <v>111</v>
      </c>
      <c r="E26" s="9" t="s">
        <v>27</v>
      </c>
      <c r="F26" s="8" t="s">
        <v>112</v>
      </c>
      <c r="G26" s="13" cm="1" t="str">
        <f t="array" ref="G26">IF(F26="","",SUBSTITUTE(SUBSTITUTE(SUBSTITUTE(SUBSTITUTE(F26,"&lt;li&gt;",CHAR(10)),"&lt;/li&gt;",""),"&lt;br&gt;",CHAR(10)),"&lt;strong&gt;",""))</f>
        <v>&lt;p&gt;Déj. avec Fabrice Hammouche : peu dispo, découvre dossier STRATON, apprécie la thèse, peu au fait de l’offre concurrente, n’aime pas Émergence, a souscrit Weinberg. Estelle : fonds dette impact, pas de réup Weinberg, mapping fonds FR, due dil Tikehau, standby Partners. Prochaine étape : suivi mapping et retours Fabrice/Michel.&lt;/p&gt;</v>
      </c>
      <c r="H26" s="13" cm="1" t="str">
        <f t="array" ref="H26">IF(G26="","",SUBSTITUTE(SUBSTITUTE(SUBSTITUTE(SUBSTITUTE(SUBSTITUTE(G26,"&lt;p&gt;",""),"&lt;/p&gt;",""),"&lt;ul&gt;",""),"&lt;/ul&gt;",""),"&lt;/strong&gt;",""))</f>
        <v>Déj. avec Fabrice Hammouche : peu dispo, découvre dossier STRATON, apprécie la thèse, peu au fait de l’offre concurrente, n’aime pas Émergence, a souscrit Weinberg. Estelle : fonds dette impact, pas de réup Weinberg, mapping fonds FR, due dil Tikehau, standby Partners. Prochaine étape : suivi mapping et retours Fabrice/Michel.</v>
      </c>
      <c r="I26" s="14" cm="1" t="str">
        <f t="array" ref="I26">IF(C26="","",IF(OR(H26="",H26=0,H26=FALSE),"-",H26))</f>
        <v>Déj. avec Fabrice Hammouche : peu dispo, découvre dossier STRATON, apprécie la thèse, peu au fait de l’offre concurrente, n’aime pas Émergence, a souscrit Weinberg. Estelle : fonds dette impact, pas de réup Weinberg, mapping fonds FR, due dil Tikehau, standby Partners. Prochaine étape : suivi mapping et retours Fabrice/Michel.</v>
      </c>
      <c r="J26" s="8">
</c>
      <c r="K26" s="8" t="s">
        <v>52</v>
      </c>
      <c r="L26" s="9" cm="1" t="str">
        <f t="array" ref="L26">IF(C26="","",IF(K26="Mort / Plus rien à faire","KO","OK"))</f>
        <v>OK</v>
      </c>
      <c r="M26" s="15">
        <v>46134.35175925926</v>
      </c>
      <c r="N26" s="15" cm="1" t="n">
        <f t="array" ref="N26">IF(OR(C26="",M26="",M26=0),"",M26)</f>
        <v>46134.35175925926</v>
      </c>
      <c r="O26" s="15">
</c>
      <c r="P26" s="15" cm="1" t="str">
        <f t="array" ref="P26">IF(C26="","",IF(OR(O26="",O26=0),"-",O26))</f>
        <v>-</v>
      </c>
      <c r="Q26" s="16">
        <v>5000000</v>
      </c>
      <c r="R26" s="16" cm="1" t="str">
        <f t="array" ref="R26">IF(C26="","",ROUND(Q26/1000000,3)&amp;" M€")</f>
        <v>5 M€</v>
      </c>
      <c r="S26" s="12" t="s">
        <v>73</v>
      </c>
      <c r="T26" s="9" cm="1" t="str">
        <f t="array" ref="T26">IF(C26="","",SUBSTITUTE(S26,"","")&amp;"%")</f>
        <v>30%</v>
      </c>
      <c r="U26" s="14" cm="1" t="str">
        <f t="array" ref="U26">IF(($N26="")*($P26=""),"",IF(($N26&lt;&gt;"")*($N26&gt;TODAY()-9)*($N26&lt;TODAY()+1)*($P26&lt;&gt;"")*($P26&gt;=TODAY())*($P26&lt;=TODAY()+13),"Semaine passée &amp; à venir",IF(($N26&lt;&gt;"")*($N26&gt;TODAY()-9)*($N26&lt;TODAY()+1),"Semaine passée",IF(($P26&lt;&gt;"")*($P26&gt;=TODAY())*($P26&lt;=TODAY()+13),"À venir","Autre"))))</f>
        <v>Autre</v>
      </c>
      <c r="V26" s="8" cm="1" t="n">
        <f t="array" ref="V26">IF(C26&lt;&gt;"",1,0)</f>
        <v>1</v>
      </c>
      <c r="W26" s="8">
</c>
      <c r="X26" s="8">
</c>
      <c r="Y26" s="8">
</c>
      <c r="Z26" s="8">
</c>
      <c r="AA26" s="8">
</c>
      <c r="AB26" s="8">
</c>
      <c r="AC26" s="8">
</c>
      <c r="AD26" s="8">
</c>
      <c r="AE26" s="8">
</c>
      <c r="AF26" s="8">
</c>
      <c r="AG26" s="8">
</c>
      <c r="AH26" s="8">
</c>
      <c r="AI26" s="8">
</c>
      <c r="AJ26" s="8">
</c>
      <c r="AK26" s="8">
</c>
    </row>
    <row r="27" ht="76.5" customHeight="1">
      <c r="A27" s="9" t="s">
        <v>23</v>
      </c>
      <c r="B27" s="9" t="s">
        <v>113</v>
      </c>
      <c r="C27" s="12" t="s">
        <v>114</v>
      </c>
      <c r="D27" s="12" t="s">
        <v>115</v>
      </c>
      <c r="E27" s="9" t="s">
        <v>27</v>
      </c>
      <c r="F27" s="8" t="s">
        <v>116</v>
      </c>
      <c r="G27" s="13" cm="1" t="str">
        <f t="array" ref="G27">IF(F27="","",SUBSTITUTE(SUBSTITUTE(SUBSTITUTE(SUBSTITUTE(F27,"&lt;li&gt;",CHAR(10)),"&lt;/li&gt;",""),"&lt;br&gt;",CHAR(10)),"&lt;strong&gt;",""))</f>
        <v>&lt;p&gt;Déj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attendue.&lt;/p&gt;</v>
      </c>
      <c r="H27" s="13" cm="1" t="str">
        <f t="array" ref="H27">IF(G27="","",SUBSTITUTE(SUBSTITUTE(SUBSTITUTE(SUBSTITUTE(SUBSTITUTE(G27,"&lt;p&gt;",""),"&lt;/p&gt;",""),"&lt;ul&gt;",""),"&lt;/ul&gt;",""),"&lt;/strong&gt;",""))</f>
        <v>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v>
      </c>
      <c r="I27" s="14" cm="1" t="str">
        <f t="array" ref="I27">IF(C27="","",IF(OR(H27="",H27=0,H27=FALSE),"-",H27))</f>
        <v>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v>
      </c>
      <c r="J27" s="8">
</c>
      <c r="K27" s="8" t="s">
        <v>52</v>
      </c>
      <c r="L27" s="9" cm="1" t="str">
        <f t="array" ref="L27">IF(C27="","",IF(K27="Mort / Plus rien à faire","KO","OK"))</f>
        <v>OK</v>
      </c>
      <c r="M27" s="15">
        <v>46090.7022337963</v>
      </c>
      <c r="N27" s="15" cm="1" t="n">
        <f t="array" ref="N27">IF(OR(C27="",M27="",M27=0),"",M27)</f>
        <v>46090.7022337963</v>
      </c>
      <c r="O27" s="15">
</c>
      <c r="P27" s="15" cm="1" t="str">
        <f t="array" ref="P27">IF(C27="","",IF(OR(O27="",O27=0),"-",O27))</f>
        <v>-</v>
      </c>
      <c r="Q27" s="16">
        <v>1000000</v>
      </c>
      <c r="R27" s="16" cm="1" t="str">
        <f t="array" ref="R27">IF(C27="","",ROUND(Q27/1000000,3)&amp;" M€")</f>
        <v>1 M€</v>
      </c>
      <c r="S27" s="12" t="s">
        <v>73</v>
      </c>
      <c r="T27" s="9" cm="1" t="str">
        <f t="array" ref="T27">IF(C27="","",SUBSTITUTE(S27,"","")&amp;"%")</f>
        <v>30%</v>
      </c>
      <c r="U27" s="14" cm="1" t="str">
        <f t="array" ref="U27">IF(($N27="")*($P27=""),"",IF(($N27&lt;&gt;"")*($N27&gt;TODAY()-9)*($N27&lt;TODAY()+1)*($P27&lt;&gt;"")*($P27&gt;=TODAY())*($P27&lt;=TODAY()+13),"Semaine passée &amp; à venir",IF(($N27&lt;&gt;"")*($N27&gt;TODAY()-9)*($N27&lt;TODAY()+1),"Semaine passée",IF(($P27&lt;&gt;"")*($P27&gt;=TODAY())*($P27&lt;=TODAY()+13),"À venir","Autre"))))</f>
        <v>Autre</v>
      </c>
      <c r="V27" s="8" cm="1" t="n">
        <f t="array" ref="V27">IF(C27&lt;&gt;"",1,0)</f>
        <v>1</v>
      </c>
      <c r="W27" s="8">
</c>
      <c r="X27" s="8">
</c>
      <c r="Y27" s="8">
</c>
      <c r="Z27" s="8">
</c>
      <c r="AA27" s="8">
</c>
      <c r="AB27" s="8">
</c>
      <c r="AC27" s="8">
</c>
      <c r="AD27" s="8">
</c>
      <c r="AE27" s="8">
</c>
      <c r="AF27" s="8">
</c>
      <c r="AG27" s="8">
</c>
      <c r="AH27" s="8">
</c>
      <c r="AI27" s="8">
</c>
      <c r="AJ27" s="8">
</c>
      <c r="AK27" s="8">
</c>
    </row>
    <row r="28" ht="76.5" customHeight="1">
      <c r="A28" s="9" t="s">
        <v>23</v>
      </c>
      <c r="B28" s="9" t="s">
        <v>53</v>
      </c>
      <c r="C28" s="12" t="s">
        <v>117</v>
      </c>
      <c r="D28" s="12" t="s">
        <v>117</v>
      </c>
      <c r="E28" s="9" t="s">
        <v>55</v>
      </c>
      <c r="F28" s="8" t="s">
        <v>118</v>
      </c>
      <c r="G28" s="13" cm="1" t="str">
        <f t="array" ref="G28">IF(F28="","",SUBSTITUTE(SUBSTITUTE(SUBSTITUTE(SUBSTITUTE(F28,"&lt;li&gt;",CHAR(10)),"&lt;/li&gt;",""),"&lt;br&gt;",CHAR(10)),"&lt;strong&gt;",""))</f>
        <v>&lt;p&gt;Lead créé pour équipe Ventes, origine OdP. Revu lors des journées de Bourrienne, accord pour reprendre contact. Pas d'autres échanges ou actions récentes, pas de retour prospect sur fonds présentés. Prochaine étape : relancer pour fixer un rendez-vous. Aucun passage en comité mentionné.&lt;/p&gt;</v>
      </c>
      <c r="H28" s="13" cm="1" t="str">
        <f t="array" ref="H28">IF(G28="","",SUBSTITUTE(SUBSTITUTE(SUBSTITUTE(SUBSTITUTE(SUBSTITUTE(G28,"&lt;p&gt;",""),"&lt;/p&gt;",""),"&lt;ul&gt;",""),"&lt;/ul&gt;",""),"&lt;/strong&gt;",""))</f>
        <v>Lead créé pour équipe Ventes, origine OdP. Revu lors des journées de Bourrienne, accord pour reprendre contact. Pas d'autres échanges ou actions récentes, pas de retour prospect sur fonds présentés. Prochaine étape : relancer pour fixer un rendez-vous. Aucun passage en comité mentionné.</v>
      </c>
      <c r="I28" s="14" cm="1" t="str">
        <f t="array" ref="I28">IF(C28="","",IF(OR(H28="",H28=0,H28=FALSE),"-",H28))</f>
        <v>Lead créé pour équipe Ventes, origine OdP. Revu lors des journées de Bourrienne, accord pour reprendre contact. Pas d'autres échanges ou actions récentes, pas de retour prospect sur fonds présentés. Prochaine étape : relancer pour fixer un rendez-vous. Aucun passage en comité mentionné.</v>
      </c>
      <c r="J28" s="8">
</c>
      <c r="K28" s="8" t="s">
        <v>52</v>
      </c>
      <c r="L28" s="9" cm="1" t="str">
        <f t="array" ref="L28">IF(C28="","",IF(K28="Mort / Plus rien à faire","KO","OK"))</f>
        <v>OK</v>
      </c>
      <c r="M28" s="15">
        <v>46139.67587962963</v>
      </c>
      <c r="N28" s="15" cm="1" t="n">
        <f t="array" ref="N28">IF(OR(C28="",M28="",M28=0),"",M28)</f>
        <v>46139.67587962963</v>
      </c>
      <c r="O28" s="15">
</c>
      <c r="P28" s="15" cm="1" t="str">
        <f t="array" ref="P28">IF(C28="","",IF(OR(O28="",O28=0),"-",O28))</f>
        <v>-</v>
      </c>
      <c r="Q28" s="16">
        <v>0</v>
      </c>
      <c r="R28" s="16" cm="1" t="str">
        <f t="array" ref="R28">IF(C28="","",ROUND(Q28/1000000,3)&amp;" M€")</f>
        <v>0 M€</v>
      </c>
      <c r="S28" s="12" t="s">
        <v>73</v>
      </c>
      <c r="T28" s="9" cm="1" t="str">
        <f t="array" ref="T28">IF(C28="","",SUBSTITUTE(S28,"","")&amp;"%")</f>
        <v>30%</v>
      </c>
      <c r="U28" s="14" cm="1" t="str">
        <f t="array" ref="U28">IF(($N28="")*($P28=""),"",IF(($N28&lt;&gt;"")*($N28&gt;TODAY()-9)*($N28&lt;TODAY()+1)*($P28&lt;&gt;"")*($P28&gt;=TODAY())*($P28&lt;=TODAY()+13),"Semaine passée &amp; à venir",IF(($N28&lt;&gt;"")*($N28&gt;TODAY()-9)*($N28&lt;TODAY()+1),"Semaine passée",IF(($P28&lt;&gt;"")*($P28&gt;=TODAY())*($P28&lt;=TODAY()+13),"À venir","Autre"))))</f>
        <v>Semaine passée</v>
      </c>
      <c r="V28" s="8" cm="1" t="n">
        <f t="array" ref="V28">IF(C28&lt;&gt;"",1,0)</f>
        <v>1</v>
      </c>
      <c r="W28" s="8">
</c>
      <c r="X28" s="8">
</c>
      <c r="Y28" s="8">
</c>
      <c r="Z28" s="8">
</c>
      <c r="AA28" s="8">
</c>
      <c r="AB28" s="8">
</c>
      <c r="AC28" s="8">
</c>
      <c r="AD28" s="8">
</c>
      <c r="AE28" s="8">
</c>
      <c r="AF28" s="8">
</c>
      <c r="AG28" s="8">
</c>
      <c r="AH28" s="8">
</c>
      <c r="AI28" s="8">
</c>
      <c r="AJ28" s="8">
</c>
      <c r="AK28" s="8">
</c>
    </row>
    <row r="29" ht="76.5" customHeight="1">
      <c r="A29" s="9" t="s">
        <v>23</v>
      </c>
      <c r="B29" s="9" t="s">
        <v>45</v>
      </c>
      <c r="C29" s="12" t="s">
        <v>119</v>
      </c>
      <c r="D29" s="12" t="s">
        <v>120</v>
      </c>
      <c r="E29" s="9" t="s">
        <v>55</v>
      </c>
      <c r="F29" s="8" t="s">
        <v>121</v>
      </c>
      <c r="G29" s="13" cm="1" t="str">
        <f t="array" ref="G29">IF(F29="","",SUBSTITUTE(SUBSTITUTE(SUBSTITUTE(SUBSTITUTE(F29,"&lt;li&gt;",CHAR(10)),"&lt;/li&gt;",""),"&lt;br&gt;",CHAR(10)),"&lt;strong&gt;",""))</f>
        <v>&lt;p&gt;Appels et mails échangés : prise de news, envoi d'actualité, relance. Prospect connaît nos offres, peu d'intérêt pour le non-coté (trop long), beaucoup de trésorerie d'entreprise, début de société. Souhaite doc Straton, peut-être intéressé par FCPI. Prochaine étape : envoi doc, suivi.&lt;/p&gt;</v>
      </c>
      <c r="H29" s="13" cm="1" t="str">
        <f t="array" ref="H29">IF(G29="","",SUBSTITUTE(SUBSTITUTE(SUBSTITUTE(SUBSTITUTE(SUBSTITUTE(G29,"&lt;p&gt;",""),"&lt;/p&gt;",""),"&lt;ul&gt;",""),"&lt;/ul&gt;",""),"&lt;/strong&gt;",""))</f>
        <v>Appels et mails échangés : prise de news, envoi d'actualité, relance. Prospect connaît nos offres, peu d'intérêt pour le non-coté (trop long), beaucoup de trésorerie d'entreprise, début de société. Souhaite doc Straton, peut-être intéressé par FCPI. Prochaine étape : envoi doc, suivi.</v>
      </c>
      <c r="I29" s="14" cm="1" t="str">
        <f t="array" ref="I29">IF(C29="","",IF(OR(H29="",H29=0,H29=FALSE),"-",H29))</f>
        <v>Appels et mails échangés : prise de news, envoi d'actualité, relance. Prospect connaît nos offres, peu d'intérêt pour le non-coté (trop long), beaucoup de trésorerie d'entreprise, début de société. Souhaite doc Straton, peut-être intéressé par FCPI. Prochaine étape : envoi doc, suivi.</v>
      </c>
      <c r="J29" s="8">
</c>
      <c r="K29" s="8" t="s">
        <v>52</v>
      </c>
      <c r="L29" s="9" cm="1" t="str">
        <f t="array" ref="L29">IF(C29="","",IF(K29="Mort / Plus rien à faire","KO","OK"))</f>
        <v>OK</v>
      </c>
      <c r="M29" s="15">
        <v>46140.446388888886</v>
      </c>
      <c r="N29" s="15" cm="1" t="n">
        <f t="array" ref="N29">IF(OR(C29="",M29="",M29=0),"",M29)</f>
        <v>46140.446388888886</v>
      </c>
      <c r="O29" s="15">
</c>
      <c r="P29" s="15" cm="1" t="str">
        <f t="array" ref="P29">IF(C29="","",IF(OR(O29="",O29=0),"-",O29))</f>
        <v>-</v>
      </c>
      <c r="Q29" s="16">
        <v>0</v>
      </c>
      <c r="R29" s="16" cm="1" t="str">
        <f t="array" ref="R29">IF(C29="","",ROUND(Q29/1000000,3)&amp;" M€")</f>
        <v>0 M€</v>
      </c>
      <c r="S29" s="12" t="s">
        <v>73</v>
      </c>
      <c r="T29" s="9" cm="1" t="str">
        <f t="array" ref="T29">IF(C29="","",SUBSTITUTE(S29,"","")&amp;"%")</f>
        <v>30%</v>
      </c>
      <c r="U29" s="14" cm="1" t="str">
        <f t="array" ref="U29">IF(($N29="")*($P29=""),"",IF(($N29&lt;&gt;"")*($N29&gt;TODAY()-9)*($N29&lt;TODAY()+1)*($P29&lt;&gt;"")*($P29&gt;=TODAY())*($P29&lt;=TODAY()+13),"Semaine passée &amp; à venir",IF(($N29&lt;&gt;"")*($N29&gt;TODAY()-9)*($N29&lt;TODAY()+1),"Semaine passée",IF(($P29&lt;&gt;"")*($P29&gt;=TODAY())*($P29&lt;=TODAY()+13),"À venir","Autre"))))</f>
        <v>Semaine passée</v>
      </c>
      <c r="V29" s="8" cm="1" t="n">
        <f t="array" ref="V29">IF(C29&lt;&gt;"",1,0)</f>
        <v>1</v>
      </c>
      <c r="W29" s="8">
</c>
      <c r="X29" s="8">
</c>
      <c r="Y29" s="8">
</c>
      <c r="Z29" s="8">
</c>
      <c r="AA29" s="8">
</c>
      <c r="AB29" s="8">
</c>
      <c r="AC29" s="8">
</c>
      <c r="AD29" s="8">
</c>
      <c r="AE29" s="8">
</c>
      <c r="AF29" s="8">
</c>
      <c r="AG29" s="8">
</c>
      <c r="AH29" s="8">
</c>
      <c r="AI29" s="8">
</c>
      <c r="AJ29" s="8">
</c>
      <c r="AK29" s="8">
</c>
    </row>
    <row r="30" ht="76.5" customHeight="1">
      <c r="A30" s="9" t="s">
        <v>23</v>
      </c>
      <c r="B30" s="9">
</c>
      <c r="C30" s="12" t="s">
        <v>122</v>
      </c>
      <c r="D30" s="12" t="s">
        <v>123</v>
      </c>
      <c r="E30" s="9" t="s">
        <v>27</v>
      </c>
      <c r="F30" s="8" t="s">
        <v>124</v>
      </c>
      <c r="G30" s="13" cm="1" t="str">
        <f t="array" ref="G30">IF(F30="","",SUBSTITUTE(SUBSTITUTE(SUBSTITUTE(SUBSTITUTE(F30,"&lt;li&gt;",CHAR(10)),"&lt;/li&gt;",""),"&lt;br&gt;",CHAR(10)),"&lt;strong&gt;",""))</f>
        <v>&lt;p&gt;05/02 : discussions fonds défense, CA UmR, tickets petits validés en principe, administrateurs éducation nationale, 3 fonds étudiés (EMERGENCE, AUDACIA/NewAlpha, dette), Weinberg fermé, RDV en cours Liez Arezky, interviews à lancer, suivi à prévoir sur sélection fonds et retours administrateurs.&lt;/p&gt;</v>
      </c>
      <c r="H30" s="13" cm="1" t="str">
        <f t="array" ref="H30">IF(G30="","",SUBSTITUTE(SUBSTITUTE(SUBSTITUTE(SUBSTITUTE(SUBSTITUTE(G30,"&lt;p&gt;",""),"&lt;/p&gt;",""),"&lt;ul&gt;",""),"&lt;/ul&gt;",""),"&lt;/strong&gt;",""))</f>
        <v>05/02 : discussions fonds défense, CA UmR, tickets petits validés en principe, administrateurs éducation nationale, 3 fonds étudiés (EMERGENCE, AUDACIA/NewAlpha, dette), Weinberg fermé, RDV en cours Liez Arezky, interviews à lancer, suivi à prévoir sur sélection fonds et retours administrateurs.</v>
      </c>
      <c r="I30" s="14" cm="1" t="str">
        <f t="array" ref="I30">IF(C30="","",IF(OR(H30="",H30=0,H30=FALSE),"-",H30))</f>
        <v>05/02 : discussions fonds défense, CA UmR, tickets petits validés en principe, administrateurs éducation nationale, 3 fonds étudiés (EMERGENCE, AUDACIA/NewAlpha, dette), Weinberg fermé, RDV en cours Liez Arezky, interviews à lancer, suivi à prévoir sur sélection fonds et retours administrateurs.</v>
      </c>
      <c r="J30" s="8">
</c>
      <c r="K30" s="8" t="s">
        <v>52</v>
      </c>
      <c r="L30" s="9" cm="1" t="str">
        <f t="array" ref="L30">IF(C30="","",IF(K30="Mort / Plus rien à faire","KO","OK"))</f>
        <v>OK</v>
      </c>
      <c r="M30" s="15">
        <v>46132.415555555555</v>
      </c>
      <c r="N30" s="15" cm="1" t="n">
        <f t="array" ref="N30">IF(OR(C30="",M30="",M30=0),"",M30)</f>
        <v>46132.415555555555</v>
      </c>
      <c r="O30" s="15">
</c>
      <c r="P30" s="15" cm="1" t="str">
        <f t="array" ref="P30">IF(C30="","",IF(OR(O30="",O30=0),"-",O30))</f>
        <v>-</v>
      </c>
      <c r="Q30" s="16">
        <v>3000000</v>
      </c>
      <c r="R30" s="16" cm="1" t="str">
        <f t="array" ref="R30">IF(C30="","",ROUND(Q30/1000000,3)&amp;" M€")</f>
        <v>3 M€</v>
      </c>
      <c r="S30" s="12" t="s">
        <v>73</v>
      </c>
      <c r="T30" s="9" cm="1" t="str">
        <f t="array" ref="T30">IF(C30="","",SUBSTITUTE(S30,"","")&amp;"%")</f>
        <v>30%</v>
      </c>
      <c r="U30" s="14" cm="1" t="str">
        <f t="array" ref="U30">IF(($N30="")*($P30=""),"",IF(($N30&lt;&gt;"")*($N30&gt;TODAY()-9)*($N30&lt;TODAY()+1)*($P30&lt;&gt;"")*($P30&gt;=TODAY())*($P30&lt;=TODAY()+13),"Semaine passée &amp; à venir",IF(($N30&lt;&gt;"")*($N30&gt;TODAY()-9)*($N30&lt;TODAY()+1),"Semaine passée",IF(($P30&lt;&gt;"")*($P30&gt;=TODAY())*($P30&lt;=TODAY()+13),"À venir","Autre"))))</f>
        <v>Autre</v>
      </c>
      <c r="V30" s="8" cm="1" t="n">
        <f t="array" ref="V30">IF(C30&lt;&gt;"",1,0)</f>
        <v>1</v>
      </c>
      <c r="W30" s="8">
</c>
      <c r="X30" s="8">
</c>
      <c r="Y30" s="8">
</c>
      <c r="Z30" s="8">
</c>
      <c r="AA30" s="8">
</c>
      <c r="AB30" s="8">
</c>
      <c r="AC30" s="8">
</c>
      <c r="AD30" s="8">
</c>
      <c r="AE30" s="8">
</c>
      <c r="AF30" s="8">
</c>
      <c r="AG30" s="8">
</c>
      <c r="AH30" s="8">
</c>
      <c r="AI30" s="8">
</c>
      <c r="AJ30" s="8">
</c>
      <c r="AK30" s="8">
</c>
    </row>
    <row r="31" ht="76.5" customHeight="1">
      <c r="A31" s="9" t="s">
        <v>23</v>
      </c>
      <c r="B31" s="9" t="s">
        <v>45</v>
      </c>
      <c r="C31" s="12" t="s">
        <v>125</v>
      </c>
      <c r="D31" s="12" t="s">
        <v>126</v>
      </c>
      <c r="E31" s="9" t="s">
        <v>93</v>
      </c>
      <c r="F31" s="8" t="s">
        <v>127</v>
      </c>
      <c r="G31" s="13" cm="1" t="str">
        <f t="array" ref="G31">IF(F31="","",SUBSTITUTE(SUBSTITUTE(SUBSTITUTE(SUBSTITUTE(F31,"&lt;li&gt;",CHAR(10)),"&lt;/li&gt;",""),"&lt;br&gt;",CHAR(10)),"&lt;strong&gt;",""))</f>
        <v>&lt;p&gt;Multiples relances mail (29/01, 16/02, 31/03) et appels pour organiser RDV Paris/Toulouse avec B. Continente, sans réponse à ce jour. Envoi deck Straton à jour, proposition réunion CGP Emeraude pour présentation fonds. Prochaine action : relance invitation événement Défense 09/04.&lt;/p&gt;</v>
      </c>
      <c r="H31" s="13" cm="1" t="str">
        <f t="array" ref="H31">IF(G31="","",SUBSTITUTE(SUBSTITUTE(SUBSTITUTE(SUBSTITUTE(SUBSTITUTE(G31,"&lt;p&gt;",""),"&lt;/p&gt;",""),"&lt;ul&gt;",""),"&lt;/ul&gt;",""),"&lt;/strong&gt;",""))</f>
        <v>Multiples relances mail (29/01, 16/02, 31/03) et appels pour organiser RDV Paris/Toulouse avec B. Continente, sans réponse à ce jour. Envoi deck Straton à jour, proposition réunion CGP Emeraude pour présentation fonds. Prochaine action : relance invitation événement Défense 09/04.</v>
      </c>
      <c r="I31" s="14" cm="1" t="str">
        <f t="array" ref="I31">IF(C31="","",IF(OR(H31="",H31=0,H31=FALSE),"-",H31))</f>
        <v>Multiples relances mail (29/01, 16/02, 31/03) et appels pour organiser RDV Paris/Toulouse avec B. Continente, sans réponse à ce jour. Envoi deck Straton à jour, proposition réunion CGP Emeraude pour présentation fonds. Prochaine action : relance invitation événement Défense 09/04.</v>
      </c>
      <c r="J31" s="8">
</c>
      <c r="K31" s="8" t="s">
        <v>95</v>
      </c>
      <c r="L31" s="9" cm="1" t="str">
        <f t="array" ref="L31">IF(C31="","",IF(K31="Mort / Plus rien à faire","KO","OK"))</f>
        <v>OK</v>
      </c>
      <c r="M31" s="15">
        <v>46112.48979166667</v>
      </c>
      <c r="N31" s="15" cm="1" t="n">
        <f t="array" ref="N31">IF(OR(C31="",M31="",M31=0),"",M31)</f>
        <v>46112.48979166667</v>
      </c>
      <c r="O31" s="15">
</c>
      <c r="P31" s="15" cm="1" t="str">
        <f t="array" ref="P31">IF(C31="","",IF(OR(O31="",O31=0),"-",O31))</f>
        <v>-</v>
      </c>
      <c r="Q31" s="16">
        <v>0</v>
      </c>
      <c r="R31" s="16" cm="1" t="str">
        <f t="array" ref="R31">IF(C31="","",ROUND(Q31/1000000,3)&amp;" M€")</f>
        <v>0 M€</v>
      </c>
      <c r="S31" s="12" t="s">
        <v>73</v>
      </c>
      <c r="T31" s="9" cm="1" t="str">
        <f t="array" ref="T31">IF(C31="","",SUBSTITUTE(S31,"","")&amp;"%")</f>
        <v>30%</v>
      </c>
      <c r="U31" s="14" cm="1" t="str">
        <f t="array" ref="U31">IF(($N31="")*($P31=""),"",IF(($N31&lt;&gt;"")*($N31&gt;TODAY()-9)*($N31&lt;TODAY()+1)*($P31&lt;&gt;"")*($P31&gt;=TODAY())*($P31&lt;=TODAY()+13),"Semaine passée &amp; à venir",IF(($N31&lt;&gt;"")*($N31&gt;TODAY()-9)*($N31&lt;TODAY()+1),"Semaine passée",IF(($P31&lt;&gt;"")*($P31&gt;=TODAY())*($P31&lt;=TODAY()+13),"À venir","Autre"))))</f>
        <v>Autre</v>
      </c>
      <c r="V31" s="8" cm="1" t="n">
        <f t="array" ref="V31">IF(C31&lt;&gt;"",1,0)</f>
        <v>1</v>
      </c>
      <c r="W31" s="8">
</c>
      <c r="X31" s="8">
</c>
      <c r="Y31" s="8">
</c>
      <c r="Z31" s="8">
</c>
      <c r="AA31" s="8">
</c>
      <c r="AB31" s="8">
</c>
      <c r="AC31" s="8">
</c>
      <c r="AD31" s="8">
</c>
      <c r="AE31" s="8">
</c>
      <c r="AF31" s="8">
</c>
      <c r="AG31" s="8">
</c>
      <c r="AH31" s="8">
</c>
      <c r="AI31" s="8">
</c>
      <c r="AJ31" s="8">
</c>
      <c r="AK31" s="8">
</c>
    </row>
    <row r="32" ht="76.5" customHeight="1">
      <c r="A32" s="9" t="s">
        <v>23</v>
      </c>
      <c r="B32" s="9" t="s">
        <v>113</v>
      </c>
      <c r="C32" s="12" t="s">
        <v>128</v>
      </c>
      <c r="D32" s="12" t="s">
        <v>129</v>
      </c>
      <c r="E32" s="9" t="s">
        <v>27</v>
      </c>
      <c r="F32" s="8" t="s">
        <v>130</v>
      </c>
      <c r="G32" s="13" cm="1" t="str">
        <f t="array" ref="G32">IF(F32="","",SUBSTITUTE(SUBSTITUTE(SUBSTITUTE(SUBSTITUTE(F32,"&lt;li&gt;",CHAR(10)),"&lt;/li&gt;",""),"&lt;br&gt;",CHAR(10)),"&lt;strong&gt;",""))</f>
        <v>&lt;p&gt;RDV 7/01 avec CRCA Centre France (Didier Ramond)&amp;nbsp;: stratégie PE, intérêt défense, fonds dédiés, tickets 400k-2M€, attente retour sur offre fonds dédiée (proposée 6/03), relances 30/01, 2/04, 22/04, 23/04. Prochaine étape&amp;nbsp;: retour qualifié CRCA sur offre, relance en cours, attente décision.&lt;/p&gt;</v>
      </c>
      <c r="H32" s="13" cm="1" t="str">
        <f t="array" ref="H32">IF(G32="","",SUBSTITUTE(SUBSTITUTE(SUBSTITUTE(SUBSTITUTE(SUBSTITUTE(G32,"&lt;p&gt;",""),"&lt;/p&gt;",""),"&lt;ul&gt;",""),"&lt;/ul&gt;",""),"&lt;/strong&gt;",""))</f>
        <v>RDV 7/01 avec CRCA Centre France (Didier Ramond)&amp;nbsp;: stratégie PE, intérêt défense, fonds dédiés, tickets 400k-2M€, attente retour sur offre fonds dédiée (proposée 6/03), relances 30/01, 2/04, 22/04, 23/04. Prochaine étape&amp;nbsp;: retour qualifié CRCA sur offre, relance en cours, attente décision.</v>
      </c>
      <c r="I32" s="14" cm="1" t="str">
        <f t="array" ref="I32">IF(C32="","",IF(OR(H32="",H32=0,H32=FALSE),"-",H32))</f>
        <v>RDV 7/01 avec CRCA Centre France (Didier Ramond)&amp;nbsp;: stratégie PE, intérêt défense, fonds dédiés, tickets 400k-2M€, attente retour sur offre fonds dédiée (proposée 6/03), relances 30/01, 2/04, 22/04, 23/04. Prochaine étape&amp;nbsp;: retour qualifié CRCA sur offre, relance en cours, attente décision.</v>
      </c>
      <c r="J32" s="8" t="s">
        <v>131</v>
      </c>
      <c r="K32" s="8" t="s">
        <v>52</v>
      </c>
      <c r="L32" s="9" cm="1" t="str">
        <f t="array" ref="L32">IF(C32="","",IF(K32="Mort / Plus rien à faire","KO","OK"))</f>
        <v>OK</v>
      </c>
      <c r="M32" s="15">
        <v>46135.3908912037</v>
      </c>
      <c r="N32" s="15" cm="1" t="n">
        <f t="array" ref="N32">IF(OR(C32="",M32="",M32=0),"",M32)</f>
        <v>46135.3908912037</v>
      </c>
      <c r="O32" s="15">
</c>
      <c r="P32" s="15" cm="1" t="str">
        <f t="array" ref="P32">IF(C32="","",IF(OR(O32="",O32=0),"-",O32))</f>
        <v>-</v>
      </c>
      <c r="Q32" s="16">
        <v>5000000</v>
      </c>
      <c r="R32" s="16" cm="1" t="str">
        <f t="array" ref="R32">IF(C32="","",ROUND(Q32/1000000,3)&amp;" M€")</f>
        <v>5 M€</v>
      </c>
      <c r="S32" s="12" t="s">
        <v>73</v>
      </c>
      <c r="T32" s="9" cm="1" t="str">
        <f t="array" ref="T32">IF(C32="","",SUBSTITUTE(S32,"","")&amp;"%")</f>
        <v>30%</v>
      </c>
      <c r="U32" s="14" cm="1" t="str">
        <f t="array" ref="U32">IF(($N32="")*($P32=""),"",IF(($N32&lt;&gt;"")*($N32&gt;TODAY()-9)*($N32&lt;TODAY()+1)*($P32&lt;&gt;"")*($P32&gt;=TODAY())*($P32&lt;=TODAY()+13),"Semaine passée &amp; à venir",IF(($N32&lt;&gt;"")*($N32&gt;TODAY()-9)*($N32&lt;TODAY()+1),"Semaine passée",IF(($P32&lt;&gt;"")*($P32&gt;=TODAY())*($P32&lt;=TODAY()+13),"À venir","Autre"))))</f>
        <v>Autre</v>
      </c>
      <c r="V32" s="8" cm="1" t="n">
        <f t="array" ref="V32">IF(C32&lt;&gt;"",1,0)</f>
        <v>1</v>
      </c>
      <c r="W32" s="8">
</c>
      <c r="X32" s="8">
</c>
      <c r="Y32" s="8">
</c>
      <c r="Z32" s="8">
</c>
      <c r="AA32" s="8">
</c>
      <c r="AB32" s="8">
</c>
      <c r="AC32" s="8">
</c>
      <c r="AD32" s="8">
</c>
      <c r="AE32" s="8">
</c>
      <c r="AF32" s="8">
</c>
      <c r="AG32" s="8">
</c>
      <c r="AH32" s="8">
</c>
      <c r="AI32" s="8">
</c>
      <c r="AJ32" s="8">
</c>
      <c r="AK32" s="8">
</c>
    </row>
    <row r="33" ht="76.5" customHeight="1">
      <c r="A33" s="9" t="s">
        <v>23</v>
      </c>
      <c r="B33" s="9" t="s">
        <v>32</v>
      </c>
      <c r="C33" s="12" t="s">
        <v>132</v>
      </c>
      <c r="D33" s="12" t="s">
        <v>133</v>
      </c>
      <c r="E33" s="9" t="s">
        <v>27</v>
      </c>
      <c r="F33" s="8" t="s">
        <v>134</v>
      </c>
      <c r="G33" s="13" cm="1" t="str">
        <f t="array" ref="G33">IF(F33="","",SUBSTITUTE(SUBSTITUTE(SUBSTITUTE(SUBSTITUTE(F33,"&lt;li&gt;",CHAR(10)),"&lt;/li&gt;",""),"&lt;br&gt;",CHAR(10)),"&lt;strong&gt;",""))</f>
        <v>&lt;p&gt;Rdv 4 mars avec Emmanuelle Cales : nettoyage Ptf agpm, vente actions cotées Klesia, marge retrouvée en PE. Deck envoyé, suivi levées/investissements. Tickets 2026 : 5-10M€ Straton, &amp;gt;20M€ ADIT possible, concurrence présente. Prochain rdv prévu 28 mai. Besoin de temps, marché interrogé.&lt;/p&gt;</v>
      </c>
      <c r="H33" s="13" cm="1" t="str">
        <f t="array" ref="H33">IF(G33="","",SUBSTITUTE(SUBSTITUTE(SUBSTITUTE(SUBSTITUTE(SUBSTITUTE(G33,"&lt;p&gt;",""),"&lt;/p&gt;",""),"&lt;ul&gt;",""),"&lt;/ul&gt;",""),"&lt;/strong&gt;",""))</f>
        <v>Rdv 4 mars avec Emmanuelle Cales : nettoyage Ptf agpm, vente actions cotées Klesia, marge retrouvée en PE. Deck envoyé, suivi levées/investissements. Tickets 2026 : 5-10M€ Straton, &amp;gt;20M€ ADIT possible, concurrence présente. Prochain rdv prévu 28 mai. Besoin de temps, marché interrogé.</v>
      </c>
      <c r="I33" s="14" cm="1" t="str">
        <f t="array" ref="I33">IF(C33="","",IF(OR(H33="",H33=0,H33=FALSE),"-",H33))</f>
        <v>Rdv 4 mars avec Emmanuelle Cales : nettoyage Ptf agpm, vente actions cotées Klesia, marge retrouvée en PE. Deck envoyé, suivi levées/investissements. Tickets 2026 : 5-10M€ Straton, &amp;gt;20M€ ADIT possible, concurrence présente. Prochain rdv prévu 28 mai. Besoin de temps, marché interrogé.</v>
      </c>
      <c r="J33" s="8" t="s">
        <v>135</v>
      </c>
      <c r="K33" s="8" t="s">
        <v>52</v>
      </c>
      <c r="L33" s="9" cm="1" t="str">
        <f t="array" ref="L33">IF(C33="","",IF(K33="Mort / Plus rien à faire","KO","OK"))</f>
        <v>OK</v>
      </c>
      <c r="M33" s="15">
        <v>46134.35309027778</v>
      </c>
      <c r="N33" s="15" cm="1" t="n">
        <f t="array" ref="N33">IF(OR(C33="",M33="",M33=0),"",M33)</f>
        <v>46134.35309027778</v>
      </c>
      <c r="O33" s="15">
        <v>46170.083333333336</v>
      </c>
      <c r="P33" s="15" cm="1" t="n">
        <f t="array" ref="P33">IF(C33="","",IF(OR(O33="",O33=0),"-",O33))</f>
        <v>46170.083333333336</v>
      </c>
      <c r="Q33" s="16">
        <v>10000000</v>
      </c>
      <c r="R33" s="16" cm="1" t="str">
        <f t="array" ref="R33">IF(C33="","",ROUND(Q33/1000000,3)&amp;" M€")</f>
        <v>10 M€</v>
      </c>
      <c r="S33" s="12" t="s">
        <v>73</v>
      </c>
      <c r="T33" s="9" cm="1" t="str">
        <f t="array" ref="T33">IF(C33="","",SUBSTITUTE(S33,"","")&amp;"%")</f>
        <v>30%</v>
      </c>
      <c r="U33" s="14" cm="1" t="str">
        <f t="array" ref="U33">IF(($N33="")*($P33=""),"",IF(($N33&lt;&gt;"")*($N33&gt;TODAY()-9)*($N33&lt;TODAY()+1)*($P33&lt;&gt;"")*($P33&gt;=TODAY())*($P33&lt;=TODAY()+13),"Semaine passée &amp; à venir",IF(($N33&lt;&gt;"")*($N33&gt;TODAY()-9)*($N33&lt;TODAY()+1),"Semaine passée",IF(($P33&lt;&gt;"")*($P33&gt;=TODAY())*($P33&lt;=TODAY()+13),"À venir","Autre"))))</f>
        <v>Autre</v>
      </c>
      <c r="V33" s="8" cm="1" t="n">
        <f t="array" ref="V33">IF(C33&lt;&gt;"",1,0)</f>
        <v>1</v>
      </c>
      <c r="W33" s="8">
</c>
      <c r="X33" s="8">
</c>
      <c r="Y33" s="8">
</c>
      <c r="Z33" s="8">
</c>
      <c r="AA33" s="8">
</c>
      <c r="AB33" s="8">
</c>
      <c r="AC33" s="8">
</c>
      <c r="AD33" s="8">
</c>
      <c r="AE33" s="8">
</c>
      <c r="AF33" s="8">
</c>
      <c r="AG33" s="8">
</c>
      <c r="AH33" s="8">
</c>
      <c r="AI33" s="8">
</c>
      <c r="AJ33" s="8">
</c>
      <c r="AK33" s="8">
</c>
    </row>
    <row r="34" ht="76.5" customHeight="1">
      <c r="A34" s="9" t="s">
        <v>23</v>
      </c>
      <c r="B34" s="9" t="s">
        <v>53</v>
      </c>
      <c r="C34" s="12" t="s">
        <v>136</v>
      </c>
      <c r="D34" s="12" t="s">
        <v>136</v>
      </c>
      <c r="E34" s="9" t="s">
        <v>55</v>
      </c>
      <c r="F34" s="8" t="s">
        <v>137</v>
      </c>
      <c r="G34" s="13" cm="1" t="str">
        <f t="array" ref="G34">IF(F34="","",SUBSTITUTE(SUBSTITUTE(SUBSTITUTE(SUBSTITUTE(F34,"&lt;li&gt;",CHAR(10)),"&lt;/li&gt;",""),"&lt;br&gt;",CHAR(10)),"&lt;strong&gt;",""))</f>
        <v>&lt;p&gt;Piste créée pour équipe Ventes 11/03. Lead de OdP, tentative d'enrichissement échouée (email invalide). Aucun retour prospect sur fonds présentés. Dernière action 27/04&amp;nbsp;: à relancer. Aucune activité récente significative, prochaine étape&amp;nbsp;: relance à prévoir.&lt;/p&gt;</v>
      </c>
      <c r="H34" s="13" cm="1" t="str">
        <f t="array" ref="H34">IF(G34="","",SUBSTITUTE(SUBSTITUTE(SUBSTITUTE(SUBSTITUTE(SUBSTITUTE(G34,"&lt;p&gt;",""),"&lt;/p&gt;",""),"&lt;ul&gt;",""),"&lt;/ul&gt;",""),"&lt;/strong&gt;",""))</f>
        <v>Piste créée pour équipe Ventes 11/03. Lead de OdP, tentative d'enrichissement échouée (email invalide). Aucun retour prospect sur fonds présentés. Dernière action 27/04&amp;nbsp;: à relancer. Aucune activité récente significative, prochaine étape&amp;nbsp;: relance à prévoir.</v>
      </c>
      <c r="I34" s="14" cm="1" t="str">
        <f t="array" ref="I34">IF(C34="","",IF(OR(H34="",H34=0,H34=FALSE),"-",H34))</f>
        <v>Piste créée pour équipe Ventes 11/03. Lead de OdP, tentative d'enrichissement échouée (email invalide). Aucun retour prospect sur fonds présentés. Dernière action 27/04&amp;nbsp;: à relancer. Aucune activité récente significative, prochaine étape&amp;nbsp;: relance à prévoir.</v>
      </c>
      <c r="J34" s="8">
</c>
      <c r="K34" s="8" t="s">
        <v>52</v>
      </c>
      <c r="L34" s="9" cm="1" t="str">
        <f t="array" ref="L34">IF(C34="","",IF(K34="Mort / Plus rien à faire","KO","OK"))</f>
        <v>OK</v>
      </c>
      <c r="M34" s="15">
        <v>46139.675092592595</v>
      </c>
      <c r="N34" s="15" cm="1" t="n">
        <f t="array" ref="N34">IF(OR(C34="",M34="",M34=0),"",M34)</f>
        <v>46139.675092592595</v>
      </c>
      <c r="O34" s="15">
</c>
      <c r="P34" s="15" cm="1" t="str">
        <f t="array" ref="P34">IF(C34="","",IF(OR(O34="",O34=0),"-",O34))</f>
        <v>-</v>
      </c>
      <c r="Q34" s="16">
        <v>1000000</v>
      </c>
      <c r="R34" s="16" cm="1" t="str">
        <f t="array" ref="R34">IF(C34="","",ROUND(Q34/1000000,3)&amp;" M€")</f>
        <v>1 M€</v>
      </c>
      <c r="S34" s="12" t="s">
        <v>138</v>
      </c>
      <c r="T34" s="9" cm="1" t="str">
        <f t="array" ref="T34">IF(C34="","",SUBSTITUTE(S34,"","")&amp;"%")</f>
        <v>20%</v>
      </c>
      <c r="U34" s="14" cm="1" t="str">
        <f t="array" ref="U34">IF(($N34="")*($P34=""),"",IF(($N34&lt;&gt;"")*($N34&gt;TODAY()-9)*($N34&lt;TODAY()+1)*($P34&lt;&gt;"")*($P34&gt;=TODAY())*($P34&lt;=TODAY()+13),"Semaine passée &amp; à venir",IF(($N34&lt;&gt;"")*($N34&gt;TODAY()-9)*($N34&lt;TODAY()+1),"Semaine passée",IF(($P34&lt;&gt;"")*($P34&gt;=TODAY())*($P34&lt;=TODAY()+13),"À venir","Autre"))))</f>
        <v>Semaine passée</v>
      </c>
      <c r="V34" s="8" cm="1" t="n">
        <f t="array" ref="V34">IF(C34&lt;&gt;"",1,0)</f>
        <v>1</v>
      </c>
      <c r="W34" s="8">
</c>
      <c r="X34" s="8">
</c>
      <c r="Y34" s="8">
</c>
      <c r="Z34" s="8">
</c>
      <c r="AA34" s="8">
</c>
      <c r="AB34" s="8">
</c>
      <c r="AC34" s="8">
</c>
      <c r="AD34" s="8">
</c>
      <c r="AE34" s="8">
</c>
      <c r="AF34" s="8">
</c>
      <c r="AG34" s="8">
</c>
      <c r="AH34" s="8">
</c>
      <c r="AI34" s="8">
</c>
      <c r="AJ34" s="8">
</c>
      <c r="AK34" s="8">
</c>
    </row>
    <row r="35" ht="76.5" customHeight="1">
      <c r="A35" s="9" t="s">
        <v>23</v>
      </c>
      <c r="B35" s="9" t="s">
        <v>32</v>
      </c>
      <c r="C35" s="12" t="s">
        <v>139</v>
      </c>
      <c r="D35" s="12" t="s">
        <v>140</v>
      </c>
      <c r="E35" s="9" t="s">
        <v>27</v>
      </c>
      <c r="F35" s="8" t="s">
        <v>141</v>
      </c>
      <c r="G35" s="13" cm="1" t="str">
        <f t="array" ref="G35">IF(F35="","",SUBSTITUTE(SUBSTITUTE(SUBSTITUTE(SUBSTITUTE(F35,"&lt;li&gt;",CHAR(10)),"&lt;/li&gt;",""),"&lt;br&gt;",CHAR(10)),"&lt;strong&gt;",""))</f>
        <v>&lt;p&gt;Nov 2025 : échec, relance reconquête engagée. 01/04/2026 : nouvelle piste créée équipe Ventes. Déj. prévu avec Anna Fougerat (Présidente, général de division Gendarmerie) pour avancer. Prochaine étape : RDV physique 22/07/2026. Pas de retour prospect sur fonds à ce stade.&lt;/p&gt;</v>
      </c>
      <c r="H35" s="13" cm="1" t="str">
        <f t="array" ref="H35">IF(G35="","",SUBSTITUTE(SUBSTITUTE(SUBSTITUTE(SUBSTITUTE(SUBSTITUTE(G35,"&lt;p&gt;",""),"&lt;/p&gt;",""),"&lt;ul&gt;",""),"&lt;/ul&gt;",""),"&lt;/strong&gt;",""))</f>
        <v>Nov 2025 : échec, relance reconquête engagée. 01/04/2026 : nouvelle piste créée équipe Ventes. Déj. prévu avec Anna Fougerat (Présidente, général de division Gendarmerie) pour avancer. Prochaine étape : RDV physique 22/07/2026. Pas de retour prospect sur fonds à ce stade.</v>
      </c>
      <c r="I35" s="14" cm="1" t="str">
        <f t="array" ref="I35">IF(C35="","",IF(OR(H35="",H35=0,H35=FALSE),"-",H35))</f>
        <v>Nov 2025 : échec, relance reconquête engagée. 01/04/2026 : nouvelle piste créée équipe Ventes. Déj. prévu avec Anna Fougerat (Présidente, général de division Gendarmerie) pour avancer. Prochaine étape : RDV physique 22/07/2026. Pas de retour prospect sur fonds à ce stade.</v>
      </c>
      <c r="J35" s="8" t="s">
        <v>142</v>
      </c>
      <c r="K35" s="8" t="s">
        <v>52</v>
      </c>
      <c r="L35" s="9" cm="1" t="str">
        <f t="array" ref="L35">IF(C35="","",IF(K35="Mort / Plus rien à faire","KO","OK"))</f>
        <v>OK</v>
      </c>
      <c r="M35" s="15">
        <v>46134.34783564815</v>
      </c>
      <c r="N35" s="15" cm="1" t="n">
        <f t="array" ref="N35">IF(OR(C35="",M35="",M35=0),"",M35)</f>
        <v>46134.34783564815</v>
      </c>
      <c r="O35" s="15">
        <v>46225.083333333336</v>
      </c>
      <c r="P35" s="15" cm="1" t="n">
        <f t="array" ref="P35">IF(C35="","",IF(OR(O35="",O35=0),"-",O35))</f>
        <v>46225.083333333336</v>
      </c>
      <c r="Q35" s="16">
        <v>0</v>
      </c>
      <c r="R35" s="16" cm="1" t="str">
        <f t="array" ref="R35">IF(C35="","",ROUND(Q35/1000000,3)&amp;" M€")</f>
        <v>0 M€</v>
      </c>
      <c r="S35" s="12" t="s">
        <v>138</v>
      </c>
      <c r="T35" s="9" cm="1" t="str">
        <f t="array" ref="T35">IF(C35="","",SUBSTITUTE(S35,"","")&amp;"%")</f>
        <v>20%</v>
      </c>
      <c r="U35" s="14" cm="1" t="str">
        <f t="array" ref="U35">IF(($N35="")*($P35=""),"",IF(($N35&lt;&gt;"")*($N35&gt;TODAY()-9)*($N35&lt;TODAY()+1)*($P35&lt;&gt;"")*($P35&gt;=TODAY())*($P35&lt;=TODAY()+13),"Semaine passée &amp; à venir",IF(($N35&lt;&gt;"")*($N35&gt;TODAY()-9)*($N35&lt;TODAY()+1),"Semaine passée",IF(($P35&lt;&gt;"")*($P35&gt;=TODAY())*($P35&lt;=TODAY()+13),"À venir","Autre"))))</f>
        <v>Autre</v>
      </c>
      <c r="V35" s="8" cm="1" t="n">
        <f t="array" ref="V35">IF(C35&lt;&gt;"",1,0)</f>
        <v>1</v>
      </c>
      <c r="W35" s="8">
</c>
      <c r="X35" s="8">
</c>
      <c r="Y35" s="8">
</c>
      <c r="Z35" s="8">
</c>
      <c r="AA35" s="8">
</c>
      <c r="AB35" s="8">
</c>
      <c r="AC35" s="8">
</c>
      <c r="AD35" s="8">
</c>
      <c r="AE35" s="8">
</c>
      <c r="AF35" s="8">
</c>
      <c r="AG35" s="8">
</c>
      <c r="AH35" s="8">
</c>
      <c r="AI35" s="8">
</c>
      <c r="AJ35" s="8">
</c>
      <c r="AK35" s="8">
</c>
    </row>
    <row r="36" ht="76.5" customHeight="1">
      <c r="A36" s="9" t="s">
        <v>23</v>
      </c>
      <c r="B36" s="9" t="s">
        <v>32</v>
      </c>
      <c r="C36" s="12" t="s">
        <v>143</v>
      </c>
      <c r="D36" s="12" t="s">
        <v>144</v>
      </c>
      <c r="E36" s="9" t="s">
        <v>27</v>
      </c>
      <c r="F36" s="8" t="s">
        <v>145</v>
      </c>
      <c r="G36" s="13" cm="1" t="str">
        <f t="array" ref="G36">IF(F36="","",SUBSTITUTE(SUBSTITUTE(SUBSTITUTE(SUBSTITUTE(F36,"&lt;li&gt;",CHAR(10)),"&lt;/li&gt;",""),"&lt;br&gt;",CHAR(10)),"&lt;strong&gt;",""))</f>
        <v>&lt;p&gt;Relance mail 12/02/2026 pour connaître stratégie d'investissement, focus PE non cotés souveraineté. Aucun retour ni activité récente. Piste créée pour équipe Ventes. Pas d'autres échanges, notes ou actions récentes. Prochaine étape : attente réponse prospect sur stratégie.&lt;/p&gt;</v>
      </c>
      <c r="H36" s="13" cm="1" t="str">
        <f t="array" ref="H36">IF(G36="","",SUBSTITUTE(SUBSTITUTE(SUBSTITUTE(SUBSTITUTE(SUBSTITUTE(G36,"&lt;p&gt;",""),"&lt;/p&gt;",""),"&lt;ul&gt;",""),"&lt;/ul&gt;",""),"&lt;/strong&gt;",""))</f>
        <v>Relance mail 12/02/2026 pour connaître stratégie d'investissement, focus PE non cotés souveraineté. Aucun retour ni activité récente. Piste créée pour équipe Ventes. Pas d'autres échanges, notes ou actions récentes. Prochaine étape : attente réponse prospect sur stratégie.</v>
      </c>
      <c r="I36" s="14" cm="1" t="str">
        <f t="array" ref="I36">IF(C36="","",IF(OR(H36="",H36=0,H36=FALSE),"-",H36))</f>
        <v>Relance mail 12/02/2026 pour connaître stratégie d'investissement, focus PE non cotés souveraineté. Aucun retour ni activité récente. Piste créée pour équipe Ventes. Pas d'autres échanges, notes ou actions récentes. Prochaine étape : attente réponse prospect sur stratégie.</v>
      </c>
      <c r="J36" s="8">
</c>
      <c r="K36" s="8" t="s">
        <v>52</v>
      </c>
      <c r="L36" s="9" cm="1" t="str">
        <f t="array" ref="L36">IF(C36="","",IF(K36="Mort / Plus rien à faire","KO","OK"))</f>
        <v>OK</v>
      </c>
      <c r="M36" s="15">
        <v>46069.41122685185</v>
      </c>
      <c r="N36" s="15" cm="1" t="n">
        <f t="array" ref="N36">IF(OR(C36="",M36="",M36=0),"",M36)</f>
        <v>46069.41122685185</v>
      </c>
      <c r="O36" s="15">
</c>
      <c r="P36" s="15" cm="1" t="str">
        <f t="array" ref="P36">IF(C36="","",IF(OR(O36="",O36=0),"-",O36))</f>
        <v>-</v>
      </c>
      <c r="Q36" s="16">
        <v>0</v>
      </c>
      <c r="R36" s="16" cm="1" t="str">
        <f t="array" ref="R36">IF(C36="","",ROUND(Q36/1000000,3)&amp;" M€")</f>
        <v>0 M€</v>
      </c>
      <c r="S36" s="12" t="s">
        <v>138</v>
      </c>
      <c r="T36" s="9" cm="1" t="str">
        <f t="array" ref="T36">IF(C36="","",SUBSTITUTE(S36,"","")&amp;"%")</f>
        <v>20%</v>
      </c>
      <c r="U36" s="14" cm="1" t="str">
        <f t="array" ref="U36">IF(($N36="")*($P36=""),"",IF(($N36&lt;&gt;"")*($N36&gt;TODAY()-9)*($N36&lt;TODAY()+1)*($P36&lt;&gt;"")*($P36&gt;=TODAY())*($P36&lt;=TODAY()+13),"Semaine passée &amp; à venir",IF(($N36&lt;&gt;"")*($N36&gt;TODAY()-9)*($N36&lt;TODAY()+1),"Semaine passée",IF(($P36&lt;&gt;"")*($P36&gt;=TODAY())*($P36&lt;=TODAY()+13),"À venir","Autre"))))</f>
        <v>Autre</v>
      </c>
      <c r="V36" s="8" cm="1" t="n">
        <f t="array" ref="V36">IF(C36&lt;&gt;"",1,0)</f>
        <v>1</v>
      </c>
      <c r="W36" s="8">
</c>
      <c r="X36" s="8">
</c>
      <c r="Y36" s="8">
</c>
      <c r="Z36" s="8">
</c>
      <c r="AA36" s="8">
</c>
      <c r="AB36" s="8">
</c>
      <c r="AC36" s="8">
</c>
      <c r="AD36" s="8">
</c>
      <c r="AE36" s="8">
</c>
      <c r="AF36" s="8">
</c>
      <c r="AG36" s="8">
</c>
      <c r="AH36" s="8">
</c>
      <c r="AI36" s="8">
</c>
      <c r="AJ36" s="8">
</c>
      <c r="AK36" s="8">
</c>
    </row>
    <row r="37" ht="76.5" customHeight="1">
      <c r="A37" s="9" t="s">
        <v>23</v>
      </c>
      <c r="B37" s="9" t="s">
        <v>32</v>
      </c>
      <c r="C37" s="12" t="s">
        <v>146</v>
      </c>
      <c r="D37" s="12" t="s">
        <v>147</v>
      </c>
      <c r="E37" s="9" t="s">
        <v>27</v>
      </c>
      <c r="F37" s="8" t="s">
        <v>148</v>
      </c>
      <c r="G37" s="13" cm="1" t="str">
        <f t="array" ref="G37">IF(F37="","",SUBSTITUTE(SUBSTITUTE(SUBSTITUTE(SUBSTITUTE(F37,"&lt;li&gt;",CHAR(10)),"&lt;/li&gt;",""),"&lt;br&gt;",CHAR(10)),"&lt;strong&gt;",""))</f>
        <v>&lt;p&gt;Label TIBI requis, FRR relance PE avec forte demande France, fonds cibles 200M€ min, 70% France, emprise max 20%, ticket min 20-30M€, priorité aux relations existantes, peu de place pour nouveaux fonds, sélection fonds de fonds TIBI en cours, mandataires adresseront fonds &amp;lt;300M€, process en cours, info à venir.&lt;/p&gt;</v>
      </c>
      <c r="H37" s="13" cm="1" t="str">
        <f t="array" ref="H37">IF(G37="","",SUBSTITUTE(SUBSTITUTE(SUBSTITUTE(SUBSTITUTE(SUBSTITUTE(G37,"&lt;p&gt;",""),"&lt;/p&gt;",""),"&lt;ul&gt;",""),"&lt;/ul&gt;",""),"&lt;/strong&gt;",""))</f>
        <v>Label TIBI requis, FRR relance PE avec forte demande France, fonds cibles 200M€ min, 70% France, emprise max 20%, ticket min 20-30M€, priorité aux relations existantes, peu de place pour nouveaux fonds, sélection fonds de fonds TIBI en cours, mandataires adresseront fonds &amp;lt;300M€, process en cours, info à venir.</v>
      </c>
      <c r="I37" s="14" cm="1" t="str">
        <f t="array" ref="I37">IF(C37="","",IF(OR(H37="",H37=0,H37=FALSE),"-",H37))</f>
        <v>Label TIBI requis, FRR relance PE avec forte demande France, fonds cibles 200M€ min, 70% France, emprise max 20%, ticket min 20-30M€, priorité aux relations existantes, peu de place pour nouveaux fonds, sélection fonds de fonds TIBI en cours, mandataires adresseront fonds &amp;lt;300M€, process en cours, info à venir.</v>
      </c>
      <c r="J37" s="8" t="s">
        <v>149</v>
      </c>
      <c r="K37" s="8" t="s">
        <v>52</v>
      </c>
      <c r="L37" s="9" cm="1" t="str">
        <f t="array" ref="L37">IF(C37="","",IF(K37="Mort / Plus rien à faire","KO","OK"))</f>
        <v>OK</v>
      </c>
      <c r="M37" s="15">
        <v>46135.37960648148</v>
      </c>
      <c r="N37" s="15" cm="1" t="n">
        <f t="array" ref="N37">IF(OR(C37="",M37="",M37=0),"",M37)</f>
        <v>46135.37960648148</v>
      </c>
      <c r="O37" s="15">
</c>
      <c r="P37" s="15" cm="1" t="str">
        <f t="array" ref="P37">IF(C37="","",IF(OR(O37="",O37=0),"-",O37))</f>
        <v>-</v>
      </c>
      <c r="Q37" s="16">
        <v>15000000</v>
      </c>
      <c r="R37" s="16" cm="1" t="str">
        <f t="array" ref="R37">IF(C37="","",ROUND(Q37/1000000,3)&amp;" M€")</f>
        <v>15 M€</v>
      </c>
      <c r="S37" s="12" t="s">
        <v>138</v>
      </c>
      <c r="T37" s="9" cm="1" t="str">
        <f t="array" ref="T37">IF(C37="","",SUBSTITUTE(S37,"","")&amp;"%")</f>
        <v>20%</v>
      </c>
      <c r="U37" s="14" cm="1" t="str">
        <f t="array" ref="U37">IF(($N37="")*($P37=""),"",IF(($N37&lt;&gt;"")*($N37&gt;TODAY()-9)*($N37&lt;TODAY()+1)*($P37&lt;&gt;"")*($P37&gt;=TODAY())*($P37&lt;=TODAY()+13),"Semaine passée &amp; à venir",IF(($N37&lt;&gt;"")*($N37&gt;TODAY()-9)*($N37&lt;TODAY()+1),"Semaine passée",IF(($P37&lt;&gt;"")*($P37&gt;=TODAY())*($P37&lt;=TODAY()+13),"À venir","Autre"))))</f>
        <v>Autre</v>
      </c>
      <c r="V37" s="8" cm="1" t="n">
        <f t="array" ref="V37">IF(C37&lt;&gt;"",1,0)</f>
        <v>1</v>
      </c>
      <c r="W37" s="8">
</c>
      <c r="X37" s="8">
</c>
      <c r="Y37" s="8">
</c>
      <c r="Z37" s="8">
</c>
      <c r="AA37" s="8">
</c>
      <c r="AB37" s="8">
</c>
      <c r="AC37" s="8">
</c>
      <c r="AD37" s="8">
</c>
      <c r="AE37" s="8">
</c>
      <c r="AF37" s="8">
</c>
      <c r="AG37" s="8">
</c>
      <c r="AH37" s="8">
</c>
      <c r="AI37" s="8">
</c>
      <c r="AJ37" s="8">
</c>
      <c r="AK37" s="8">
</c>
    </row>
    <row r="38" ht="76.5" customHeight="1">
      <c r="A38" s="9" t="s">
        <v>23</v>
      </c>
      <c r="B38" s="9" t="s">
        <v>150</v>
      </c>
      <c r="C38" s="12" t="s">
        <v>151</v>
      </c>
      <c r="D38" s="12" t="s">
        <v>151</v>
      </c>
      <c r="E38" s="9" t="s">
        <v>27</v>
      </c>
      <c r="F38" s="8" t="s">
        <v>152</v>
      </c>
      <c r="G38" s="13" cm="1" t="str">
        <f t="array" ref="G38">IF(F38="","",SUBSTITUTE(SUBSTITUTE(SUBSTITUTE(SUBSTITUTE(F38,"&lt;li&gt;",CHAR(10)),"&lt;/li&gt;",""),"&lt;br&gt;",CHAR(10)),"&lt;strong&gt;",""))</f>
        <v>&lt;p&gt;Relance post-rencontre mars Paris Hôtel de Bourrienne, intérêt confirmé pour Straton (capital développement défense). Proposée mise en relation avec gérant Thomas Schmitz. RDV présentation prévu, échanges avec ctj@tlcfinance.fr et emichaud@findecordoba.lu. Ticket fait par Financière de Cordoba sur Capital Croissance 2.&lt;/p&gt;</v>
      </c>
      <c r="H38" s="13" cm="1" t="str">
        <f t="array" ref="H38">IF(G38="","",SUBSTITUTE(SUBSTITUTE(SUBSTITUTE(SUBSTITUTE(SUBSTITUTE(G38,"&lt;p&gt;",""),"&lt;/p&gt;",""),"&lt;ul&gt;",""),"&lt;/ul&gt;",""),"&lt;/strong&gt;",""))</f>
        <v>Relance post-rencontre mars Paris Hôtel de Bourrienne, intérêt confirmé pour Straton (capital développement défense). Proposée mise en relation avec gérant Thomas Schmitz. RDV présentation prévu, échanges avec ctj@tlcfinance.fr et emichaud@findecordoba.lu. Ticket fait par Financière de Cordoba sur Capital Croissance 2.</v>
      </c>
      <c r="I38" s="14" cm="1" t="str">
        <f t="array" ref="I38">IF(C38="","",IF(OR(H38="",H38=0,H38=FALSE),"-",H38))</f>
        <v>Relance post-rencontre mars Paris Hôtel de Bourrienne, intérêt confirmé pour Straton (capital développement défense). Proposée mise en relation avec gérant Thomas Schmitz. RDV présentation prévu, échanges avec ctj@tlcfinance.fr et emichaud@findecordoba.lu. Ticket fait par Financière de Cordoba sur Capital Croissance 2.</v>
      </c>
      <c r="J38" s="8" t="s">
        <v>153</v>
      </c>
      <c r="K38" s="8" t="s">
        <v>52</v>
      </c>
      <c r="L38" s="9" cm="1" t="str">
        <f t="array" ref="L38">IF(C38="","",IF(K38="Mort / Plus rien à faire","KO","OK"))</f>
        <v>OK</v>
      </c>
      <c r="M38" s="15">
        <v>46136.53045138889</v>
      </c>
      <c r="N38" s="15" cm="1" t="n">
        <f t="array" ref="N38">IF(OR(C38="",M38="",M38=0),"",M38)</f>
        <v>46136.53045138889</v>
      </c>
      <c r="O38" s="15">
</c>
      <c r="P38" s="15" cm="1" t="str">
        <f t="array" ref="P38">IF(C38="","",IF(OR(O38="",O38=0),"-",O38))</f>
        <v>-</v>
      </c>
      <c r="Q38" s="16">
        <v>0</v>
      </c>
      <c r="R38" s="16" cm="1" t="str">
        <f t="array" ref="R38">IF(C38="","",ROUND(Q38/1000000,3)&amp;" M€")</f>
        <v>0 M€</v>
      </c>
      <c r="S38" s="12" t="s">
        <v>138</v>
      </c>
      <c r="T38" s="9" cm="1" t="str">
        <f t="array" ref="T38">IF(C38="","",SUBSTITUTE(S38,"","")&amp;"%")</f>
        <v>20%</v>
      </c>
      <c r="U38" s="14" cm="1" t="str">
        <f t="array" ref="U38">IF(($N38="")*($P38=""),"",IF(($N38&lt;&gt;"")*($N38&gt;TODAY()-9)*($N38&lt;TODAY()+1)*($P38&lt;&gt;"")*($P38&gt;=TODAY())*($P38&lt;=TODAY()+13),"Semaine passée &amp; à venir",IF(($N38&lt;&gt;"")*($N38&gt;TODAY()-9)*($N38&lt;TODAY()+1),"Semaine passée",IF(($P38&lt;&gt;"")*($P38&gt;=TODAY())*($P38&lt;=TODAY()+13),"À venir","Autre"))))</f>
        <v>Autre</v>
      </c>
      <c r="V38" s="8" cm="1" t="n">
        <f t="array" ref="V38">IF(C38&lt;&gt;"",1,0)</f>
        <v>1</v>
      </c>
      <c r="W38" s="8">
</c>
      <c r="X38" s="8">
</c>
      <c r="Y38" s="8">
</c>
      <c r="Z38" s="8">
</c>
      <c r="AA38" s="8">
</c>
      <c r="AB38" s="8">
</c>
      <c r="AC38" s="8">
</c>
      <c r="AD38" s="8">
</c>
      <c r="AE38" s="8">
</c>
      <c r="AF38" s="8">
</c>
      <c r="AG38" s="8">
</c>
      <c r="AH38" s="8">
</c>
      <c r="AI38" s="8">
</c>
      <c r="AJ38" s="8">
</c>
      <c r="AK38" s="8">
</c>
    </row>
    <row r="39" ht="76.5" customHeight="1">
      <c r="A39" s="9" t="s">
        <v>23</v>
      </c>
      <c r="B39" s="9" t="s">
        <v>57</v>
      </c>
      <c r="C39" s="12" t="s">
        <v>154</v>
      </c>
      <c r="D39" s="12" t="s">
        <v>155</v>
      </c>
      <c r="E39" s="9" t="s">
        <v>39</v>
      </c>
      <c r="F39" s="8" t="s">
        <v>156</v>
      </c>
      <c r="G39" s="13" cm="1" t="str">
        <f t="array" ref="G39">IF(F39="","",SUBSTITUTE(SUBSTITUTE(SUBSTITUTE(SUBSTITUTE(F39,"&lt;li&gt;",CHAR(10)),"&lt;/li&gt;",""),"&lt;br&gt;",CHAR(10)),"&lt;strong&gt;",""))</f>
        <v>&lt;p&gt;Intérêt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notables.&lt;/p&gt;</v>
      </c>
      <c r="H39" s="13" cm="1" t="str">
        <f t="array" ref="H39">IF(G39="","",SUBSTITUTE(SUBSTITUTE(SUBSTITUTE(SUBSTITUTE(SUBSTITUTE(G39,"&lt;p&gt;",""),"&lt;/p&gt;",""),"&lt;ul&gt;",""),"&lt;/ul&gt;",""),"&lt;/strong&gt;",""))</f>
        <v>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v>
      </c>
      <c r="I39" s="14" cm="1" t="str">
        <f t="array" ref="I39">IF(C39="","",IF(OR(H39="",H39=0,H39=FALSE),"-",H39))</f>
        <v>Intérêt exprimé pour fonds Straton, pas de deeptech, focus cap dev défense et dossiers remploi. Prochaine étape&amp;nbsp;: trouver dates avec Thomas. Enrichissement lead impossible (email non valide). Nouvelle piste créée pour équipe Ventes. Pas d'autres actions ni retours prospect notables.</v>
      </c>
      <c r="J39" s="8">
</c>
      <c r="K39" s="8" t="s">
        <v>52</v>
      </c>
      <c r="L39" s="9" cm="1" t="str">
        <f t="array" ref="L39">IF(C39="","",IF(K39="Mort / Plus rien à faire","KO","OK"))</f>
        <v>OK</v>
      </c>
      <c r="M39" s="15">
        <v>46063.51696759259</v>
      </c>
      <c r="N39" s="15" cm="1" t="n">
        <f t="array" ref="N39">IF(OR(C39="",M39="",M39=0),"",M39)</f>
        <v>46063.51696759259</v>
      </c>
      <c r="O39" s="15">
</c>
      <c r="P39" s="15" cm="1" t="str">
        <f t="array" ref="P39">IF(C39="","",IF(OR(O39="",O39=0),"-",O39))</f>
        <v>-</v>
      </c>
      <c r="Q39" s="16">
        <v>0</v>
      </c>
      <c r="R39" s="16" cm="1" t="str">
        <f t="array" ref="R39">IF(C39="","",ROUND(Q39/1000000,3)&amp;" M€")</f>
        <v>0 M€</v>
      </c>
      <c r="S39" s="12" t="s">
        <v>138</v>
      </c>
      <c r="T39" s="9" cm="1" t="str">
        <f t="array" ref="T39">IF(C39="","",SUBSTITUTE(S39,"","")&amp;"%")</f>
        <v>20%</v>
      </c>
      <c r="U39" s="14" cm="1" t="str">
        <f t="array" ref="U39">IF(($N39="")*($P39=""),"",IF(($N39&lt;&gt;"")*($N39&gt;TODAY()-9)*($N39&lt;TODAY()+1)*($P39&lt;&gt;"")*($P39&gt;=TODAY())*($P39&lt;=TODAY()+13),"Semaine passée &amp; à venir",IF(($N39&lt;&gt;"")*($N39&gt;TODAY()-9)*($N39&lt;TODAY()+1),"Semaine passée",IF(($P39&lt;&gt;"")*($P39&gt;=TODAY())*($P39&lt;=TODAY()+13),"À venir","Autre"))))</f>
        <v>Autre</v>
      </c>
      <c r="V39" s="8" cm="1" t="n">
        <f t="array" ref="V39">IF(C39&lt;&gt;"",1,0)</f>
        <v>1</v>
      </c>
      <c r="W39" s="8">
</c>
      <c r="X39" s="8">
</c>
      <c r="Y39" s="8">
</c>
      <c r="Z39" s="8">
</c>
      <c r="AA39" s="8">
</c>
      <c r="AB39" s="8">
</c>
      <c r="AC39" s="8">
</c>
      <c r="AD39" s="8">
</c>
      <c r="AE39" s="8">
</c>
      <c r="AF39" s="8">
</c>
      <c r="AG39" s="8">
</c>
      <c r="AH39" s="8">
</c>
      <c r="AI39" s="8">
</c>
      <c r="AJ39" s="8">
</c>
      <c r="AK39" s="8">
</c>
    </row>
    <row r="40" ht="76.5" customHeight="1">
      <c r="A40" s="9" t="s">
        <v>23</v>
      </c>
      <c r="B40" s="9" t="s">
        <v>157</v>
      </c>
      <c r="C40" s="12" t="s">
        <v>158</v>
      </c>
      <c r="D40" s="12" t="s">
        <v>159</v>
      </c>
      <c r="E40" s="9" t="s">
        <v>27</v>
      </c>
      <c r="F40" s="8" t="s">
        <v>160</v>
      </c>
      <c r="G40" s="13" cm="1" t="str">
        <f t="array" ref="G40">IF(F40="","",SUBSTITUTE(SUBSTITUTE(SUBSTITUTE(SUBSTITUTE(F40,"&lt;li&gt;",CHAR(10)),"&lt;/li&gt;",""),"&lt;br&gt;",CHAR(10)),"&lt;strong&gt;",""))</f>
        <v>&lt;p&gt;Nouvelle piste créée pour équipe Ventes. RDV 1 en cours de calage, pas encore d'autres actions ou retours du prospect. Prochaines étapes : fixer le RDV et obtenir premiers échanges. Aucun retour prospect sur fonds présentés à ce stade. Pas d'autres activités ou conclusions notables.&lt;/p&gt;</v>
      </c>
      <c r="H40" s="13" cm="1" t="str">
        <f t="array" ref="H40">IF(G40="","",SUBSTITUTE(SUBSTITUTE(SUBSTITUTE(SUBSTITUTE(SUBSTITUTE(G40,"&lt;p&gt;",""),"&lt;/p&gt;",""),"&lt;ul&gt;",""),"&lt;/ul&gt;",""),"&lt;/strong&gt;",""))</f>
        <v>Nouvelle piste créée pour équipe Ventes. RDV 1 en cours de calage, pas encore d'autres actions ou retours du prospect. Prochaines étapes : fixer le RDV et obtenir premiers échanges. Aucun retour prospect sur fonds présentés à ce stade. Pas d'autres activités ou conclusions notables.</v>
      </c>
      <c r="I40" s="14" cm="1" t="str">
        <f t="array" ref="I40">IF(C40="","",IF(OR(H40="",H40=0,H40=FALSE),"-",H40))</f>
        <v>Nouvelle piste créée pour équipe Ventes. RDV 1 en cours de calage, pas encore d'autres actions ou retours du prospect. Prochaines étapes : fixer le RDV et obtenir premiers échanges. Aucun retour prospect sur fonds présentés à ce stade. Pas d'autres activités ou conclusions notables.</v>
      </c>
      <c r="J40" s="8" t="s">
        <v>161</v>
      </c>
      <c r="K40" s="8" t="s">
        <v>162</v>
      </c>
      <c r="L40" s="9" cm="1" t="str">
        <f t="array" ref="L40">IF(C40="","",IF(K40="Mort / Plus rien à faire","KO","OK"))</f>
        <v>OK</v>
      </c>
      <c r="M40" s="15">
        <v>46135.768275462964</v>
      </c>
      <c r="N40" s="15" cm="1" t="n">
        <f t="array" ref="N40">IF(OR(C40="",M40="",M40=0),"",M40)</f>
        <v>46135.768275462964</v>
      </c>
      <c r="O40" s="15">
        <v>46161.375</v>
      </c>
      <c r="P40" s="15" cm="1" t="n">
        <f t="array" ref="P40">IF(C40="","",IF(OR(O40="",O40=0),"-",O40))</f>
        <v>46161.375</v>
      </c>
      <c r="Q40" s="16">
        <v>0</v>
      </c>
      <c r="R40" s="16" cm="1" t="str">
        <f t="array" ref="R40">IF(C40="","",ROUND(Q40/1000000,3)&amp;" M€")</f>
        <v>0 M€</v>
      </c>
      <c r="S40" s="12" t="s">
        <v>138</v>
      </c>
      <c r="T40" s="9" cm="1" t="str">
        <f t="array" ref="T40">IF(C40="","",SUBSTITUTE(S40,"","")&amp;"%")</f>
        <v>20%</v>
      </c>
      <c r="U40" s="14" cm="1" t="str">
        <f t="array" ref="U40">IF(($N40="")*($P40=""),"",IF(($N40&lt;&gt;"")*($N40&gt;TODAY()-9)*($N40&lt;TODAY()+1)*($P40&lt;&gt;"")*($P40&gt;=TODAY())*($P40&lt;=TODAY()+13),"Semaine passée &amp; à venir",IF(($N40&lt;&gt;"")*($N40&gt;TODAY()-9)*($N40&lt;TODAY()+1),"Semaine passée",IF(($P40&lt;&gt;"")*($P40&gt;=TODAY())*($P40&lt;=TODAY()+13),"À venir","Autre"))))</f>
        <v>Autre</v>
      </c>
      <c r="V40" s="8" cm="1" t="n">
        <f t="array" ref="V40">IF(C40&lt;&gt;"",1,0)</f>
        <v>1</v>
      </c>
      <c r="W40" s="8">
</c>
      <c r="X40" s="8">
</c>
      <c r="Y40" s="8">
</c>
      <c r="Z40" s="8">
</c>
      <c r="AA40" s="8">
</c>
      <c r="AB40" s="8">
</c>
      <c r="AC40" s="8">
</c>
      <c r="AD40" s="8">
</c>
      <c r="AE40" s="8">
</c>
      <c r="AF40" s="8">
</c>
      <c r="AG40" s="8">
</c>
      <c r="AH40" s="8">
</c>
      <c r="AI40" s="8">
</c>
      <c r="AJ40" s="8">
</c>
      <c r="AK40" s="8">
</c>
    </row>
    <row r="41" ht="76.5" customHeight="1">
      <c r="A41" s="9" t="s">
        <v>23</v>
      </c>
      <c r="B41" s="9" t="s">
        <v>113</v>
      </c>
      <c r="C41" s="12" t="s">
        <v>163</v>
      </c>
      <c r="D41" s="12" t="s">
        <v>164</v>
      </c>
      <c r="E41" s="9" t="s">
        <v>27</v>
      </c>
      <c r="F41" s="8" t="s">
        <v>165</v>
      </c>
      <c r="G41" s="13" cm="1" t="str">
        <f t="array" ref="G41">IF(F41="","",SUBSTITUTE(SUBSTITUTE(SUBSTITUTE(SUBSTITUTE(F41,"&lt;li&gt;",CHAR(10)),"&lt;/li&gt;",""),"&lt;br&gt;",CHAR(10)),"&lt;strong&gt;",""))</f>
        <v>&lt;p&gt;RDV physique 19/02 : discussion marché Luxembourgeois, question sur référencement fonds, sujet clos (taux d'emprise, taille fonds/ticket). Déjeuner 25/03 planifié. Prochaine étape : reprendre RDV pour planifier 2027. Pas de retour prospect sur fonds, pas de mention de comité.&lt;/p&gt;</v>
      </c>
      <c r="H41" s="13" cm="1" t="str">
        <f t="array" ref="H41">IF(G41="","",SUBSTITUTE(SUBSTITUTE(SUBSTITUTE(SUBSTITUTE(SUBSTITUTE(G41,"&lt;p&gt;",""),"&lt;/p&gt;",""),"&lt;ul&gt;",""),"&lt;/ul&gt;",""),"&lt;/strong&gt;",""))</f>
        <v>RDV physique 19/02 : discussion marché Luxembourgeois, question sur référencement fonds, sujet clos (taux d'emprise, taille fonds/ticket). Déjeuner 25/03 planifié. Prochaine étape : reprendre RDV pour planifier 2027. Pas de retour prospect sur fonds, pas de mention de comité.</v>
      </c>
      <c r="I41" s="14" cm="1" t="str">
        <f t="array" ref="I41">IF(C41="","",IF(OR(H41="",H41=0,H41=FALSE),"-",H41))</f>
        <v>RDV physique 19/02 : discussion marché Luxembourgeois, question sur référencement fonds, sujet clos (taux d'emprise, taille fonds/ticket). Déjeuner 25/03 planifié. Prochaine étape : reprendre RDV pour planifier 2027. Pas de retour prospect sur fonds, pas de mention de comité.</v>
      </c>
      <c r="J41" s="8" t="s">
        <v>166</v>
      </c>
      <c r="K41" s="8" t="s">
        <v>52</v>
      </c>
      <c r="L41" s="9" cm="1" t="str">
        <f t="array" ref="L41">IF(C41="","",IF(K41="Mort / Plus rien à faire","KO","OK"))</f>
        <v>OK</v>
      </c>
      <c r="M41" s="15">
        <v>46106.74597222222</v>
      </c>
      <c r="N41" s="15" cm="1" t="n">
        <f t="array" ref="N41">IF(OR(C41="",M41="",M41=0),"",M41)</f>
        <v>46106.74597222222</v>
      </c>
      <c r="O41" s="15">
</c>
      <c r="P41" s="15" cm="1" t="str">
        <f t="array" ref="P41">IF(C41="","",IF(OR(O41="",O41=0),"-",O41))</f>
        <v>-</v>
      </c>
      <c r="Q41" s="16">
        <v>0</v>
      </c>
      <c r="R41" s="16" cm="1" t="str">
        <f t="array" ref="R41">IF(C41="","",ROUND(Q41/1000000,3)&amp;" M€")</f>
        <v>0 M€</v>
      </c>
      <c r="S41" s="12" t="s">
        <v>138</v>
      </c>
      <c r="T41" s="9" cm="1" t="str">
        <f t="array" ref="T41">IF(C41="","",SUBSTITUTE(S41,"","")&amp;"%")</f>
        <v>20%</v>
      </c>
      <c r="U41" s="14" cm="1" t="str">
        <f t="array" ref="U41">IF(($N41="")*($P41=""),"",IF(($N41&lt;&gt;"")*($N41&gt;TODAY()-9)*($N41&lt;TODAY()+1)*($P41&lt;&gt;"")*($P41&gt;=TODAY())*($P41&lt;=TODAY()+13),"Semaine passée &amp; à venir",IF(($N41&lt;&gt;"")*($N41&gt;TODAY()-9)*($N41&lt;TODAY()+1),"Semaine passée",IF(($P41&lt;&gt;"")*($P41&gt;=TODAY())*($P41&lt;=TODAY()+13),"À venir","Autre"))))</f>
        <v>Autre</v>
      </c>
      <c r="V41" s="8" cm="1" t="n">
        <f t="array" ref="V41">IF(C41&lt;&gt;"",1,0)</f>
        <v>1</v>
      </c>
      <c r="W41" s="8">
</c>
      <c r="X41" s="8">
</c>
      <c r="Y41" s="8">
</c>
      <c r="Z41" s="8">
</c>
      <c r="AA41" s="8">
</c>
      <c r="AB41" s="8">
</c>
      <c r="AC41" s="8">
</c>
      <c r="AD41" s="8">
</c>
      <c r="AE41" s="8">
</c>
      <c r="AF41" s="8">
</c>
      <c r="AG41" s="8">
</c>
      <c r="AH41" s="8">
</c>
      <c r="AI41" s="8">
</c>
      <c r="AJ41" s="8">
</c>
      <c r="AK41" s="8">
</c>
    </row>
    <row r="42" ht="76.5" customHeight="1">
      <c r="A42" s="9" t="s">
        <v>23</v>
      </c>
      <c r="B42" s="9" t="s">
        <v>157</v>
      </c>
      <c r="C42" s="12" t="s">
        <v>167</v>
      </c>
      <c r="D42" s="12" t="s">
        <v>168</v>
      </c>
      <c r="E42" s="9" t="s">
        <v>27</v>
      </c>
      <c r="F42" s="8" t="s">
        <v>169</v>
      </c>
      <c r="G42" s="13" cm="1" t="str">
        <f t="array" ref="G42">IF(F42="","",SUBSTITUTE(SUBSTITUTE(SUBSTITUTE(SUBSTITUTE(F42,"&lt;li&gt;",CHAR(10)),"&lt;/li&gt;",""),"&lt;br&gt;",CHAR(10)),"&lt;strong&gt;",""))</f>
        <v>&lt;p&gt;Thierry Vallet rejoint ARKEA Capital avec Pierre-Emmanuel Boulic, relation positive, question récurrente sur le responsable ESG. Nouvelle piste créée pour équipe Ventes. Pas d'autres actions ou retours prospect, ni prochaines étapes identifiées à ce stade.&lt;/p&gt;</v>
      </c>
      <c r="H42" s="13" cm="1" t="str">
        <f t="array" ref="H42">IF(G42="","",SUBSTITUTE(SUBSTITUTE(SUBSTITUTE(SUBSTITUTE(SUBSTITUTE(G42,"&lt;p&gt;",""),"&lt;/p&gt;",""),"&lt;ul&gt;",""),"&lt;/ul&gt;",""),"&lt;/strong&gt;",""))</f>
        <v>Thierry Vallet rejoint ARKEA Capital avec Pierre-Emmanuel Boulic, relation positive, question récurrente sur le responsable ESG. Nouvelle piste créée pour équipe Ventes. Pas d'autres actions ou retours prospect, ni prochaines étapes identifiées à ce stade.</v>
      </c>
      <c r="I42" s="14" cm="1" t="str">
        <f t="array" ref="I42">IF(C42="","",IF(OR(H42="",H42=0,H42=FALSE),"-",H42))</f>
        <v>Thierry Vallet rejoint ARKEA Capital avec Pierre-Emmanuel Boulic, relation positive, question récurrente sur le responsable ESG. Nouvelle piste créée pour équipe Ventes. Pas d'autres actions ou retours prospect, ni prochaines étapes identifiées à ce stade.</v>
      </c>
      <c r="J42" s="8">
</c>
      <c r="K42" s="8" t="s">
        <v>162</v>
      </c>
      <c r="L42" s="9" cm="1" t="str">
        <f t="array" ref="L42">IF(C42="","",IF(K42="Mort / Plus rien à faire","KO","OK"))</f>
        <v>OK</v>
      </c>
      <c r="M42" s="15">
        <v>46135.80956018518</v>
      </c>
      <c r="N42" s="15" cm="1" t="n">
        <f t="array" ref="N42">IF(OR(C42="",M42="",M42=0),"",M42)</f>
        <v>46135.80956018518</v>
      </c>
      <c r="O42" s="15">
</c>
      <c r="P42" s="15" cm="1" t="str">
        <f t="array" ref="P42">IF(C42="","",IF(OR(O42="",O42=0),"-",O42))</f>
        <v>-</v>
      </c>
      <c r="Q42" s="16">
        <v>0</v>
      </c>
      <c r="R42" s="16" cm="1" t="str">
        <f t="array" ref="R42">IF(C42="","",ROUND(Q42/1000000,3)&amp;" M€")</f>
        <v>0 M€</v>
      </c>
      <c r="S42" s="12" t="s">
        <v>138</v>
      </c>
      <c r="T42" s="9" cm="1" t="str">
        <f t="array" ref="T42">IF(C42="","",SUBSTITUTE(S42,"","")&amp;"%")</f>
        <v>20%</v>
      </c>
      <c r="U42" s="14" cm="1" t="str">
        <f t="array" ref="U42">IF(($N42="")*($P42=""),"",IF(($N42&lt;&gt;"")*($N42&gt;TODAY()-9)*($N42&lt;TODAY()+1)*($P42&lt;&gt;"")*($P42&gt;=TODAY())*($P42&lt;=TODAY()+13),"Semaine passée &amp; à venir",IF(($N42&lt;&gt;"")*($N42&gt;TODAY()-9)*($N42&lt;TODAY()+1),"Semaine passée",IF(($P42&lt;&gt;"")*($P42&gt;=TODAY())*($P42&lt;=TODAY()+13),"À venir","Autre"))))</f>
        <v>Autre</v>
      </c>
      <c r="V42" s="8" cm="1" t="n">
        <f t="array" ref="V42">IF(C42&lt;&gt;"",1,0)</f>
        <v>1</v>
      </c>
      <c r="W42" s="8">
</c>
      <c r="X42" s="8">
</c>
      <c r="Y42" s="8">
</c>
      <c r="Z42" s="8">
</c>
      <c r="AA42" s="8">
</c>
      <c r="AB42" s="8">
</c>
      <c r="AC42" s="8">
</c>
      <c r="AD42" s="8">
</c>
      <c r="AE42" s="8">
</c>
      <c r="AF42" s="8">
</c>
      <c r="AG42" s="8">
</c>
      <c r="AH42" s="8">
</c>
      <c r="AI42" s="8">
</c>
      <c r="AJ42" s="8">
</c>
      <c r="AK42" s="8">
</c>
    </row>
    <row r="43" ht="76.5" customHeight="1">
      <c r="A43" s="9" t="s">
        <v>23</v>
      </c>
      <c r="B43" s="9" t="s">
        <v>170</v>
      </c>
      <c r="C43" s="12" t="s">
        <v>171</v>
      </c>
      <c r="D43" s="12" t="s">
        <v>172</v>
      </c>
      <c r="E43" s="9" t="s">
        <v>39</v>
      </c>
      <c r="F43" s="8" t="s">
        <v>173</v>
      </c>
      <c r="G43" s="13" cm="1" t="str">
        <f t="array" ref="G43">IF(F43="","",SUBSTITUTE(SUBSTITUTE(SUBSTITUTE(SUBSTITUTE(F43,"&lt;li&gt;",CHAR(10)),"&lt;/li&gt;",""),"&lt;br&gt;",CHAR(10)),"&lt;strong&gt;",""))</f>
        <v>&lt;p&gt;09/02 point PTF C2 avec Thomas. 20/04 échange, proposition de rencontre 26 ou 29/04, FO intéressés par stratégie Défense. 28/04 Romain propose rdv à la demande d'Edouard. Prochaine étape : fixer rdv. Feedback positif sur l'intérêt des FO pour la stratégie présentée.&lt;/p&gt;</v>
      </c>
      <c r="H43" s="13" cm="1" t="str">
        <f t="array" ref="H43">IF(G43="","",SUBSTITUTE(SUBSTITUTE(SUBSTITUTE(SUBSTITUTE(SUBSTITUTE(G43,"&lt;p&gt;",""),"&lt;/p&gt;",""),"&lt;ul&gt;",""),"&lt;/ul&gt;",""),"&lt;/strong&gt;",""))</f>
        <v>09/02 point PTF C2 avec Thomas. 20/04 échange, proposition de rencontre 26 ou 29/04, FO intéressés par stratégie Défense. 28/04 Romain propose rdv à la demande d'Edouard. Prochaine étape : fixer rdv. Feedback positif sur l'intérêt des FO pour la stratégie présentée.</v>
      </c>
      <c r="I43" s="14" cm="1" t="str">
        <f t="array" ref="I43">IF(C43="","",IF(OR(H43="",H43=0,H43=FALSE),"-",H43))</f>
        <v>09/02 point PTF C2 avec Thomas. 20/04 échange, proposition de rencontre 26 ou 29/04, FO intéressés par stratégie Défense. 28/04 Romain propose rdv à la demande d'Edouard. Prochaine étape : fixer rdv. Feedback positif sur l'intérêt des FO pour la stratégie présentée.</v>
      </c>
      <c r="J43" s="8">
</c>
      <c r="K43" s="8" t="s">
        <v>52</v>
      </c>
      <c r="L43" s="9" cm="1" t="str">
        <f t="array" ref="L43">IF(C43="","",IF(K43="Mort / Plus rien à faire","KO","OK"))</f>
        <v>OK</v>
      </c>
      <c r="M43" s="15">
        <v>46140.81402777778</v>
      </c>
      <c r="N43" s="15" cm="1" t="n">
        <f t="array" ref="N43">IF(OR(C43="",M43="",M43=0),"",M43)</f>
        <v>46140.81402777778</v>
      </c>
      <c r="O43" s="15">
</c>
      <c r="P43" s="15" cm="1" t="str">
        <f t="array" ref="P43">IF(C43="","",IF(OR(O43="",O43=0),"-",O43))</f>
        <v>-</v>
      </c>
      <c r="Q43" s="16">
        <v>0</v>
      </c>
      <c r="R43" s="16" cm="1" t="str">
        <f t="array" ref="R43">IF(C43="","",ROUND(Q43/1000000,3)&amp;" M€")</f>
        <v>0 M€</v>
      </c>
      <c r="S43" s="12" t="s">
        <v>138</v>
      </c>
      <c r="T43" s="9" cm="1" t="str">
        <f t="array" ref="T43">IF(C43="","",SUBSTITUTE(S43,"","")&amp;"%")</f>
        <v>20%</v>
      </c>
      <c r="U43" s="14" cm="1" t="str">
        <f t="array" ref="U43">IF(($N43="")*($P43=""),"",IF(($N43&lt;&gt;"")*($N43&gt;TODAY()-9)*($N43&lt;TODAY()+1)*($P43&lt;&gt;"")*($P43&gt;=TODAY())*($P43&lt;=TODAY()+13),"Semaine passée &amp; à venir",IF(($N43&lt;&gt;"")*($N43&gt;TODAY()-9)*($N43&lt;TODAY()+1),"Semaine passée",IF(($P43&lt;&gt;"")*($P43&gt;=TODAY())*($P43&lt;=TODAY()+13),"À venir","Autre"))))</f>
        <v>Semaine passée</v>
      </c>
      <c r="V43" s="8" cm="1" t="n">
        <f t="array" ref="V43">IF(C43&lt;&gt;"",1,0)</f>
        <v>1</v>
      </c>
      <c r="W43" s="8">
</c>
      <c r="X43" s="8">
</c>
      <c r="Y43" s="8">
</c>
      <c r="Z43" s="8">
</c>
      <c r="AA43" s="8">
</c>
      <c r="AB43" s="8">
</c>
      <c r="AC43" s="8">
</c>
      <c r="AD43" s="8">
</c>
      <c r="AE43" s="8">
</c>
      <c r="AF43" s="8">
</c>
      <c r="AG43" s="8">
</c>
      <c r="AH43" s="8">
</c>
      <c r="AI43" s="8">
</c>
      <c r="AJ43" s="8">
</c>
      <c r="AK43" s="8">
</c>
    </row>
    <row r="44" ht="76.5" customHeight="1">
      <c r="A44" s="9" t="s">
        <v>23</v>
      </c>
      <c r="B44" s="9" t="s">
        <v>32</v>
      </c>
      <c r="C44" s="12" t="s">
        <v>174</v>
      </c>
      <c r="D44" s="12" t="s">
        <v>175</v>
      </c>
      <c r="E44" s="9" t="s">
        <v>27</v>
      </c>
      <c r="F44" s="8" t="s">
        <v>176</v>
      </c>
      <c r="G44" s="13" cm="1" t="str">
        <f t="array" ref="G44">IF(F44="","",SUBSTITUTE(SUBSTITUTE(SUBSTITUTE(SUBSTITUTE(F44,"&lt;li&gt;",CHAR(10)),"&lt;/li&gt;",""),"&lt;br&gt;",CHAR(10)),"&lt;strong&gt;",""))</f>
        <v>&lt;p&gt;Offre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planifiée.&lt;/p&gt;</v>
      </c>
      <c r="H44" s="13" cm="1" t="str">
        <f t="array" ref="H44">IF(G44="","",SUBSTITUTE(SUBSTITUTE(SUBSTITUTE(SUBSTITUTE(SUBSTITUTE(G44,"&lt;p&gt;",""),"&lt;/p&gt;",""),"&lt;ul&gt;",""),"&lt;/ul&gt;",""),"&lt;/strong&gt;",""))</f>
        <v>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v>
      </c>
      <c r="I44" s="14" cm="1" t="str">
        <f t="array" ref="I44">IF(C44="","",IF(OR(H44="",H44=0,H44=FALSE),"-",H44))</f>
        <v>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v>
      </c>
      <c r="J44" s="8" t="s">
        <v>177</v>
      </c>
      <c r="K44" s="8" t="s">
        <v>52</v>
      </c>
      <c r="L44" s="9" cm="1" t="str">
        <f t="array" ref="L44">IF(C44="","",IF(K44="Mort / Plus rien à faire","KO","OK"))</f>
        <v>OK</v>
      </c>
      <c r="M44" s="15">
        <v>46114.69349537037</v>
      </c>
      <c r="N44" s="15" cm="1" t="n">
        <f t="array" ref="N44">IF(OR(C44="",M44="",M44=0),"",M44)</f>
        <v>46114.69349537037</v>
      </c>
      <c r="O44" s="15">
        <v>46162.083333333336</v>
      </c>
      <c r="P44" s="15" cm="1" t="n">
        <f t="array" ref="P44">IF(C44="","",IF(OR(O44="",O44=0),"-",O44))</f>
        <v>46162.083333333336</v>
      </c>
      <c r="Q44" s="16">
        <v>1000000</v>
      </c>
      <c r="R44" s="16" cm="1" t="str">
        <f t="array" ref="R44">IF(C44="","",ROUND(Q44/1000000,3)&amp;" M€")</f>
        <v>1 M€</v>
      </c>
      <c r="S44" s="12" t="s">
        <v>138</v>
      </c>
      <c r="T44" s="9" cm="1" t="str">
        <f t="array" ref="T44">IF(C44="","",SUBSTITUTE(S44,"","")&amp;"%")</f>
        <v>20%</v>
      </c>
      <c r="U44" s="14" cm="1" t="str">
        <f t="array" ref="U44">IF(($N44="")*($P44=""),"",IF(($N44&lt;&gt;"")*($N44&gt;TODAY()-9)*($N44&lt;TODAY()+1)*($P44&lt;&gt;"")*($P44&gt;=TODAY())*($P44&lt;=TODAY()+13),"Semaine passée &amp; à venir",IF(($N44&lt;&gt;"")*($N44&gt;TODAY()-9)*($N44&lt;TODAY()+1),"Semaine passée",IF(($P44&lt;&gt;"")*($P44&gt;=TODAY())*($P44&lt;=TODAY()+13),"À venir","Autre"))))</f>
        <v>Autre</v>
      </c>
      <c r="V44" s="8" cm="1" t="n">
        <f t="array" ref="V44">IF(C44&lt;&gt;"",1,0)</f>
        <v>1</v>
      </c>
      <c r="W44" s="8">
</c>
      <c r="X44" s="8">
</c>
      <c r="Y44" s="8">
</c>
      <c r="Z44" s="8">
</c>
      <c r="AA44" s="8">
</c>
      <c r="AB44" s="8">
</c>
      <c r="AC44" s="8">
</c>
      <c r="AD44" s="8">
</c>
      <c r="AE44" s="8">
</c>
      <c r="AF44" s="8">
</c>
      <c r="AG44" s="8">
</c>
      <c r="AH44" s="8">
</c>
      <c r="AI44" s="8">
</c>
      <c r="AJ44" s="8">
</c>
      <c r="AK44" s="8">
</c>
    </row>
    <row r="45" ht="76.5" customHeight="1">
      <c r="A45" s="9" t="s">
        <v>23</v>
      </c>
      <c r="B45" s="9" t="s">
        <v>36</v>
      </c>
      <c r="C45" s="12" t="s">
        <v>178</v>
      </c>
      <c r="D45" s="12" t="s">
        <v>179</v>
      </c>
      <c r="E45" s="9" t="s">
        <v>39</v>
      </c>
      <c r="F45" s="8" t="s">
        <v>180</v>
      </c>
      <c r="G45" s="13" cm="1" t="str">
        <f t="array" ref="G45">IF(F45="","",SUBSTITUTE(SUBSTITUTE(SUBSTITUTE(SUBSTITUTE(F45,"&lt;li&gt;",CHAR(10)),"&lt;/li&gt;",""),"&lt;br&gt;",CHAR(10)),"&lt;strong&gt;",""))</f>
        <v>&lt;p&gt;05/02/2026&amp;nbsp;: Actus et ak en cours, client potentiellement intéressé, attente confirmation pour fixer rencontre avec Charles. Lead créé pour équipe Ventes, tentative d'enrichissement impossible (email non valide). Prochaine étape&amp;nbsp;: retour client pour RDV.&lt;/p&gt;</v>
      </c>
      <c r="H45" s="13" cm="1" t="str">
        <f t="array" ref="H45">IF(G45="","",SUBSTITUTE(SUBSTITUTE(SUBSTITUTE(SUBSTITUTE(SUBSTITUTE(G45,"&lt;p&gt;",""),"&lt;/p&gt;",""),"&lt;ul&gt;",""),"&lt;/ul&gt;",""),"&lt;/strong&gt;",""))</f>
        <v>05/02/2026&amp;nbsp;: Actus et ak en cours, client potentiellement intéressé, attente confirmation pour fixer rencontre avec Charles. Lead créé pour équipe Ventes, tentative d'enrichissement impossible (email non valide). Prochaine étape&amp;nbsp;: retour client pour RDV.</v>
      </c>
      <c r="I45" s="14" cm="1" t="str">
        <f t="array" ref="I45">IF(C45="","",IF(OR(H45="",H45=0,H45=FALSE),"-",H45))</f>
        <v>05/02/2026&amp;nbsp;: Actus et ak en cours, client potentiellement intéressé, attente confirmation pour fixer rencontre avec Charles. Lead créé pour équipe Ventes, tentative d'enrichissement impossible (email non valide). Prochaine étape&amp;nbsp;: retour client pour RDV.</v>
      </c>
      <c r="J45" s="8">
</c>
      <c r="K45" s="8" t="s">
        <v>52</v>
      </c>
      <c r="L45" s="9" cm="1" t="str">
        <f t="array" ref="L45">IF(C45="","",IF(K45="Mort / Plus rien à faire","KO","OK"))</f>
        <v>OK</v>
      </c>
      <c r="M45" s="15">
        <v>46063.515497685185</v>
      </c>
      <c r="N45" s="15" cm="1" t="n">
        <f t="array" ref="N45">IF(OR(C45="",M45="",M45=0),"",M45)</f>
        <v>46063.515497685185</v>
      </c>
      <c r="O45" s="15">
</c>
      <c r="P45" s="15" cm="1" t="str">
        <f t="array" ref="P45">IF(C45="","",IF(OR(O45="",O45=0),"-",O45))</f>
        <v>-</v>
      </c>
      <c r="Q45" s="16">
        <v>0</v>
      </c>
      <c r="R45" s="16" cm="1" t="str">
        <f t="array" ref="R45">IF(C45="","",ROUND(Q45/1000000,3)&amp;" M€")</f>
        <v>0 M€</v>
      </c>
      <c r="S45" s="12" t="s">
        <v>138</v>
      </c>
      <c r="T45" s="9" cm="1" t="str">
        <f t="array" ref="T45">IF(C45="","",SUBSTITUTE(S45,"","")&amp;"%")</f>
        <v>20%</v>
      </c>
      <c r="U45" s="14" cm="1" t="str">
        <f t="array" ref="U45">IF(($N45="")*($P45=""),"",IF(($N45&lt;&gt;"")*($N45&gt;TODAY()-9)*($N45&lt;TODAY()+1)*($P45&lt;&gt;"")*($P45&gt;=TODAY())*($P45&lt;=TODAY()+13),"Semaine passée &amp; à venir",IF(($N45&lt;&gt;"")*($N45&gt;TODAY()-9)*($N45&lt;TODAY()+1),"Semaine passée",IF(($P45&lt;&gt;"")*($P45&gt;=TODAY())*($P45&lt;=TODAY()+13),"À venir","Autre"))))</f>
        <v>Autre</v>
      </c>
      <c r="V45" s="8" cm="1" t="n">
        <f t="array" ref="V45">IF(C45&lt;&gt;"",1,0)</f>
        <v>1</v>
      </c>
      <c r="W45" s="8">
</c>
      <c r="X45" s="8">
</c>
      <c r="Y45" s="8">
</c>
      <c r="Z45" s="8">
</c>
      <c r="AA45" s="8">
</c>
      <c r="AB45" s="8">
</c>
      <c r="AC45" s="8">
</c>
      <c r="AD45" s="8">
</c>
      <c r="AE45" s="8">
</c>
      <c r="AF45" s="8">
</c>
      <c r="AG45" s="8">
</c>
      <c r="AH45" s="8">
</c>
      <c r="AI45" s="8">
</c>
      <c r="AJ45" s="8">
</c>
      <c r="AK45" s="8">
</c>
    </row>
    <row r="46" ht="76.5" customHeight="1">
      <c r="A46" s="9" t="s">
        <v>23</v>
      </c>
      <c r="B46" s="9" t="s">
        <v>32</v>
      </c>
      <c r="C46" s="12" t="s">
        <v>181</v>
      </c>
      <c r="D46" s="12" t="s">
        <v>182</v>
      </c>
      <c r="E46" s="9" t="s">
        <v>27</v>
      </c>
      <c r="F46" s="8" t="s">
        <v>183</v>
      </c>
      <c r="G46" s="13" cm="1" t="str">
        <f t="array" ref="G46">IF(F46="","",SUBSTITUTE(SUBSTITUTE(SUBSTITUTE(SUBSTITUTE(F46,"&lt;li&gt;",CHAR(10)),"&lt;/li&gt;",""),"&lt;br&gt;",CHAR(10)),"&lt;strong&gt;",""))</f>
        <v>&lt;p&gt;Mail envoyé au nouveau DG Patrick Gallou le 1/04. RDV physique réalisé, échanges sur RMC, CARAC, LAFRANCEMUTUALISTE. Pas de retour explicite du prospect sur les fonds. Prochaine étape non précisée, pas d'activité programmée à ce jour. Dernière action le 22/04, suivi à relancer.&lt;/p&gt;</v>
      </c>
      <c r="H46" s="13" cm="1" t="str">
        <f t="array" ref="H46">IF(G46="","",SUBSTITUTE(SUBSTITUTE(SUBSTITUTE(SUBSTITUTE(SUBSTITUTE(G46,"&lt;p&gt;",""),"&lt;/p&gt;",""),"&lt;ul&gt;",""),"&lt;/ul&gt;",""),"&lt;/strong&gt;",""))</f>
        <v>Mail envoyé au nouveau DG Patrick Gallou le 1/04. RDV physique réalisé, échanges sur RMC, CARAC, LAFRANCEMUTUALISTE. Pas de retour explicite du prospect sur les fonds. Prochaine étape non précisée, pas d'activité programmée à ce jour. Dernière action le 22/04, suivi à relancer.</v>
      </c>
      <c r="I46" s="14" cm="1" t="str">
        <f t="array" ref="I46">IF(C46="","",IF(OR(H46="",H46=0,H46=FALSE),"-",H46))</f>
        <v>Mail envoyé au nouveau DG Patrick Gallou le 1/04. RDV physique réalisé, échanges sur RMC, CARAC, LAFRANCEMUTUALISTE. Pas de retour explicite du prospect sur les fonds. Prochaine étape non précisée, pas d'activité programmée à ce jour. Dernière action le 22/04, suivi à relancer.</v>
      </c>
      <c r="J46" s="8" t="s">
        <v>184</v>
      </c>
      <c r="K46" s="8" t="s">
        <v>52</v>
      </c>
      <c r="L46" s="9" cm="1" t="str">
        <f t="array" ref="L46">IF(C46="","",IF(K46="Mort / Plus rien à faire","KO","OK"))</f>
        <v>OK</v>
      </c>
      <c r="M46" s="15">
        <v>46134.34939814815</v>
      </c>
      <c r="N46" s="15" cm="1" t="n">
        <f t="array" ref="N46">IF(OR(C46="",M46="",M46=0),"",M46)</f>
        <v>46134.34939814815</v>
      </c>
      <c r="O46" s="15">
</c>
      <c r="P46" s="15" cm="1" t="str">
        <f t="array" ref="P46">IF(C46="","",IF(OR(O46="",O46=0),"-",O46))</f>
        <v>-</v>
      </c>
      <c r="Q46" s="16">
        <v>1000000</v>
      </c>
      <c r="R46" s="16" cm="1" t="str">
        <f t="array" ref="R46">IF(C46="","",ROUND(Q46/1000000,3)&amp;" M€")</f>
        <v>1 M€</v>
      </c>
      <c r="S46" s="12" t="s">
        <v>138</v>
      </c>
      <c r="T46" s="9" cm="1" t="str">
        <f t="array" ref="T46">IF(C46="","",SUBSTITUTE(S46,"","")&amp;"%")</f>
        <v>20%</v>
      </c>
      <c r="U46" s="14" cm="1" t="str">
        <f t="array" ref="U46">IF(($N46="")*($P46=""),"",IF(($N46&lt;&gt;"")*($N46&gt;TODAY()-9)*($N46&lt;TODAY()+1)*($P46&lt;&gt;"")*($P46&gt;=TODAY())*($P46&lt;=TODAY()+13),"Semaine passée &amp; à venir",IF(($N46&lt;&gt;"")*($N46&gt;TODAY()-9)*($N46&lt;TODAY()+1),"Semaine passée",IF(($P46&lt;&gt;"")*($P46&gt;=TODAY())*($P46&lt;=TODAY()+13),"À venir","Autre"))))</f>
        <v>Autre</v>
      </c>
      <c r="V46" s="8" cm="1" t="n">
        <f t="array" ref="V46">IF(C46&lt;&gt;"",1,0)</f>
        <v>1</v>
      </c>
      <c r="W46" s="8">
</c>
      <c r="X46" s="8">
</c>
      <c r="Y46" s="8">
</c>
      <c r="Z46" s="8">
</c>
      <c r="AA46" s="8">
</c>
      <c r="AB46" s="8">
</c>
      <c r="AC46" s="8">
</c>
      <c r="AD46" s="8">
</c>
      <c r="AE46" s="8">
</c>
      <c r="AF46" s="8">
</c>
      <c r="AG46" s="8">
</c>
      <c r="AH46" s="8">
</c>
      <c r="AI46" s="8">
</c>
      <c r="AJ46" s="8">
</c>
      <c r="AK46" s="8">
</c>
    </row>
    <row r="47" ht="76.5" customHeight="1">
      <c r="A47" s="9" t="s">
        <v>23</v>
      </c>
      <c r="B47" s="9" t="s">
        <v>32</v>
      </c>
      <c r="C47" s="12" t="s">
        <v>185</v>
      </c>
      <c r="D47" s="12" t="s">
        <v>186</v>
      </c>
      <c r="E47" s="9" t="s">
        <v>27</v>
      </c>
      <c r="F47" s="8" t="s">
        <v>187</v>
      </c>
      <c r="G47" s="13" cm="1" t="str">
        <f t="array" ref="G47">IF(F47="","",SUBSTITUTE(SUBSTITUTE(SUBSTITUTE(SUBSTITUTE(F47,"&lt;li&gt;",CHAR(10)),"&lt;/li&gt;",""),"&lt;br&gt;",CHAR(10)),"&lt;strong&gt;",""))</f>
        <v>&lt;p&gt;Déj.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02/04).&lt;/p&gt;</v>
      </c>
      <c r="H47" s="13" cm="1" t="str">
        <f t="array" ref="H47">IF(G47="","",SUBSTITUTE(SUBSTITUTE(SUBSTITUTE(SUBSTITUTE(SUBSTITUTE(G47,"&lt;p&gt;",""),"&lt;/p&gt;",""),"&lt;ul&gt;",""),"&lt;/ul&gt;",""),"&lt;/strong&gt;",""))</f>
        <v>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v>
      </c>
      <c r="I47" s="14" cm="1" t="str">
        <f t="array" ref="I47">IF(C47="","",IF(OR(H47="",H47=0,H47=FALSE),"-",H47))</f>
        <v>Déj. S. Goirand, revue actu STRATON/ABEILLE, tickets 10Me min, intérêt mino, besoin EIF/BPI pour Due Dil, préférence second closing, BS conditionnel 9/04, data room. Prospect ok pour regarder STRATON 2026, 5-10Me possible. Prochaine étape&amp;nbsp;: envoyer détails closing tech + deck à jour (avant 02/04).</v>
      </c>
      <c r="J47" s="8" t="s">
        <v>188</v>
      </c>
      <c r="K47" s="8" t="s">
        <v>52</v>
      </c>
      <c r="L47" s="9" cm="1" t="str">
        <f t="array" ref="L47">IF(C47="","",IF(K47="Mort / Plus rien à faire","KO","OK"))</f>
        <v>OK</v>
      </c>
      <c r="M47" s="15">
        <v>46107.36309027778</v>
      </c>
      <c r="N47" s="15" cm="1" t="n">
        <f t="array" ref="N47">IF(OR(C47="",M47="",M47=0),"",M47)</f>
        <v>46107.36309027778</v>
      </c>
      <c r="O47" s="15">
</c>
      <c r="P47" s="15" cm="1" t="str">
        <f t="array" ref="P47">IF(C47="","",IF(OR(O47="",O47=0),"-",O47))</f>
        <v>-</v>
      </c>
      <c r="Q47" s="16">
        <v>10000000</v>
      </c>
      <c r="R47" s="16" cm="1" t="str">
        <f t="array" ref="R47">IF(C47="","",ROUND(Q47/1000000,3)&amp;" M€")</f>
        <v>10 M€</v>
      </c>
      <c r="S47" s="12" t="s">
        <v>138</v>
      </c>
      <c r="T47" s="9" cm="1" t="str">
        <f t="array" ref="T47">IF(C47="","",SUBSTITUTE(S47,"","")&amp;"%")</f>
        <v>20%</v>
      </c>
      <c r="U47" s="14" cm="1" t="str">
        <f t="array" ref="U47">IF(($N47="")*($P47=""),"",IF(($N47&lt;&gt;"")*($N47&gt;TODAY()-9)*($N47&lt;TODAY()+1)*($P47&lt;&gt;"")*($P47&gt;=TODAY())*($P47&lt;=TODAY()+13),"Semaine passée &amp; à venir",IF(($N47&lt;&gt;"")*($N47&gt;TODAY()-9)*($N47&lt;TODAY()+1),"Semaine passée",IF(($P47&lt;&gt;"")*($P47&gt;=TODAY())*($P47&lt;=TODAY()+13),"À venir","Autre"))))</f>
        <v>Autre</v>
      </c>
      <c r="V47" s="8" cm="1" t="n">
        <f t="array" ref="V47">IF(C47&lt;&gt;"",1,0)</f>
        <v>1</v>
      </c>
      <c r="W47" s="8">
</c>
      <c r="X47" s="8">
</c>
      <c r="Y47" s="8">
</c>
      <c r="Z47" s="8">
</c>
      <c r="AA47" s="8">
</c>
      <c r="AB47" s="8">
</c>
      <c r="AC47" s="8">
</c>
      <c r="AD47" s="8">
</c>
      <c r="AE47" s="8">
</c>
      <c r="AF47" s="8">
</c>
      <c r="AG47" s="8">
</c>
      <c r="AH47" s="8">
</c>
      <c r="AI47" s="8">
</c>
      <c r="AJ47" s="8">
</c>
      <c r="AK47" s="8">
</c>
    </row>
    <row r="48" ht="76.5" customHeight="1">
      <c r="A48" s="9" t="s">
        <v>23</v>
      </c>
      <c r="B48" s="9" t="s">
        <v>113</v>
      </c>
      <c r="C48" s="12" t="s">
        <v>189</v>
      </c>
      <c r="D48" s="12" t="s">
        <v>190</v>
      </c>
      <c r="E48" s="9" t="s">
        <v>27</v>
      </c>
      <c r="F48" s="8" t="s">
        <v>191</v>
      </c>
      <c r="G48" s="13" cm="1" t="str">
        <f t="array" ref="G48">IF(F48="","",SUBSTITUTE(SUBSTITUTE(SUBSTITUTE(SUBSTITUTE(F48,"&lt;li&gt;",CHAR(10)),"&lt;/li&gt;",""),"&lt;br&gt;",CHAR(10)),"&lt;strong&gt;",""))</f>
        <v>&lt;p&gt;RDV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maintenir.&lt;/p&gt;</v>
      </c>
      <c r="H48" s="13" cm="1" t="str">
        <f t="array" ref="H48">IF(G48="","",SUBSTITUTE(SUBSTITUTE(SUBSTITUTE(SUBSTITUTE(SUBSTITUTE(G48,"&lt;p&gt;",""),"&lt;/p&gt;",""),"&lt;ul&gt;",""),"&lt;/ul&gt;",""),"&lt;/strong&gt;",""))</f>
        <v>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v>
      </c>
      <c r="I48" s="14" cm="1" t="str">
        <f t="array" ref="I48">IF(C48="","",IF(OR(H48="",H48=0,H48=FALSE),"-",H48))</f>
        <v>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v>
      </c>
      <c r="J48" s="8">
</c>
      <c r="K48" s="8" t="s">
        <v>109</v>
      </c>
      <c r="L48" s="9" cm="1" t="str">
        <f t="array" ref="L48">IF(C48="","",IF(K48="Mort / Plus rien à faire","KO","OK"))</f>
        <v>OK</v>
      </c>
      <c r="M48" s="15">
        <v>46063.69364583334</v>
      </c>
      <c r="N48" s="15" cm="1" t="n">
        <f t="array" ref="N48">IF(OR(C48="",M48="",M48=0),"",M48)</f>
        <v>46063.69364583334</v>
      </c>
      <c r="O48" s="15">
</c>
      <c r="P48" s="15" cm="1" t="str">
        <f t="array" ref="P48">IF(C48="","",IF(OR(O48="",O48=0),"-",O48))</f>
        <v>-</v>
      </c>
      <c r="Q48" s="16">
        <v>0</v>
      </c>
      <c r="R48" s="16" cm="1" t="str">
        <f t="array" ref="R48">IF(C48="","",ROUND(Q48/1000000,3)&amp;" M€")</f>
        <v>0 M€</v>
      </c>
      <c r="S48" s="12" t="s">
        <v>192</v>
      </c>
      <c r="T48" s="9" cm="1" t="str">
        <f t="array" ref="T48">IF(C48="","",SUBSTITUTE(S48,"","")&amp;"%")</f>
        <v>10%</v>
      </c>
      <c r="U48" s="14" cm="1" t="str">
        <f t="array" ref="U48">IF(($N48="")*($P48=""),"",IF(($N48&lt;&gt;"")*($N48&gt;TODAY()-9)*($N48&lt;TODAY()+1)*($P48&lt;&gt;"")*($P48&gt;=TODAY())*($P48&lt;=TODAY()+13),"Semaine passée &amp; à venir",IF(($N48&lt;&gt;"")*($N48&gt;TODAY()-9)*($N48&lt;TODAY()+1),"Semaine passée",IF(($P48&lt;&gt;"")*($P48&gt;=TODAY())*($P48&lt;=TODAY()+13),"À venir","Autre"))))</f>
        <v>Autre</v>
      </c>
      <c r="V48" s="8" cm="1" t="n">
        <f t="array" ref="V48">IF(C48&lt;&gt;"",1,0)</f>
        <v>1</v>
      </c>
      <c r="W48" s="8">
</c>
      <c r="X48" s="8">
</c>
      <c r="Y48" s="8">
</c>
      <c r="Z48" s="8">
</c>
      <c r="AA48" s="8">
</c>
      <c r="AB48" s="8">
</c>
      <c r="AC48" s="8">
</c>
      <c r="AD48" s="8">
</c>
      <c r="AE48" s="8">
</c>
      <c r="AF48" s="8">
</c>
      <c r="AG48" s="8">
</c>
      <c r="AH48" s="8">
</c>
      <c r="AI48" s="8">
</c>
      <c r="AJ48" s="8">
</c>
      <c r="AK48" s="8">
</c>
    </row>
    <row r="49" ht="76.5" customHeight="1">
      <c r="A49" s="9" t="s">
        <v>23</v>
      </c>
      <c r="B49" s="9" t="s">
        <v>32</v>
      </c>
      <c r="C49" s="12" t="s">
        <v>193</v>
      </c>
      <c r="D49" s="12" t="s">
        <v>194</v>
      </c>
      <c r="E49" s="9" t="s">
        <v>27</v>
      </c>
      <c r="F49" s="8" t="s">
        <v>195</v>
      </c>
      <c r="G49" s="13" cm="1" t="str">
        <f t="array" ref="G49">IF(F49="","",SUBSTITUTE(SUBSTITUTE(SUBSTITUTE(SUBSTITUTE(F49,"&lt;li&gt;",CHAR(10)),"&lt;/li&gt;",""),"&lt;br&gt;",CHAR(10)),"&lt;strong&gt;",""))</f>
        <v>&lt;p&gt;Aucune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récentes.&lt;/p&gt;</v>
      </c>
      <c r="H49" s="13" cm="1" t="str">
        <f t="array" ref="H49">IF(G49="","",SUBSTITUTE(SUBSTITUTE(SUBSTITUTE(SUBSTITUTE(SUBSTITUTE(G49,"&lt;p&gt;",""),"&lt;/p&gt;",""),"&lt;ul&gt;",""),"&lt;/ul&gt;",""),"&lt;/strong&gt;",""))</f>
        <v>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v>
      </c>
      <c r="I49" s="14" cm="1" t="str">
        <f t="array" ref="I49">IF(C49="","",IF(OR(H49="",H49=0,H49=FALSE),"-",H49))</f>
        <v>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v>
      </c>
      <c r="J49" s="8">
</c>
      <c r="K49" s="8" t="s">
        <v>162</v>
      </c>
      <c r="L49" s="9" cm="1" t="str">
        <f t="array" ref="L49">IF(C49="","",IF(K49="Mort / Plus rien à faire","KO","OK"))</f>
        <v>OK</v>
      </c>
      <c r="M49" s="15">
        <v>46087.71902777778</v>
      </c>
      <c r="N49" s="15" cm="1" t="n">
        <f t="array" ref="N49">IF(OR(C49="",M49="",M49=0),"",M49)</f>
        <v>46087.71902777778</v>
      </c>
      <c r="O49" s="15">
</c>
      <c r="P49" s="15" cm="1" t="str">
        <f t="array" ref="P49">IF(C49="","",IF(OR(O49="",O49=0),"-",O49))</f>
        <v>-</v>
      </c>
      <c r="Q49" s="16">
        <v>0</v>
      </c>
      <c r="R49" s="16" cm="1" t="str">
        <f t="array" ref="R49">IF(C49="","",ROUND(Q49/1000000,3)&amp;" M€")</f>
        <v>0 M€</v>
      </c>
      <c r="S49" s="12" t="s">
        <v>192</v>
      </c>
      <c r="T49" s="9" cm="1" t="str">
        <f t="array" ref="T49">IF(C49="","",SUBSTITUTE(S49,"","")&amp;"%")</f>
        <v>10%</v>
      </c>
      <c r="U49" s="14" cm="1" t="str">
        <f t="array" ref="U49">IF(($N49="")*($P49=""),"",IF(($N49&lt;&gt;"")*($N49&gt;TODAY()-9)*($N49&lt;TODAY()+1)*($P49&lt;&gt;"")*($P49&gt;=TODAY())*($P49&lt;=TODAY()+13),"Semaine passée &amp; à venir",IF(($N49&lt;&gt;"")*($N49&gt;TODAY()-9)*($N49&lt;TODAY()+1),"Semaine passée",IF(($P49&lt;&gt;"")*($P49&gt;=TODAY())*($P49&lt;=TODAY()+13),"À venir","Autre"))))</f>
        <v>Autre</v>
      </c>
      <c r="V49" s="8" cm="1" t="n">
        <f t="array" ref="V49">IF(C49&lt;&gt;"",1,0)</f>
        <v>1</v>
      </c>
      <c r="W49" s="8">
</c>
      <c r="X49" s="8">
</c>
      <c r="Y49" s="8">
</c>
      <c r="Z49" s="8">
</c>
      <c r="AA49" s="8">
</c>
      <c r="AB49" s="8">
</c>
      <c r="AC49" s="8">
</c>
      <c r="AD49" s="8">
</c>
      <c r="AE49" s="8">
</c>
      <c r="AF49" s="8">
</c>
      <c r="AG49" s="8">
</c>
      <c r="AH49" s="8">
</c>
      <c r="AI49" s="8">
</c>
      <c r="AJ49" s="8">
</c>
      <c r="AK49" s="8">
</c>
    </row>
    <row r="50" ht="76.5" customHeight="1">
      <c r="A50" s="9" t="s">
        <v>23</v>
      </c>
      <c r="B50" s="9" t="s">
        <v>113</v>
      </c>
      <c r="C50" s="12" t="s">
        <v>196</v>
      </c>
      <c r="D50" s="12" t="s">
        <v>197</v>
      </c>
      <c r="E50" s="9" t="s">
        <v>27</v>
      </c>
      <c r="F50" s="8" t="s">
        <v>198</v>
      </c>
      <c r="G50" s="13" cm="1" t="str">
        <f t="array" ref="G50">IF(F50="","",SUBSTITUTE(SUBSTITUTE(SUBSTITUTE(SUBSTITUTE(F50,"&lt;li&gt;",CHAR(10)),"&lt;/li&gt;",""),"&lt;br&gt;",CHAR(10)),"&lt;strong&gt;",""))</f>
        <v>&lt;p&gt;Visio réalisée le 20/04 sur offre Audacia 150 0 B Ter. Nouvelle piste créée le 13/04 pour équipe Ventes. Prochaine étape : relance avant le 27/04 (activité "Echange - Mail - Document envoyé" à faire, note : XXXX). Pas de retour prospect sur fonds à ce stade.&lt;/p&gt;</v>
      </c>
      <c r="H50" s="13" cm="1" t="str">
        <f t="array" ref="H50">IF(G50="","",SUBSTITUTE(SUBSTITUTE(SUBSTITUTE(SUBSTITUTE(SUBSTITUTE(G50,"&lt;p&gt;",""),"&lt;/p&gt;",""),"&lt;ul&gt;",""),"&lt;/ul&gt;",""),"&lt;/strong&gt;",""))</f>
        <v>Visio réalisée le 20/04 sur offre Audacia 150 0 B Ter. Nouvelle piste créée le 13/04 pour équipe Ventes. Prochaine étape : relance avant le 27/04 (activité "Echange - Mail - Document envoyé" à faire, note : XXXX). Pas de retour prospect sur fonds à ce stade.</v>
      </c>
      <c r="I50" s="14" cm="1" t="str">
        <f t="array" ref="I50">IF(C50="","",IF(OR(H50="",H50=0,H50=FALSE),"-",H50))</f>
        <v>Visio réalisée le 20/04 sur offre Audacia 150 0 B Ter. Nouvelle piste créée le 13/04 pour équipe Ventes. Prochaine étape : relance avant le 27/04 (activité "Echange - Mail - Document envoyé" à faire, note : XXXX). Pas de retour prospect sur fonds à ce stade.</v>
      </c>
      <c r="J50" s="8" t="s">
        <v>199</v>
      </c>
      <c r="K50" s="8" t="s">
        <v>52</v>
      </c>
      <c r="L50" s="9" cm="1" t="str">
        <f t="array" ref="L50">IF(C50="","",IF(K50="Mort / Plus rien à faire","KO","OK"))</f>
        <v>OK</v>
      </c>
      <c r="M50" s="15">
        <v>46132.63444444445</v>
      </c>
      <c r="N50" s="15" cm="1" t="n">
        <f t="array" ref="N50">IF(OR(C50="",M50="",M50=0),"",M50)</f>
        <v>46132.63444444445</v>
      </c>
      <c r="O50" s="15">
</c>
      <c r="P50" s="15" cm="1" t="str">
        <f t="array" ref="P50">IF(C50="","",IF(OR(O50="",O50=0),"-",O50))</f>
        <v>-</v>
      </c>
      <c r="Q50" s="16">
        <v>0</v>
      </c>
      <c r="R50" s="16" cm="1" t="str">
        <f t="array" ref="R50">IF(C50="","",ROUND(Q50/1000000,3)&amp;" M€")</f>
        <v>0 M€</v>
      </c>
      <c r="S50" s="12" t="s">
        <v>192</v>
      </c>
      <c r="T50" s="9" cm="1" t="str">
        <f t="array" ref="T50">IF(C50="","",SUBSTITUTE(S50,"","")&amp;"%")</f>
        <v>10%</v>
      </c>
      <c r="U50" s="14" cm="1" t="str">
        <f t="array" ref="U50">IF(($N50="")*($P50=""),"",IF(($N50&lt;&gt;"")*($N50&gt;TODAY()-9)*($N50&lt;TODAY()+1)*($P50&lt;&gt;"")*($P50&gt;=TODAY())*($P50&lt;=TODAY()+13),"Semaine passée &amp; à venir",IF(($N50&lt;&gt;"")*($N50&gt;TODAY()-9)*($N50&lt;TODAY()+1),"Semaine passée",IF(($P50&lt;&gt;"")*($P50&gt;=TODAY())*($P50&lt;=TODAY()+13),"À venir","Autre"))))</f>
        <v>Autre</v>
      </c>
      <c r="V50" s="8" cm="1" t="n">
        <f t="array" ref="V50">IF(C50&lt;&gt;"",1,0)</f>
        <v>1</v>
      </c>
      <c r="W50" s="8">
</c>
      <c r="X50" s="8">
</c>
      <c r="Y50" s="8">
</c>
      <c r="Z50" s="8">
</c>
      <c r="AA50" s="8">
</c>
      <c r="AB50" s="8">
</c>
      <c r="AC50" s="8">
</c>
      <c r="AD50" s="8">
</c>
      <c r="AE50" s="8">
</c>
      <c r="AF50" s="8">
</c>
      <c r="AG50" s="8">
</c>
      <c r="AH50" s="8">
</c>
      <c r="AI50" s="8">
</c>
      <c r="AJ50" s="8">
</c>
      <c r="AK50" s="8">
</c>
    </row>
    <row r="51" ht="76.5" customHeight="1">
      <c r="A51" s="9" t="s">
        <v>23</v>
      </c>
      <c r="B51" s="9" t="s">
        <v>200</v>
      </c>
      <c r="C51" s="12" t="s">
        <v>201</v>
      </c>
      <c r="D51" s="12" t="s">
        <v>202</v>
      </c>
      <c r="E51" s="9" t="s">
        <v>27</v>
      </c>
      <c r="F51" s="8" t="s">
        <v>203</v>
      </c>
      <c r="G51" s="13" cm="1" t="str">
        <f t="array" ref="G51">IF(F51="","",SUBSTITUTE(SUBSTITUTE(SUBSTITUTE(SUBSTITUTE(F51,"&lt;li&gt;",CHAR(10)),"&lt;/li&gt;",""),"&lt;br&gt;",CHAR(10)),"&lt;strong&gt;",""))</f>
        <v>&lt;p&gt;Nouvelle piste créée pour équipe Ventes. Aucun échange, activité ou retour prospect enregistré à ce jour. Pas d'action menée ni de prochaine étape planifiée. Aucun retour sur fonds présentés, aucune conclusion ou avis prospect disponible. Suivi inexistant à ce stade.&lt;/p&gt;</v>
      </c>
      <c r="H51" s="13" cm="1" t="str">
        <f t="array" ref="H51">IF(G51="","",SUBSTITUTE(SUBSTITUTE(SUBSTITUTE(SUBSTITUTE(SUBSTITUTE(G51,"&lt;p&gt;",""),"&lt;/p&gt;",""),"&lt;ul&gt;",""),"&lt;/ul&gt;",""),"&lt;/strong&gt;",""))</f>
        <v>Nouvelle piste créée pour équipe Ventes. Aucun échange, activité ou retour prospect enregistré à ce jour. Pas d'action menée ni de prochaine étape planifiée. Aucun retour sur fonds présentés, aucune conclusion ou avis prospect disponible. Suivi inexistant à ce stade.</v>
      </c>
      <c r="I51" s="14" cm="1" t="str">
        <f t="array" ref="I51">IF(C51="","",IF(OR(H51="",H51=0,H51=FALSE),"-",H51))</f>
        <v>Nouvelle piste créée pour équipe Ventes. Aucun échange, activité ou retour prospect enregistré à ce jour. Pas d'action menée ni de prochaine étape planifiée. Aucun retour sur fonds présentés, aucune conclusion ou avis prospect disponible. Suivi inexistant à ce stade.</v>
      </c>
      <c r="J51" s="8">
</c>
      <c r="K51" s="8" t="s">
        <v>162</v>
      </c>
      <c r="L51" s="9" cm="1" t="str">
        <f t="array" ref="L51">IF(C51="","",IF(K51="Mort / Plus rien à faire","KO","OK"))</f>
        <v>OK</v>
      </c>
      <c r="M51" s="15">
        <v>46114.68803240741</v>
      </c>
      <c r="N51" s="15" cm="1" t="n">
        <f t="array" ref="N51">IF(OR(C51="",M51="",M51=0),"",M51)</f>
        <v>46114.68803240741</v>
      </c>
      <c r="O51" s="15">
</c>
      <c r="P51" s="15" cm="1" t="str">
        <f t="array" ref="P51">IF(C51="","",IF(OR(O51="",O51=0),"-",O51))</f>
        <v>-</v>
      </c>
      <c r="Q51" s="16">
        <v>0</v>
      </c>
      <c r="R51" s="16" cm="1" t="str">
        <f t="array" ref="R51">IF(C51="","",ROUND(Q51/1000000,3)&amp;" M€")</f>
        <v>0 M€</v>
      </c>
      <c r="S51" s="12" t="s">
        <v>192</v>
      </c>
      <c r="T51" s="9" cm="1" t="str">
        <f t="array" ref="T51">IF(C51="","",SUBSTITUTE(S51,"","")&amp;"%")</f>
        <v>10%</v>
      </c>
      <c r="U51" s="14" cm="1" t="str">
        <f t="array" ref="U51">IF(($N51="")*($P51=""),"",IF(($N51&lt;&gt;"")*($N51&gt;TODAY()-9)*($N51&lt;TODAY()+1)*($P51&lt;&gt;"")*($P51&gt;=TODAY())*($P51&lt;=TODAY()+13),"Semaine passée &amp; à venir",IF(($N51&lt;&gt;"")*($N51&gt;TODAY()-9)*($N51&lt;TODAY()+1),"Semaine passée",IF(($P51&lt;&gt;"")*($P51&gt;=TODAY())*($P51&lt;=TODAY()+13),"À venir","Autre"))))</f>
        <v>Autre</v>
      </c>
      <c r="V51" s="8" cm="1" t="n">
        <f t="array" ref="V51">IF(C51&lt;&gt;"",1,0)</f>
        <v>1</v>
      </c>
      <c r="W51" s="8">
</c>
      <c r="X51" s="8">
</c>
      <c r="Y51" s="8">
</c>
      <c r="Z51" s="8">
</c>
      <c r="AA51" s="8">
</c>
      <c r="AB51" s="8">
</c>
      <c r="AC51" s="8">
</c>
      <c r="AD51" s="8">
</c>
      <c r="AE51" s="8">
</c>
      <c r="AF51" s="8">
</c>
      <c r="AG51" s="8">
</c>
      <c r="AH51" s="8">
</c>
      <c r="AI51" s="8">
</c>
      <c r="AJ51" s="8">
</c>
      <c r="AK51" s="8">
</c>
    </row>
    <row r="52" ht="76.5" customHeight="1">
      <c r="A52" s="9" t="s">
        <v>23</v>
      </c>
      <c r="B52" s="9" t="s">
        <v>113</v>
      </c>
      <c r="C52" s="12" t="s">
        <v>204</v>
      </c>
      <c r="D52" s="12" t="s">
        <v>205</v>
      </c>
      <c r="E52" s="9" t="s">
        <v>27</v>
      </c>
      <c r="F52" s="8" t="s">
        <v>206</v>
      </c>
      <c r="G52" s="13" cm="1" t="str">
        <f t="array" ref="G52">IF(F52="","",SUBSTITUTE(SUBSTITUTE(SUBSTITUTE(SUBSTITUTE(F52,"&lt;li&gt;",CHAR(10)),"&lt;/li&gt;",""),"&lt;br&gt;",CHAR(10)),"&lt;strong&gt;",""))</f>
        <v>&lt;p&gt;RDV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stade.&lt;/p&gt;</v>
      </c>
      <c r="H52" s="13" cm="1" t="str">
        <f t="array" ref="H52">IF(G52="","",SUBSTITUTE(SUBSTITUTE(SUBSTITUTE(SUBSTITUTE(SUBSTITUTE(G52,"&lt;p&gt;",""),"&lt;/p&gt;",""),"&lt;ul&gt;",""),"&lt;/ul&gt;",""),"&lt;/strong&gt;",""))</f>
        <v>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v>
      </c>
      <c r="I52" s="14" cm="1" t="str">
        <f t="array" ref="I52">IF(C52="","",IF(OR(H52="",H52=0,H52=FALSE),"-",H52))</f>
        <v>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v>
      </c>
      <c r="J52" s="8" t="s">
        <v>207</v>
      </c>
      <c r="K52" s="8" t="s">
        <v>162</v>
      </c>
      <c r="L52" s="9" cm="1" t="str">
        <f t="array" ref="L52">IF(C52="","",IF(K52="Mort / Plus rien à faire","KO","OK"))</f>
        <v>OK</v>
      </c>
      <c r="M52" s="15">
        <v>46115.39020833333</v>
      </c>
      <c r="N52" s="15" cm="1" t="n">
        <f t="array" ref="N52">IF(OR(C52="",M52="",M52=0),"",M52)</f>
        <v>46115.39020833333</v>
      </c>
      <c r="O52" s="15">
</c>
      <c r="P52" s="15" cm="1" t="str">
        <f t="array" ref="P52">IF(C52="","",IF(OR(O52="",O52=0),"-",O52))</f>
        <v>-</v>
      </c>
      <c r="Q52" s="16">
        <v>1000000</v>
      </c>
      <c r="R52" s="16" cm="1" t="str">
        <f t="array" ref="R52">IF(C52="","",ROUND(Q52/1000000,3)&amp;" M€")</f>
        <v>1 M€</v>
      </c>
      <c r="S52" s="12" t="s">
        <v>192</v>
      </c>
      <c r="T52" s="9" cm="1" t="str">
        <f t="array" ref="T52">IF(C52="","",SUBSTITUTE(S52,"","")&amp;"%")</f>
        <v>10%</v>
      </c>
      <c r="U52" s="14" cm="1" t="str">
        <f t="array" ref="U52">IF(($N52="")*($P52=""),"",IF(($N52&lt;&gt;"")*($N52&gt;TODAY()-9)*($N52&lt;TODAY()+1)*($P52&lt;&gt;"")*($P52&gt;=TODAY())*($P52&lt;=TODAY()+13),"Semaine passée &amp; à venir",IF(($N52&lt;&gt;"")*($N52&gt;TODAY()-9)*($N52&lt;TODAY()+1),"Semaine passée",IF(($P52&lt;&gt;"")*($P52&gt;=TODAY())*($P52&lt;=TODAY()+13),"À venir","Autre"))))</f>
        <v>Autre</v>
      </c>
      <c r="V52" s="8" cm="1" t="n">
        <f t="array" ref="V52">IF(C52&lt;&gt;"",1,0)</f>
        <v>1</v>
      </c>
      <c r="W52" s="8">
</c>
      <c r="X52" s="8">
</c>
      <c r="Y52" s="8">
</c>
      <c r="Z52" s="8">
</c>
      <c r="AA52" s="8">
</c>
      <c r="AB52" s="8">
</c>
      <c r="AC52" s="8">
</c>
      <c r="AD52" s="8">
</c>
      <c r="AE52" s="8">
</c>
      <c r="AF52" s="8">
</c>
      <c r="AG52" s="8">
</c>
      <c r="AH52" s="8">
</c>
      <c r="AI52" s="8">
</c>
      <c r="AJ52" s="8">
</c>
      <c r="AK52" s="8">
</c>
    </row>
    <row r="53" ht="76.5" customHeight="1">
      <c r="A53" s="9" t="s">
        <v>23</v>
      </c>
      <c r="B53" s="9">
</c>
      <c r="C53" s="12" t="s">
        <v>208</v>
      </c>
      <c r="D53" s="12" t="s">
        <v>209</v>
      </c>
      <c r="E53" s="9" t="s">
        <v>27</v>
      </c>
      <c r="F53" s="8" t="s">
        <v>210</v>
      </c>
      <c r="G53" s="13" cm="1" t="str">
        <f t="array" ref="G53">IF(F53="","",SUBSTITUTE(SUBSTITUTE(SUBSTITUTE(SUBSTITUTE(F53,"&lt;li&gt;",CHAR(10)),"&lt;/li&gt;",""),"&lt;br&gt;",CHAR(10)),"&lt;strong&gt;",""))</f>
        <v>&lt;p&gt;Rencontre Choiseul 40 Défense le 21/04/2026. Présentation OCIRP : portefeuille 2,7 Md€, 25% actions, forte orientation obligations, progression non-coté/illiquide. Pas de fonds Article 9. Flux net dispo 84 M€. Pas d'activité future planifiée mentionnée. Nouvelle piste créée équipe Ventes.&lt;/p&gt;</v>
      </c>
      <c r="H53" s="13" cm="1" t="str">
        <f t="array" ref="H53">IF(G53="","",SUBSTITUTE(SUBSTITUTE(SUBSTITUTE(SUBSTITUTE(SUBSTITUTE(G53,"&lt;p&gt;",""),"&lt;/p&gt;",""),"&lt;ul&gt;",""),"&lt;/ul&gt;",""),"&lt;/strong&gt;",""))</f>
        <v>Rencontre Choiseul 40 Défense le 21/04/2026. Présentation OCIRP : portefeuille 2,7 Md€, 25% actions, forte orientation obligations, progression non-coté/illiquide. Pas de fonds Article 9. Flux net dispo 84 M€. Pas d'activité future planifiée mentionnée. Nouvelle piste créée équipe Ventes.</v>
      </c>
      <c r="I53" s="14" cm="1" t="str">
        <f t="array" ref="I53">IF(C53="","",IF(OR(H53="",H53=0,H53=FALSE),"-",H53))</f>
        <v>Rencontre Choiseul 40 Défense le 21/04/2026. Présentation OCIRP : portefeuille 2,7 Md€, 25% actions, forte orientation obligations, progression non-coté/illiquide. Pas de fonds Article 9. Flux net dispo 84 M€. Pas d'activité future planifiée mentionnée. Nouvelle piste créée équipe Ventes.</v>
      </c>
      <c r="J53" s="8">
</c>
      <c r="K53" s="8" t="s">
        <v>162</v>
      </c>
      <c r="L53" s="9" cm="1" t="str">
        <f t="array" ref="L53">IF(C53="","",IF(K53="Mort / Plus rien à faire","KO","OK"))</f>
        <v>OK</v>
      </c>
      <c r="M53" s="15">
        <v>46134.29452546296</v>
      </c>
      <c r="N53" s="15" cm="1" t="n">
        <f t="array" ref="N53">IF(OR(C53="",M53="",M53=0),"",M53)</f>
        <v>46134.29452546296</v>
      </c>
      <c r="O53" s="15">
</c>
      <c r="P53" s="15" cm="1" t="str">
        <f t="array" ref="P53">IF(C53="","",IF(OR(O53="",O53=0),"-",O53))</f>
        <v>-</v>
      </c>
      <c r="Q53" s="16">
        <v>0</v>
      </c>
      <c r="R53" s="16" cm="1" t="str">
        <f t="array" ref="R53">IF(C53="","",ROUND(Q53/1000000,3)&amp;" M€")</f>
        <v>0 M€</v>
      </c>
      <c r="S53" s="12" t="s">
        <v>192</v>
      </c>
      <c r="T53" s="9" cm="1" t="str">
        <f t="array" ref="T53">IF(C53="","",SUBSTITUTE(S53,"","")&amp;"%")</f>
        <v>10%</v>
      </c>
      <c r="U53" s="14" cm="1" t="str">
        <f t="array" ref="U53">IF(($N53="")*($P53=""),"",IF(($N53&lt;&gt;"")*($N53&gt;TODAY()-9)*($N53&lt;TODAY()+1)*($P53&lt;&gt;"")*($P53&gt;=TODAY())*($P53&lt;=TODAY()+13),"Semaine passée &amp; à venir",IF(($N53&lt;&gt;"")*($N53&gt;TODAY()-9)*($N53&lt;TODAY()+1),"Semaine passée",IF(($P53&lt;&gt;"")*($P53&gt;=TODAY())*($P53&lt;=TODAY()+13),"À venir","Autre"))))</f>
        <v>Autre</v>
      </c>
      <c r="V53" s="8" cm="1" t="n">
        <f t="array" ref="V53">IF(C53&lt;&gt;"",1,0)</f>
        <v>1</v>
      </c>
      <c r="W53" s="8">
</c>
      <c r="X53" s="8">
</c>
      <c r="Y53" s="8">
</c>
      <c r="Z53" s="8">
</c>
      <c r="AA53" s="8">
</c>
      <c r="AB53" s="8">
</c>
      <c r="AC53" s="8">
</c>
      <c r="AD53" s="8">
</c>
      <c r="AE53" s="8">
</c>
      <c r="AF53" s="8">
</c>
      <c r="AG53" s="8">
</c>
      <c r="AH53" s="8">
</c>
      <c r="AI53" s="8">
</c>
      <c r="AJ53" s="8">
</c>
      <c r="AK53" s="8">
</c>
    </row>
    <row r="54" ht="76.5" customHeight="1">
      <c r="A54" s="9" t="s">
        <v>23</v>
      </c>
      <c r="B54" s="9" t="s">
        <v>170</v>
      </c>
      <c r="C54" s="12" t="s">
        <v>211</v>
      </c>
      <c r="D54" s="12" t="s">
        <v>212</v>
      </c>
      <c r="E54" s="9" t="s">
        <v>27</v>
      </c>
      <c r="F54" s="8" t="s">
        <v>213</v>
      </c>
      <c r="G54" s="13" cm="1" t="str">
        <f t="array" ref="G54">IF(F54="","",SUBSTITUTE(SUBSTITUTE(SUBSTITUTE(SUBSTITUTE(F54,"&lt;li&gt;",CHAR(10)),"&lt;/li&gt;",""),"&lt;br&gt;",CHAR(10)),"&lt;strong&gt;",""))</f>
        <v>&lt;p&gt;RDV physique avec Thierry Campoy-Heneaux, focus FO/MFO, pas d'intérêt VC, revoir en 2027. Activités : gestion patrimoniale, Champagne, Immo, MedTech, Pharmacie. Feedback prospect : préfère solutions sur-mesure, pas de co-invest VC, AUDACIA non, Straton ok. Relance prévue l'an prochain.&lt;/p&gt;</v>
      </c>
      <c r="H54" s="13" cm="1" t="str">
        <f t="array" ref="H54">IF(G54="","",SUBSTITUTE(SUBSTITUTE(SUBSTITUTE(SUBSTITUTE(SUBSTITUTE(G54,"&lt;p&gt;",""),"&lt;/p&gt;",""),"&lt;ul&gt;",""),"&lt;/ul&gt;",""),"&lt;/strong&gt;",""))</f>
        <v>RDV physique avec Thierry Campoy-Heneaux, focus FO/MFO, pas d'intérêt VC, revoir en 2027. Activités : gestion patrimoniale, Champagne, Immo, MedTech, Pharmacie. Feedback prospect : préfère solutions sur-mesure, pas de co-invest VC, AUDACIA non, Straton ok. Relance prévue l'an prochain.</v>
      </c>
      <c r="I54" s="14" cm="1" t="str">
        <f t="array" ref="I54">IF(C54="","",IF(OR(H54="",H54=0,H54=FALSE),"-",H54))</f>
        <v>RDV physique avec Thierry Campoy-Heneaux, focus FO/MFO, pas d'intérêt VC, revoir en 2027. Activités : gestion patrimoniale, Champagne, Immo, MedTech, Pharmacie. Feedback prospect : préfère solutions sur-mesure, pas de co-invest VC, AUDACIA non, Straton ok. Relance prévue l'an prochain.</v>
      </c>
      <c r="J54" s="8" t="s">
        <v>214</v>
      </c>
      <c r="K54" s="8" t="s">
        <v>52</v>
      </c>
      <c r="L54" s="9" cm="1" t="str">
        <f t="array" ref="L54">IF(C54="","",IF(K54="Mort / Plus rien à faire","KO","OK"))</f>
        <v>OK</v>
      </c>
      <c r="M54" s="15">
        <v>46114.70445601852</v>
      </c>
      <c r="N54" s="15" cm="1" t="n">
        <f t="array" ref="N54">IF(OR(C54="",M54="",M54=0),"",M54)</f>
        <v>46114.70445601852</v>
      </c>
      <c r="O54" s="15">
        <v>46391.708333333336</v>
      </c>
      <c r="P54" s="15" cm="1" t="n">
        <f t="array" ref="P54">IF(C54="","",IF(OR(O54="",O54=0),"-",O54))</f>
        <v>46391.708333333336</v>
      </c>
      <c r="Q54" s="16">
        <v>0</v>
      </c>
      <c r="R54" s="16" cm="1" t="str">
        <f t="array" ref="R54">IF(C54="","",ROUND(Q54/1000000,3)&amp;" M€")</f>
        <v>0 M€</v>
      </c>
      <c r="S54" s="12" t="s">
        <v>192</v>
      </c>
      <c r="T54" s="9" cm="1" t="str">
        <f t="array" ref="T54">IF(C54="","",SUBSTITUTE(S54,"","")&amp;"%")</f>
        <v>10%</v>
      </c>
      <c r="U54" s="14" cm="1" t="str">
        <f t="array" ref="U54">IF(($N54="")*($P54=""),"",IF(($N54&lt;&gt;"")*($N54&gt;TODAY()-9)*($N54&lt;TODAY()+1)*($P54&lt;&gt;"")*($P54&gt;=TODAY())*($P54&lt;=TODAY()+13),"Semaine passée &amp; à venir",IF(($N54&lt;&gt;"")*($N54&gt;TODAY()-9)*($N54&lt;TODAY()+1),"Semaine passée",IF(($P54&lt;&gt;"")*($P54&gt;=TODAY())*($P54&lt;=TODAY()+13),"À venir","Autre"))))</f>
        <v>Autre</v>
      </c>
      <c r="V54" s="8" cm="1" t="n">
        <f t="array" ref="V54">IF(C54&lt;&gt;"",1,0)</f>
        <v>1</v>
      </c>
      <c r="W54" s="8">
</c>
      <c r="X54" s="8">
</c>
      <c r="Y54" s="8">
</c>
      <c r="Z54" s="8">
</c>
      <c r="AA54" s="8">
</c>
      <c r="AB54" s="8">
</c>
      <c r="AC54" s="8">
</c>
      <c r="AD54" s="8">
</c>
      <c r="AE54" s="8">
</c>
      <c r="AF54" s="8">
</c>
      <c r="AG54" s="8">
</c>
      <c r="AH54" s="8">
</c>
      <c r="AI54" s="8">
</c>
      <c r="AJ54" s="8">
</c>
      <c r="AK54" s="8">
</c>
    </row>
    <row r="55" ht="76.5" customHeight="1">
      <c r="A55" s="9" t="s">
        <v>23</v>
      </c>
      <c r="B55" s="9" t="s">
        <v>32</v>
      </c>
      <c r="C55" s="12" t="s">
        <v>215</v>
      </c>
      <c r="D55" s="12" t="s">
        <v>216</v>
      </c>
      <c r="E55" s="9" t="s">
        <v>217</v>
      </c>
      <c r="F55" s="8" t="s">
        <v>218</v>
      </c>
      <c r="G55" s="13" cm="1" t="str">
        <f t="array" ref="G55">IF(F55="","",SUBSTITUTE(SUBSTITUTE(SUBSTITUTE(SUBSTITUTE(F55,"&lt;li&gt;",CHAR(10)),"&lt;/li&gt;",""),"&lt;br&gt;",CHAR(10)),"&lt;strong&gt;",""))</f>
        <v>&lt;p&gt;Présentation Expansion/Straton, bon contact, prospect a investi 15M€ dans CICLAD, cible 15M€ dans STRATON mais refuse (trop petit, mauvais souvenir fonds PME). Intérêt thématique Expansion mais jugé trop niche. Prochaine action : prendre des nouvelles. Pas d'autres activités récentes.&lt;/p&gt;</v>
      </c>
      <c r="H55" s="13" cm="1" t="str">
        <f t="array" ref="H55">IF(G55="","",SUBSTITUTE(SUBSTITUTE(SUBSTITUTE(SUBSTITUTE(SUBSTITUTE(G55,"&lt;p&gt;",""),"&lt;/p&gt;",""),"&lt;ul&gt;",""),"&lt;/ul&gt;",""),"&lt;/strong&gt;",""))</f>
        <v>Présentation Expansion/Straton, bon contact, prospect a investi 15M€ dans CICLAD, cible 15M€ dans STRATON mais refuse (trop petit, mauvais souvenir fonds PME). Intérêt thématique Expansion mais jugé trop niche. Prochaine action : prendre des nouvelles. Pas d'autres activités récentes.</v>
      </c>
      <c r="I55" s="14" cm="1" t="str">
        <f t="array" ref="I55">IF(C55="","",IF(OR(H55="",H55=0,H55=FALSE),"-",H55))</f>
        <v>Présentation Expansion/Straton, bon contact, prospect a investi 15M€ dans CICLAD, cible 15M€ dans STRATON mais refuse (trop petit, mauvais souvenir fonds PME). Intérêt thématique Expansion mais jugé trop niche. Prochaine action : prendre des nouvelles. Pas d'autres activités récentes.</v>
      </c>
      <c r="J55" s="8" t="s">
        <v>219</v>
      </c>
      <c r="K55" s="8" t="s">
        <v>162</v>
      </c>
      <c r="L55" s="9" cm="1" t="str">
        <f t="array" ref="L55">IF(C55="","",IF(K55="Mort / Plus rien à faire","KO","OK"))</f>
        <v>OK</v>
      </c>
      <c r="M55" s="15">
        <v>46134.73664351852</v>
      </c>
      <c r="N55" s="15" cm="1" t="n">
        <f t="array" ref="N55">IF(OR(C55="",M55="",M55=0),"",M55)</f>
        <v>46134.73664351852</v>
      </c>
      <c r="O55" s="15">
</c>
      <c r="P55" s="15" cm="1" t="str">
        <f t="array" ref="P55">IF(C55="","",IF(OR(O55="",O55=0),"-",O55))</f>
        <v>-</v>
      </c>
      <c r="Q55" s="16">
        <v>0</v>
      </c>
      <c r="R55" s="16" cm="1" t="str">
        <f t="array" ref="R55">IF(C55="","",ROUND(Q55/1000000,3)&amp;" M€")</f>
        <v>0 M€</v>
      </c>
      <c r="S55" s="12" t="s">
        <v>192</v>
      </c>
      <c r="T55" s="9" cm="1" t="str">
        <f t="array" ref="T55">IF(C55="","",SUBSTITUTE(S55,"","")&amp;"%")</f>
        <v>10%</v>
      </c>
      <c r="U55" s="14" cm="1" t="str">
        <f t="array" ref="U55">IF(($N55="")*($P55=""),"",IF(($N55&lt;&gt;"")*($N55&gt;TODAY()-9)*($N55&lt;TODAY()+1)*($P55&lt;&gt;"")*($P55&gt;=TODAY())*($P55&lt;=TODAY()+13),"Semaine passée &amp; à venir",IF(($N55&lt;&gt;"")*($N55&gt;TODAY()-9)*($N55&lt;TODAY()+1),"Semaine passée",IF(($P55&lt;&gt;"")*($P55&gt;=TODAY())*($P55&lt;=TODAY()+13),"À venir","Autre"))))</f>
        <v>Autre</v>
      </c>
      <c r="V55" s="8" cm="1" t="n">
        <f t="array" ref="V55">IF(C55&lt;&gt;"",1,0)</f>
        <v>1</v>
      </c>
      <c r="W55" s="8">
</c>
      <c r="X55" s="8">
</c>
      <c r="Y55" s="8">
</c>
      <c r="Z55" s="8">
</c>
      <c r="AA55" s="8">
</c>
      <c r="AB55" s="8">
</c>
      <c r="AC55" s="8">
</c>
      <c r="AD55" s="8">
</c>
      <c r="AE55" s="8">
</c>
      <c r="AF55" s="8">
</c>
      <c r="AG55" s="8">
</c>
      <c r="AH55" s="8">
</c>
      <c r="AI55" s="8">
</c>
      <c r="AJ55" s="8">
</c>
      <c r="AK55" s="8">
</c>
    </row>
    <row r="56" ht="76.5" customHeight="1">
      <c r="A56" s="9" t="s">
        <v>23</v>
      </c>
      <c r="B56" s="9" t="s">
        <v>170</v>
      </c>
      <c r="C56" s="12" t="s">
        <v>220</v>
      </c>
      <c r="D56" s="12" t="s">
        <v>221</v>
      </c>
      <c r="E56" s="9" t="s">
        <v>39</v>
      </c>
      <c r="F56" s="8" t="s">
        <v>222</v>
      </c>
      <c r="G56" s="13" cm="1" t="str">
        <f t="array" ref="G56">IF(F56="","",SUBSTITUTE(SUBSTITUTE(SUBSTITUTE(SUBSTITUTE(F56,"&lt;li&gt;",CHAR(10)),"&lt;/li&gt;",""),"&lt;br&gt;",CHAR(10)),"&lt;strong&gt;",""))</f>
        <v>&lt;p&gt;Nouvelle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27/03.&lt;/p&gt;</v>
      </c>
      <c r="H56" s="13" cm="1" t="str">
        <f t="array" ref="H56">IF(G56="","",SUBSTITUTE(SUBSTITUTE(SUBSTITUTE(SUBSTITUTE(SUBSTITUTE(G56,"&lt;p&gt;",""),"&lt;/p&gt;",""),"&lt;ul&gt;",""),"&lt;/ul&gt;",""),"&lt;/strong&gt;",""))</f>
        <v>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v>
      </c>
      <c r="I56" s="14" cm="1" t="str">
        <f t="array" ref="I56">IF(C56="","",IF(OR(H56="",H56=0,H56=FALSE),"-",H56))</f>
        <v>Nouvelle piste créée équipe Ventes. Enrichissement lead impossible (email invalide). Prochaine étape : 27 mars, Charles et Olivier invités par SAPIENS (FO d’IVESTA validé sur STRATON 150 0 B ter) pour podcast + masterclass PE payante, approche Apport-Cession. Nécessité rassurance avant le 27/03.</v>
      </c>
      <c r="J56" s="8" t="s">
        <v>223</v>
      </c>
      <c r="K56" s="8" t="s">
        <v>162</v>
      </c>
      <c r="L56" s="9" cm="1" t="str">
        <f t="array" ref="L56">IF(C56="","",IF(K56="Mort / Plus rien à faire","KO","OK"))</f>
        <v>OK</v>
      </c>
      <c r="M56" s="15">
        <v>46094.40490740741</v>
      </c>
      <c r="N56" s="15" cm="1" t="n">
        <f t="array" ref="N56">IF(OR(C56="",M56="",M56=0),"",M56)</f>
        <v>46094.40490740741</v>
      </c>
      <c r="O56" s="15">
</c>
      <c r="P56" s="15" cm="1" t="str">
        <f t="array" ref="P56">IF(C56="","",IF(OR(O56="",O56=0),"-",O56))</f>
        <v>-</v>
      </c>
      <c r="Q56" s="16">
        <v>0</v>
      </c>
      <c r="R56" s="16" cm="1" t="str">
        <f t="array" ref="R56">IF(C56="","",ROUND(Q56/1000000,3)&amp;" M€")</f>
        <v>0 M€</v>
      </c>
      <c r="S56" s="12" t="s">
        <v>192</v>
      </c>
      <c r="T56" s="9" cm="1" t="str">
        <f t="array" ref="T56">IF(C56="","",SUBSTITUTE(S56,"","")&amp;"%")</f>
        <v>10%</v>
      </c>
      <c r="U56" s="14" cm="1" t="str">
        <f t="array" ref="U56">IF(($N56="")*($P56=""),"",IF(($N56&lt;&gt;"")*($N56&gt;TODAY()-9)*($N56&lt;TODAY()+1)*($P56&lt;&gt;"")*($P56&gt;=TODAY())*($P56&lt;=TODAY()+13),"Semaine passée &amp; à venir",IF(($N56&lt;&gt;"")*($N56&gt;TODAY()-9)*($N56&lt;TODAY()+1),"Semaine passée",IF(($P56&lt;&gt;"")*($P56&gt;=TODAY())*($P56&lt;=TODAY()+13),"À venir","Autre"))))</f>
        <v>Autre</v>
      </c>
      <c r="V56" s="8" cm="1" t="n">
        <f t="array" ref="V56">IF(C56&lt;&gt;"",1,0)</f>
        <v>1</v>
      </c>
      <c r="W56" s="8">
</c>
      <c r="X56" s="8">
</c>
      <c r="Y56" s="8">
</c>
      <c r="Z56" s="8">
</c>
      <c r="AA56" s="8">
</c>
      <c r="AB56" s="8">
</c>
      <c r="AC56" s="8">
</c>
      <c r="AD56" s="8">
</c>
      <c r="AE56" s="8">
</c>
      <c r="AF56" s="8">
</c>
      <c r="AG56" s="8">
</c>
      <c r="AH56" s="8">
</c>
      <c r="AI56" s="8">
</c>
      <c r="AJ56" s="8">
</c>
      <c r="AK56" s="8">
</c>
    </row>
    <row r="57" ht="76.5" customHeight="1">
      <c r="A57" s="9" t="s">
        <v>23</v>
      </c>
      <c r="B57" s="9" t="s">
        <v>45</v>
      </c>
      <c r="C57" s="12" t="s">
        <v>84</v>
      </c>
      <c r="D57" s="9">
</c>
      <c r="E57" s="9" t="s">
        <v>39</v>
      </c>
      <c r="F57" s="8" t="s">
        <v>224</v>
      </c>
      <c r="G57" s="13" cm="1" t="str">
        <f t="array" ref="G57">IF(F57="","",SUBSTITUTE(SUBSTITUTE(SUBSTITUTE(SUBSTITUTE(F57,"&lt;li&gt;",CHAR(10)),"&lt;/li&gt;",""),"&lt;br&gt;",CHAR(10)),"&lt;strong&gt;",""))</f>
        <v>&lt;p&gt;Nouvelle piste créée pour équipe Ventes. 27/04 : demande entrante, un client souhaite investir dans STRATON. Pas d'autres échanges ou actions récentes identifiés. Prochaines étapes à définir, aucun retour prospect ni suivi complémentaire enregistré à ce stade.&lt;/p&gt;</v>
      </c>
      <c r="H57" s="13" cm="1" t="str">
        <f t="array" ref="H57">IF(G57="","",SUBSTITUTE(SUBSTITUTE(SUBSTITUTE(SUBSTITUTE(SUBSTITUTE(G57,"&lt;p&gt;",""),"&lt;/p&gt;",""),"&lt;ul&gt;",""),"&lt;/ul&gt;",""),"&lt;/strong&gt;",""))</f>
        <v>Nouvelle piste créée pour équipe Ventes. 27/04 : demande entrante, un client souhaite investir dans STRATON. Pas d'autres échanges ou actions récentes identifiés. Prochaines étapes à définir, aucun retour prospect ni suivi complémentaire enregistré à ce stade.</v>
      </c>
      <c r="I57" s="14" cm="1" t="str">
        <f t="array" ref="I57">IF(C57="","",IF(OR(H57="",H57=0,H57=FALSE),"-",H57))</f>
        <v>Nouvelle piste créée pour équipe Ventes. 27/04 : demande entrante, un client souhaite investir dans STRATON. Pas d'autres échanges ou actions récentes identifiés. Prochaines étapes à définir, aucun retour prospect ni suivi complémentaire enregistré à ce stade.</v>
      </c>
      <c r="J57" s="8">
</c>
      <c r="K57" s="8" t="s">
        <v>162</v>
      </c>
      <c r="L57" s="9" cm="1" t="str">
        <f t="array" ref="L57">IF(C57="","",IF(K57="Mort / Plus rien à faire","KO","OK"))</f>
        <v>OK</v>
      </c>
      <c r="M57" s="15">
        <v>46139.44792824074</v>
      </c>
      <c r="N57" s="15" cm="1" t="n">
        <f t="array" ref="N57">IF(OR(C57="",M57="",M57=0),"",M57)</f>
        <v>46139.44792824074</v>
      </c>
      <c r="O57" s="15">
</c>
      <c r="P57" s="15" cm="1" t="str">
        <f t="array" ref="P57">IF(C57="","",IF(OR(O57="",O57=0),"-",O57))</f>
        <v>-</v>
      </c>
      <c r="Q57" s="16">
        <v>100000</v>
      </c>
      <c r="R57" s="16" cm="1" t="str">
        <f t="array" ref="R57">IF(C57="","",ROUND(Q57/1000000,3)&amp;" M€")</f>
        <v>0.1 M€</v>
      </c>
      <c r="S57" s="12" t="s">
        <v>192</v>
      </c>
      <c r="T57" s="9" cm="1" t="str">
        <f t="array" ref="T57">IF(C57="","",SUBSTITUTE(S57,"","")&amp;"%")</f>
        <v>10%</v>
      </c>
      <c r="U57" s="14" cm="1" t="str">
        <f t="array" ref="U57">IF(($N57="")*($P57=""),"",IF(($N57&lt;&gt;"")*($N57&gt;TODAY()-9)*($N57&lt;TODAY()+1)*($P57&lt;&gt;"")*($P57&gt;=TODAY())*($P57&lt;=TODAY()+13),"Semaine passée &amp; à venir",IF(($N57&lt;&gt;"")*($N57&gt;TODAY()-9)*($N57&lt;TODAY()+1),"Semaine passée",IF(($P57&lt;&gt;"")*($P57&gt;=TODAY())*($P57&lt;=TODAY()+13),"À venir","Autre"))))</f>
        <v>Semaine passée</v>
      </c>
      <c r="V57" s="8" cm="1" t="n">
        <f t="array" ref="V57">IF(C57&lt;&gt;"",1,0)</f>
        <v>1</v>
      </c>
      <c r="W57" s="8">
</c>
      <c r="X57" s="8">
</c>
      <c r="Y57" s="8">
</c>
      <c r="Z57" s="8">
</c>
      <c r="AA57" s="8">
</c>
      <c r="AB57" s="8">
</c>
      <c r="AC57" s="8">
</c>
      <c r="AD57" s="8">
</c>
      <c r="AE57" s="8">
</c>
      <c r="AF57" s="8">
</c>
      <c r="AG57" s="8">
</c>
      <c r="AH57" s="8">
</c>
      <c r="AI57" s="8">
</c>
      <c r="AJ57" s="8">
</c>
      <c r="AK57" s="8">
</c>
    </row>
    <row r="58" ht="76.5" customHeight="1">
      <c r="A58" s="9" t="s">
        <v>23</v>
      </c>
      <c r="B58" s="9" t="s">
        <v>53</v>
      </c>
      <c r="C58" s="12" t="s">
        <v>225</v>
      </c>
      <c r="D58" s="12" t="s">
        <v>225</v>
      </c>
      <c r="E58" s="9" t="s">
        <v>27</v>
      </c>
      <c r="F58" s="8" t="s">
        <v>226</v>
      </c>
      <c r="G58" s="13" cm="1" t="str">
        <f t="array" ref="G58">IF(F58="","",SUBSTITUTE(SUBSTITUTE(SUBSTITUTE(SUBSTITUTE(F58,"&lt;li&gt;",CHAR(10)),"&lt;/li&gt;",""),"&lt;br&gt;",CHAR(10)),"&lt;strong&gt;",""))</f>
        <v>&lt;p&gt;RDV physique 150 0 Ber &amp;lt;&amp;gt; straton et Procession réalisé, prospect n'a pas manifesté d'intérêt pour le VC. Aucun retour positif ni suite prévue à ce stade. Dernier échange le 17/04/2026. Pas d'autres activités ou prochaines étapes identifiées dans le suivi récent.&lt;/p&gt;</v>
      </c>
      <c r="H58" s="13" cm="1" t="str">
        <f t="array" ref="H58">IF(G58="","",SUBSTITUTE(SUBSTITUTE(SUBSTITUTE(SUBSTITUTE(SUBSTITUTE(G58,"&lt;p&gt;",""),"&lt;/p&gt;",""),"&lt;ul&gt;",""),"&lt;/ul&gt;",""),"&lt;/strong&gt;",""))</f>
        <v>RDV physique 150 0 Ber &amp;lt;&amp;gt; straton et Procession réalisé, prospect n'a pas manifesté d'intérêt pour le VC. Aucun retour positif ni suite prévue à ce stade. Dernier échange le 17/04/2026. Pas d'autres activités ou prochaines étapes identifiées dans le suivi récent.</v>
      </c>
      <c r="I58" s="14" cm="1" t="str">
        <f t="array" ref="I58">IF(C58="","",IF(OR(H58="",H58=0,H58=FALSE),"-",H58))</f>
        <v>RDV physique 150 0 Ber &amp;lt;&amp;gt; straton et Procession réalisé, prospect n'a pas manifesté d'intérêt pour le VC. Aucun retour positif ni suite prévue à ce stade. Dernier échange le 17/04/2026. Pas d'autres activités ou prochaines étapes identifiées dans le suivi récent.</v>
      </c>
      <c r="J58" s="8" t="s">
        <v>227</v>
      </c>
      <c r="K58" s="8" t="s">
        <v>162</v>
      </c>
      <c r="L58" s="9" cm="1" t="str">
        <f t="array" ref="L58">IF(C58="","",IF(K58="Mort / Plus rien à faire","KO","OK"))</f>
        <v>OK</v>
      </c>
      <c r="M58" s="15">
        <v>46129.76540509259</v>
      </c>
      <c r="N58" s="15" cm="1" t="n">
        <f t="array" ref="N58">IF(OR(C58="",M58="",M58=0),"",M58)</f>
        <v>46129.76540509259</v>
      </c>
      <c r="O58" s="15">
</c>
      <c r="P58" s="15" cm="1" t="str">
        <f t="array" ref="P58">IF(C58="","",IF(OR(O58="",O58=0),"-",O58))</f>
        <v>-</v>
      </c>
      <c r="Q58" s="16">
        <v>1000000</v>
      </c>
      <c r="R58" s="16" cm="1" t="str">
        <f t="array" ref="R58">IF(C58="","",ROUND(Q58/1000000,3)&amp;" M€")</f>
        <v>1 M€</v>
      </c>
      <c r="S58" s="12" t="s">
        <v>192</v>
      </c>
      <c r="T58" s="9" cm="1" t="str">
        <f t="array" ref="T58">IF(C58="","",SUBSTITUTE(S58,"","")&amp;"%")</f>
        <v>10%</v>
      </c>
      <c r="U58" s="14" cm="1" t="str">
        <f t="array" ref="U58">IF(($N58="")*($P58=""),"",IF(($N58&lt;&gt;"")*($N58&gt;TODAY()-9)*($N58&lt;TODAY()+1)*($P58&lt;&gt;"")*($P58&gt;=TODAY())*($P58&lt;=TODAY()+13),"Semaine passée &amp; à venir",IF(($N58&lt;&gt;"")*($N58&gt;TODAY()-9)*($N58&lt;TODAY()+1),"Semaine passée",IF(($P58&lt;&gt;"")*($P58&gt;=TODAY())*($P58&lt;=TODAY()+13),"À venir","Autre"))))</f>
        <v>Autre</v>
      </c>
      <c r="V58" s="8" cm="1" t="n">
        <f t="array" ref="V58">IF(C58&lt;&gt;"",1,0)</f>
        <v>1</v>
      </c>
      <c r="W58" s="8">
</c>
      <c r="X58" s="8">
</c>
      <c r="Y58" s="8">
</c>
      <c r="Z58" s="8">
</c>
      <c r="AA58" s="8">
</c>
      <c r="AB58" s="8">
</c>
      <c r="AC58" s="8">
</c>
      <c r="AD58" s="8">
</c>
      <c r="AE58" s="8">
</c>
      <c r="AF58" s="8">
</c>
      <c r="AG58" s="8">
</c>
      <c r="AH58" s="8">
</c>
      <c r="AI58" s="8">
</c>
      <c r="AJ58" s="8">
</c>
      <c r="AK58" s="8">
</c>
    </row>
    <row r="59" ht="76.5" customHeight="1">
      <c r="A59" s="9" t="s">
        <v>23</v>
      </c>
      <c r="B59" s="9" t="s">
        <v>36</v>
      </c>
      <c r="C59" s="12" t="s">
        <v>228</v>
      </c>
      <c r="D59" s="12" t="s">
        <v>229</v>
      </c>
      <c r="E59" s="9" t="s">
        <v>27</v>
      </c>
      <c r="F59" s="8" t="s">
        <v>230</v>
      </c>
      <c r="G59" s="13" cm="1" t="str">
        <f t="array" ref="G59">IF(F59="","",SUBSTITUTE(SUBSTITUTE(SUBSTITUTE(SUBSTITUTE(F59,"&lt;li&gt;",CHAR(10)),"&lt;/li&gt;",""),"&lt;br&gt;",CHAR(10)),"&lt;strong&gt;",""))</f>
        <v>&lt;p&gt;Lead LG, échanges mails 20/04/2026 sur financement PME BITD, mention journée Cahiers de Bourrienne 9/04, intérêt prospect pour sujet Défense, attente de créneaux pour échange. Dernière activité prévue&amp;nbsp;: relancer sur Straton (échéance 29/11/2025). Peu d'infos détaillées sur prospect.&lt;/p&gt;</v>
      </c>
      <c r="H59" s="13" cm="1" t="str">
        <f t="array" ref="H59">IF(G59="","",SUBSTITUTE(SUBSTITUTE(SUBSTITUTE(SUBSTITUTE(SUBSTITUTE(G59,"&lt;p&gt;",""),"&lt;/p&gt;",""),"&lt;ul&gt;",""),"&lt;/ul&gt;",""),"&lt;/strong&gt;",""))</f>
        <v>Lead LG, échanges mails 20/04/2026 sur financement PME BITD, mention journée Cahiers de Bourrienne 9/04, intérêt prospect pour sujet Défense, attente de créneaux pour échange. Dernière activité prévue&amp;nbsp;: relancer sur Straton (échéance 29/11/2025). Peu d'infos détaillées sur prospect.</v>
      </c>
      <c r="I59" s="14" cm="1" t="str">
        <f t="array" ref="I59">IF(C59="","",IF(OR(H59="",H59=0,H59=FALSE),"-",H59))</f>
        <v>Lead LG, échanges mails 20/04/2026 sur financement PME BITD, mention journée Cahiers de Bourrienne 9/04, intérêt prospect pour sujet Défense, attente de créneaux pour échange. Dernière activité prévue&amp;nbsp;: relancer sur Straton (échéance 29/11/2025). Peu d'infos détaillées sur prospect.</v>
      </c>
      <c r="J59" s="8">
</c>
      <c r="K59" s="8" t="s">
        <v>162</v>
      </c>
      <c r="L59" s="9" cm="1" t="str">
        <f t="array" ref="L59">IF(C59="","",IF(K59="Mort / Plus rien à faire","KO","OK"))</f>
        <v>OK</v>
      </c>
      <c r="M59" s="15">
        <v>46141.592453703706</v>
      </c>
      <c r="N59" s="15" cm="1" t="n">
        <f t="array" ref="N59">IF(OR(C59="",M59="",M59=0),"",M59)</f>
        <v>46141.592453703706</v>
      </c>
      <c r="O59" s="15">
</c>
      <c r="P59" s="15" cm="1" t="str">
        <f t="array" ref="P59">IF(C59="","",IF(OR(O59="",O59=0),"-",O59))</f>
        <v>-</v>
      </c>
      <c r="Q59" s="16">
        <v>0</v>
      </c>
      <c r="R59" s="16" cm="1" t="str">
        <f t="array" ref="R59">IF(C59="","",ROUND(Q59/1000000,3)&amp;" M€")</f>
        <v>0 M€</v>
      </c>
      <c r="S59" s="12" t="s">
        <v>192</v>
      </c>
      <c r="T59" s="9" cm="1" t="str">
        <f t="array" ref="T59">IF(C59="","",SUBSTITUTE(S59,"","")&amp;"%")</f>
        <v>10%</v>
      </c>
      <c r="U59" s="14" cm="1" t="str">
        <f t="array" ref="U59">IF(($N59="")*($P59=""),"",IF(($N59&lt;&gt;"")*($N59&gt;TODAY()-9)*($N59&lt;TODAY()+1)*($P59&lt;&gt;"")*($P59&gt;=TODAY())*($P59&lt;=TODAY()+13),"Semaine passée &amp; à venir",IF(($N59&lt;&gt;"")*($N59&gt;TODAY()-9)*($N59&lt;TODAY()+1),"Semaine passée",IF(($P59&lt;&gt;"")*($P59&gt;=TODAY())*($P59&lt;=TODAY()+13),"À venir","Autre"))))</f>
        <v>Semaine passée</v>
      </c>
      <c r="V59" s="8" cm="1" t="n">
        <f t="array" ref="V59">IF(C59&lt;&gt;"",1,0)</f>
        <v>1</v>
      </c>
      <c r="W59" s="8">
</c>
      <c r="X59" s="8">
</c>
      <c r="Y59" s="8">
</c>
      <c r="Z59" s="8">
</c>
      <c r="AA59" s="8">
</c>
      <c r="AB59" s="8">
</c>
      <c r="AC59" s="8">
</c>
      <c r="AD59" s="8">
</c>
      <c r="AE59" s="8">
</c>
      <c r="AF59" s="8">
</c>
      <c r="AG59" s="8">
</c>
      <c r="AH59" s="8">
</c>
      <c r="AI59" s="8">
</c>
      <c r="AJ59" s="8">
</c>
      <c r="AK59" s="8">
</c>
    </row>
    <row r="60" ht="76.5" customHeight="1">
      <c r="A60" s="9" t="s">
        <v>23</v>
      </c>
      <c r="B60" s="9" t="s">
        <v>45</v>
      </c>
      <c r="C60" s="12" t="s">
        <v>231</v>
      </c>
      <c r="D60" s="12" t="s">
        <v>232</v>
      </c>
      <c r="E60" s="9" t="s">
        <v>39</v>
      </c>
      <c r="F60" s="8" t="s">
        <v>233</v>
      </c>
      <c r="G60" s="13" cm="1" t="str">
        <f t="array" ref="G60">IF(F60="","",SUBSTITUTE(SUBSTITUTE(SUBSTITUTE(SUBSTITUTE(F60,"&lt;li&gt;",CHAR(10)),"&lt;/li&gt;",""),"&lt;br&gt;",CHAR(10)),"&lt;strong&gt;",""))</f>
        <v>&lt;p&gt;Piste créée pour équipe Ventes. 26/02/2026 : call pour signature convention distribution fonds. En attente KYC distributeur. Enrichissement lead impossible (email non valide). Aucune activité planifiée ou réalisée depuis, prochaine étape : finaliser KYC pour avancer.&lt;/p&gt;</v>
      </c>
      <c r="H60" s="13" cm="1" t="str">
        <f t="array" ref="H60">IF(G60="","",SUBSTITUTE(SUBSTITUTE(SUBSTITUTE(SUBSTITUTE(SUBSTITUTE(G60,"&lt;p&gt;",""),"&lt;/p&gt;",""),"&lt;ul&gt;",""),"&lt;/ul&gt;",""),"&lt;/strong&gt;",""))</f>
        <v>Piste créée pour équipe Ventes. 26/02/2026 : call pour signature convention distribution fonds. En attente KYC distributeur. Enrichissement lead impossible (email non valide). Aucune activité planifiée ou réalisée depuis, prochaine étape : finaliser KYC pour avancer.</v>
      </c>
      <c r="I60" s="14" cm="1" t="str">
        <f t="array" ref="I60">IF(C60="","",IF(OR(H60="",H60=0,H60=FALSE),"-",H60))</f>
        <v>Piste créée pour équipe Ventes. 26/02/2026 : call pour signature convention distribution fonds. En attente KYC distributeur. Enrichissement lead impossible (email non valide). Aucune activité planifiée ou réalisée depuis, prochaine étape : finaliser KYC pour avancer.</v>
      </c>
      <c r="J60" s="8">
</c>
      <c r="K60" s="8" t="s">
        <v>52</v>
      </c>
      <c r="L60" s="9" cm="1" t="str">
        <f t="array" ref="L60">IF(C60="","",IF(K60="Mort / Plus rien à faire","KO","OK"))</f>
        <v>OK</v>
      </c>
      <c r="M60" s="15">
        <v>46087.70774305556</v>
      </c>
      <c r="N60" s="15" cm="1" t="n">
        <f t="array" ref="N60">IF(OR(C60="",M60="",M60=0),"",M60)</f>
        <v>46087.70774305556</v>
      </c>
      <c r="O60" s="15">
</c>
      <c r="P60" s="15" cm="1" t="str">
        <f t="array" ref="P60">IF(C60="","",IF(OR(O60="",O60=0),"-",O60))</f>
        <v>-</v>
      </c>
      <c r="Q60" s="16">
        <v>0</v>
      </c>
      <c r="R60" s="16" cm="1" t="str">
        <f t="array" ref="R60">IF(C60="","",ROUND(Q60/1000000,3)&amp;" M€")</f>
        <v>0 M€</v>
      </c>
      <c r="S60" s="12" t="s">
        <v>192</v>
      </c>
      <c r="T60" s="9" cm="1" t="str">
        <f t="array" ref="T60">IF(C60="","",SUBSTITUTE(S60,"","")&amp;"%")</f>
        <v>10%</v>
      </c>
      <c r="U60" s="14" cm="1" t="str">
        <f t="array" ref="U60">IF(($N60="")*($P60=""),"",IF(($N60&lt;&gt;"")*($N60&gt;TODAY()-9)*($N60&lt;TODAY()+1)*($P60&lt;&gt;"")*($P60&gt;=TODAY())*($P60&lt;=TODAY()+13),"Semaine passée &amp; à venir",IF(($N60&lt;&gt;"")*($N60&gt;TODAY()-9)*($N60&lt;TODAY()+1),"Semaine passée",IF(($P60&lt;&gt;"")*($P60&gt;=TODAY())*($P60&lt;=TODAY()+13),"À venir","Autre"))))</f>
        <v>Autre</v>
      </c>
      <c r="V60" s="8" cm="1" t="n">
        <f t="array" ref="V60">IF(C60&lt;&gt;"",1,0)</f>
        <v>1</v>
      </c>
      <c r="W60" s="8">
</c>
      <c r="X60" s="8">
</c>
      <c r="Y60" s="8">
</c>
      <c r="Z60" s="8">
</c>
      <c r="AA60" s="8">
</c>
      <c r="AB60" s="8">
</c>
      <c r="AC60" s="8">
</c>
      <c r="AD60" s="8">
</c>
      <c r="AE60" s="8">
</c>
      <c r="AF60" s="8">
</c>
      <c r="AG60" s="8">
</c>
      <c r="AH60" s="8">
</c>
      <c r="AI60" s="8">
</c>
      <c r="AJ60" s="8">
</c>
      <c r="AK60" s="8">
</c>
    </row>
    <row r="61" ht="76.5" customHeight="1">
      <c r="A61" s="9" t="s">
        <v>23</v>
      </c>
      <c r="B61" s="9" t="s">
        <v>32</v>
      </c>
      <c r="C61" s="12" t="s">
        <v>234</v>
      </c>
      <c r="D61" s="12" t="s">
        <v>235</v>
      </c>
      <c r="E61" s="9" t="s">
        <v>27</v>
      </c>
      <c r="F61" s="8" t="s">
        <v>236</v>
      </c>
      <c r="G61" s="13" cm="1" t="str">
        <f t="array" ref="G61">IF(F61="","",SUBSTITUTE(SUBSTITUTE(SUBSTITUTE(SUBSTITUTE(F61,"&lt;li&gt;",CHAR(10)),"&lt;/li&gt;",""),"&lt;br&gt;",CHAR(10)),"&lt;strong&gt;",""))</f>
        <v>&lt;p&gt;Contact établi avec remplaçant de Martine via julien.vincent@allianz.fr. PE reste à Paris, autres flux vers Allemagne. Investissements bloqués, Venture trop élevé, focus TIBI 2. Allianz réduit PE, privilégie dette privée, IARD, ETF. Prochaine étape : suivi avec Thomas Collet. Deadline 23/04/2026.&lt;/p&gt;</v>
      </c>
      <c r="H61" s="13" cm="1" t="str">
        <f t="array" ref="H61">IF(G61="","",SUBSTITUTE(SUBSTITUTE(SUBSTITUTE(SUBSTITUTE(SUBSTITUTE(G61,"&lt;p&gt;",""),"&lt;/p&gt;",""),"&lt;ul&gt;",""),"&lt;/ul&gt;",""),"&lt;/strong&gt;",""))</f>
        <v>Contact établi avec remplaçant de Martine via julien.vincent@allianz.fr. PE reste à Paris, autres flux vers Allemagne. Investissements bloqués, Venture trop élevé, focus TIBI 2. Allianz réduit PE, privilégie dette privée, IARD, ETF. Prochaine étape : suivi avec Thomas Collet. Deadline 23/04/2026.</v>
      </c>
      <c r="I61" s="14" cm="1" t="str">
        <f t="array" ref="I61">IF(C61="","",IF(OR(H61="",H61=0,H61=FALSE),"-",H61))</f>
        <v>Contact établi avec remplaçant de Martine via julien.vincent@allianz.fr. PE reste à Paris, autres flux vers Allemagne. Investissements bloqués, Venture trop élevé, focus TIBI 2. Allianz réduit PE, privilégie dette privée, IARD, ETF. Prochaine étape : suivi avec Thomas Collet. Deadline 23/04/2026.</v>
      </c>
      <c r="J61" s="8" t="s">
        <v>237</v>
      </c>
      <c r="K61" s="8" t="s">
        <v>162</v>
      </c>
      <c r="L61" s="9" cm="1" t="str">
        <f t="array" ref="L61">IF(C61="","",IF(K61="Mort / Plus rien à faire","KO","OK"))</f>
        <v>OK</v>
      </c>
      <c r="M61" s="15">
        <v>46122.339270833334</v>
      </c>
      <c r="N61" s="15" cm="1" t="n">
        <f t="array" ref="N61">IF(OR(C61="",M61="",M61=0),"",M61)</f>
        <v>46122.339270833334</v>
      </c>
      <c r="O61" s="15">
        <v>46171.083333333336</v>
      </c>
      <c r="P61" s="15" cm="1" t="n">
        <f t="array" ref="P61">IF(C61="","",IF(OR(O61="",O61=0),"-",O61))</f>
        <v>46171.083333333336</v>
      </c>
      <c r="Q61" s="16">
        <v>0</v>
      </c>
      <c r="R61" s="16" cm="1" t="str">
        <f t="array" ref="R61">IF(C61="","",ROUND(Q61/1000000,3)&amp;" M€")</f>
        <v>0 M€</v>
      </c>
      <c r="S61" s="12" t="s">
        <v>192</v>
      </c>
      <c r="T61" s="9" cm="1" t="str">
        <f t="array" ref="T61">IF(C61="","",SUBSTITUTE(S61,"","")&amp;"%")</f>
        <v>10%</v>
      </c>
      <c r="U61" s="14" cm="1" t="str">
        <f t="array" ref="U61">IF(($N61="")*($P61=""),"",IF(($N61&lt;&gt;"")*($N61&gt;TODAY()-9)*($N61&lt;TODAY()+1)*($P61&lt;&gt;"")*($P61&gt;=TODAY())*($P61&lt;=TODAY()+13),"Semaine passée &amp; à venir",IF(($N61&lt;&gt;"")*($N61&gt;TODAY()-9)*($N61&lt;TODAY()+1),"Semaine passée",IF(($P61&lt;&gt;"")*($P61&gt;=TODAY())*($P61&lt;=TODAY()+13),"À venir","Autre"))))</f>
        <v>Autre</v>
      </c>
      <c r="V61" s="8" cm="1" t="n">
        <f t="array" ref="V61">IF(C61&lt;&gt;"",1,0)</f>
        <v>1</v>
      </c>
      <c r="W61" s="8">
</c>
      <c r="X61" s="8">
</c>
      <c r="Y61" s="8">
</c>
      <c r="Z61" s="8">
</c>
      <c r="AA61" s="8">
</c>
      <c r="AB61" s="8">
</c>
      <c r="AC61" s="8">
</c>
      <c r="AD61" s="8">
</c>
      <c r="AE61" s="8">
</c>
      <c r="AF61" s="8">
</c>
      <c r="AG61" s="8">
</c>
      <c r="AH61" s="8">
</c>
      <c r="AI61" s="8">
</c>
      <c r="AJ61" s="8">
</c>
      <c r="AK61" s="8">
</c>
    </row>
    <row r="62" ht="76.5" customHeight="1">
      <c r="A62" s="9" t="s">
        <v>23</v>
      </c>
      <c r="B62" s="9" t="s">
        <v>32</v>
      </c>
      <c r="C62" s="12" t="s">
        <v>238</v>
      </c>
      <c r="D62" s="12" t="s">
        <v>239</v>
      </c>
      <c r="E62" s="9" t="s">
        <v>27</v>
      </c>
      <c r="F62" s="8" t="s">
        <v>240</v>
      </c>
      <c r="G62" s="13" cm="1" t="str">
        <f t="array" ref="G62">IF(F62="","",SUBSTITUTE(SUBSTITUTE(SUBSTITUTE(SUBSTITUTE(F62,"&lt;li&gt;",CHAR(10)),"&lt;/li&gt;",""),"&lt;br&gt;",CHAR(10)),"&lt;strong&gt;",""))</f>
        <v>&lt;p&gt;Aucune activité menée sur le prospect. Un nouvelle piste a été créée pour l'équipe "Ventes". Aucun échange, action ou retour du prospect enregistré à ce jour. Pas de prochaine étape identifiée ni de suivi en cours.&lt;/p&gt;</v>
      </c>
      <c r="H62" s="13" cm="1" t="str">
        <f t="array" ref="H62">IF(G62="","",SUBSTITUTE(SUBSTITUTE(SUBSTITUTE(SUBSTITUTE(SUBSTITUTE(G62,"&lt;p&gt;",""),"&lt;/p&gt;",""),"&lt;ul&gt;",""),"&lt;/ul&gt;",""),"&lt;/strong&gt;",""))</f>
        <v>Aucune activité menée sur le prospect. Un nouvelle piste a été créée pour l'équipe "Ventes". Aucun échange, action ou retour du prospect enregistré à ce jour. Pas de prochaine étape identifiée ni de suivi en cours.</v>
      </c>
      <c r="I62" s="14" cm="1" t="str">
        <f t="array" ref="I62">IF(C62="","",IF(OR(H62="",H62=0,H62=FALSE),"-",H62))</f>
        <v>Aucune activité menée sur le prospect. Un nouvelle piste a été créée pour l'équipe "Ventes". Aucun échange, action ou retour du prospect enregistré à ce jour. Pas de prochaine étape identifiée ni de suivi en cours.</v>
      </c>
      <c r="J62" s="8">
</c>
      <c r="K62" s="8" t="s">
        <v>95</v>
      </c>
      <c r="L62" s="9" cm="1" t="str">
        <f t="array" ref="L62">IF(C62="","",IF(K62="Mort / Plus rien à faire","KO","OK"))</f>
        <v>OK</v>
      </c>
      <c r="M62" s="15">
        <v>46121.65788194445</v>
      </c>
      <c r="N62" s="15" cm="1" t="n">
        <f t="array" ref="N62">IF(OR(C62="",M62="",M62=0),"",M62)</f>
        <v>46121.65788194445</v>
      </c>
      <c r="O62" s="15">
</c>
      <c r="P62" s="15" cm="1" t="str">
        <f t="array" ref="P62">IF(C62="","",IF(OR(O62="",O62=0),"-",O62))</f>
        <v>-</v>
      </c>
      <c r="Q62" s="16">
        <v>0</v>
      </c>
      <c r="R62" s="16" cm="1" t="str">
        <f t="array" ref="R62">IF(C62="","",ROUND(Q62/1000000,3)&amp;" M€")</f>
        <v>0 M€</v>
      </c>
      <c r="S62" s="12" t="s">
        <v>192</v>
      </c>
      <c r="T62" s="9" cm="1" t="str">
        <f t="array" ref="T62">IF(C62="","",SUBSTITUTE(S62,"","")&amp;"%")</f>
        <v>10%</v>
      </c>
      <c r="U62" s="14" cm="1" t="str">
        <f t="array" ref="U62">IF(($N62="")*($P62=""),"",IF(($N62&lt;&gt;"")*($N62&gt;TODAY()-9)*($N62&lt;TODAY()+1)*($P62&lt;&gt;"")*($P62&gt;=TODAY())*($P62&lt;=TODAY()+13),"Semaine passée &amp; à venir",IF(($N62&lt;&gt;"")*($N62&gt;TODAY()-9)*($N62&lt;TODAY()+1),"Semaine passée",IF(($P62&lt;&gt;"")*($P62&gt;=TODAY())*($P62&lt;=TODAY()+13),"À venir","Autre"))))</f>
        <v>Autre</v>
      </c>
      <c r="V62" s="8" cm="1" t="n">
        <f t="array" ref="V62">IF(C62&lt;&gt;"",1,0)</f>
        <v>1</v>
      </c>
      <c r="W62" s="8">
</c>
      <c r="X62" s="8">
</c>
      <c r="Y62" s="8">
</c>
      <c r="Z62" s="8">
</c>
      <c r="AA62" s="8">
</c>
      <c r="AB62" s="8">
</c>
      <c r="AC62" s="8">
</c>
      <c r="AD62" s="8">
</c>
      <c r="AE62" s="8">
</c>
      <c r="AF62" s="8">
</c>
      <c r="AG62" s="8">
</c>
      <c r="AH62" s="8">
</c>
      <c r="AI62" s="8">
</c>
      <c r="AJ62" s="8">
</c>
      <c r="AK62" s="8">
</c>
    </row>
    <row r="63" ht="76.5" customHeight="1">
      <c r="A63" s="9" t="s">
        <v>23</v>
      </c>
      <c r="B63" s="9" t="s">
        <v>200</v>
      </c>
      <c r="C63" s="12" t="s">
        <v>241</v>
      </c>
      <c r="D63" s="12" t="s">
        <v>242</v>
      </c>
      <c r="E63" s="9" t="s">
        <v>27</v>
      </c>
      <c r="F63" s="8" t="s">
        <v>243</v>
      </c>
      <c r="G63" s="13" cm="1" t="str">
        <f t="array" ref="G63">IF(F63="","",SUBSTITUTE(SUBSTITUTE(SUBSTITUTE(SUBSTITUTE(F63,"&lt;li&gt;",CHAR(10)),"&lt;/li&gt;",""),"&lt;br&gt;",CHAR(10)),"&lt;strong&gt;",""))</f>
        <v>&lt;p&gt;Mail Romain : Présentation fonds Audacia FPCI Défense, cible 100M€ (hard cap 150M€), maturité 10 ans, 8 secteurs industriels hors munitions/armes controversées, 15 PME visées (CA 5-50M€), minoritaire, France, IRR cible 12,5%, 10M€ engagés, closing technique semaine pro, closing final 30/09/26. Nouvelle piste créée équipe Ventes.&lt;/p&gt;</v>
      </c>
      <c r="H63" s="13" cm="1" t="str">
        <f t="array" ref="H63">IF(G63="","",SUBSTITUTE(SUBSTITUTE(SUBSTITUTE(SUBSTITUTE(SUBSTITUTE(G63,"&lt;p&gt;",""),"&lt;/p&gt;",""),"&lt;ul&gt;",""),"&lt;/ul&gt;",""),"&lt;/strong&gt;",""))</f>
        <v>Mail Romain : Présentation fonds Audacia FPCI Défense, cible 100M€ (hard cap 150M€), maturité 10 ans, 8 secteurs industriels hors munitions/armes controversées, 15 PME visées (CA 5-50M€), minoritaire, France, IRR cible 12,5%, 10M€ engagés, closing technique semaine pro, closing final 30/09/26. Nouvelle piste créée équipe Ventes.</v>
      </c>
      <c r="I63" s="14" cm="1" t="str">
        <f t="array" ref="I63">IF(C63="","",IF(OR(H63="",H63=0,H63=FALSE),"-",H63))</f>
        <v>Mail Romain : Présentation fonds Audacia FPCI Défense, cible 100M€ (hard cap 150M€), maturité 10 ans, 8 secteurs industriels hors munitions/armes controversées, 15 PME visées (CA 5-50M€), minoritaire, France, IRR cible 12,5%, 10M€ engagés, closing technique semaine pro, closing final 30/09/26. Nouvelle piste créée équipe Ventes.</v>
      </c>
      <c r="J63" s="8">
</c>
      <c r="K63" s="8" t="s">
        <v>162</v>
      </c>
      <c r="L63" s="9" cm="1" t="str">
        <f t="array" ref="L63">IF(C63="","",IF(K63="Mort / Plus rien à faire","KO","OK"))</f>
        <v>OK</v>
      </c>
      <c r="M63" s="15">
        <v>46141.74314814815</v>
      </c>
      <c r="N63" s="15" cm="1" t="n">
        <f t="array" ref="N63">IF(OR(C63="",M63="",M63=0),"",M63)</f>
        <v>46141.74314814815</v>
      </c>
      <c r="O63" s="15">
</c>
      <c r="P63" s="15" cm="1" t="str">
        <f t="array" ref="P63">IF(C63="","",IF(OR(O63="",O63=0),"-",O63))</f>
        <v>-</v>
      </c>
      <c r="Q63" s="16">
        <v>0</v>
      </c>
      <c r="R63" s="16" cm="1" t="str">
        <f t="array" ref="R63">IF(C63="","",ROUND(Q63/1000000,3)&amp;" M€")</f>
        <v>0 M€</v>
      </c>
      <c r="S63" s="12" t="s">
        <v>192</v>
      </c>
      <c r="T63" s="9" cm="1" t="str">
        <f t="array" ref="T63">IF(C63="","",SUBSTITUTE(S63,"","")&amp;"%")</f>
        <v>10%</v>
      </c>
      <c r="U63" s="14" cm="1" t="str">
        <f t="array" ref="U63">IF(($N63="")*($P63=""),"",IF(($N63&lt;&gt;"")*($N63&gt;TODAY()-9)*($N63&lt;TODAY()+1)*($P63&lt;&gt;"")*($P63&gt;=TODAY())*($P63&lt;=TODAY()+13),"Semaine passée &amp; à venir",IF(($N63&lt;&gt;"")*($N63&gt;TODAY()-9)*($N63&lt;TODAY()+1),"Semaine passée",IF(($P63&lt;&gt;"")*($P63&gt;=TODAY())*($P63&lt;=TODAY()+13),"À venir","Autre"))))</f>
        <v>Semaine passée</v>
      </c>
      <c r="V63" s="8" cm="1" t="n">
        <f t="array" ref="V63">IF(C63&lt;&gt;"",1,0)</f>
        <v>1</v>
      </c>
      <c r="W63" s="8">
</c>
      <c r="X63" s="8">
</c>
      <c r="Y63" s="8">
</c>
      <c r="Z63" s="8">
</c>
      <c r="AA63" s="8">
</c>
      <c r="AB63" s="8">
</c>
      <c r="AC63" s="8">
</c>
      <c r="AD63" s="8">
</c>
      <c r="AE63" s="8">
</c>
      <c r="AF63" s="8">
</c>
      <c r="AG63" s="8">
</c>
      <c r="AH63" s="8">
</c>
      <c r="AI63" s="8">
</c>
      <c r="AJ63" s="8">
</c>
      <c r="AK63" s="8">
</c>
    </row>
    <row r="64" ht="76.5" customHeight="1">
      <c r="A64" s="9" t="s">
        <v>23</v>
      </c>
      <c r="B64" s="9" t="s">
        <v>57</v>
      </c>
      <c r="C64" s="12" t="s">
        <v>244</v>
      </c>
      <c r="D64" s="12" t="s">
        <v>245</v>
      </c>
      <c r="E64" s="9" t="s">
        <v>27</v>
      </c>
      <c r="F64" s="8" t="s">
        <v>246</v>
      </c>
      <c r="G64" s="13" cm="1" t="str">
        <f t="array" ref="G64">IF(F64="","",SUBSTITUTE(SUBSTITUTE(SUBSTITUTE(SUBSTITUTE(F64,"&lt;li&gt;",CHAR(10)),"&lt;/li&gt;",""),"&lt;br&gt;",CHAR(10)),"&lt;strong&gt;",""))</f>
        <v>&lt;p&gt;Alain souhaite investir 5-10M€ via Audacia, intérêt fort pour Newspace/Straton, possible fonds dédié avec son frère (vente 40M€ d’actions 2CRSI, besoin 150M€), rdv juin avec avocat puis financier. Alain peut mobiliser d’autres investisseurs. Projet rachat boîte drones, Audacia intéressé. Prochaine étape : appel d’Alain d’ici fin mai.&lt;/p&gt;</v>
      </c>
      <c r="H64" s="13" cm="1" t="str">
        <f t="array" ref="H64">IF(G64="","",SUBSTITUTE(SUBSTITUTE(SUBSTITUTE(SUBSTITUTE(SUBSTITUTE(G64,"&lt;p&gt;",""),"&lt;/p&gt;",""),"&lt;ul&gt;",""),"&lt;/ul&gt;",""),"&lt;/strong&gt;",""))</f>
        <v>Alain souhaite investir 5-10M€ via Audacia, intérêt fort pour Newspace/Straton, possible fonds dédié avec son frère (vente 40M€ d’actions 2CRSI, besoin 150M€), rdv juin avec avocat puis financier. Alain peut mobiliser d’autres investisseurs. Projet rachat boîte drones, Audacia intéressé. Prochaine étape : appel d’Alain d’ici fin mai.</v>
      </c>
      <c r="I64" s="14" cm="1" t="str">
        <f t="array" ref="I64">IF(C64="","",IF(OR(H64="",H64=0,H64=FALSE),"-",H64))</f>
        <v>Alain souhaite investir 5-10M€ via Audacia, intérêt fort pour Newspace/Straton, possible fonds dédié avec son frère (vente 40M€ d’actions 2CRSI, besoin 150M€), rdv juin avec avocat puis financier. Alain peut mobiliser d’autres investisseurs. Projet rachat boîte drones, Audacia intéressé. Prochaine étape : appel d’Alain d’ici fin mai.</v>
      </c>
      <c r="J64" s="8" t="s">
        <v>247</v>
      </c>
      <c r="K64" s="8" t="s">
        <v>162</v>
      </c>
      <c r="L64" s="9" cm="1" t="str">
        <f t="array" ref="L64">IF(C64="","",IF(K64="Mort / Plus rien à faire","KO","OK"))</f>
        <v>OK</v>
      </c>
      <c r="M64" s="15">
        <v>46122.33510416667</v>
      </c>
      <c r="N64" s="15" cm="1" t="n">
        <f t="array" ref="N64">IF(OR(C64="",M64="",M64=0),"",M64)</f>
        <v>46122.33510416667</v>
      </c>
      <c r="O64" s="15">
</c>
      <c r="P64" s="15" cm="1" t="str">
        <f t="array" ref="P64">IF(C64="","",IF(OR(O64="",O64=0),"-",O64))</f>
        <v>-</v>
      </c>
      <c r="Q64" s="16">
        <v>0</v>
      </c>
      <c r="R64" s="16" cm="1" t="str">
        <f t="array" ref="R64">IF(C64="","",ROUND(Q64/1000000,3)&amp;" M€")</f>
        <v>0 M€</v>
      </c>
      <c r="S64" s="12" t="s">
        <v>192</v>
      </c>
      <c r="T64" s="9" cm="1" t="str">
        <f t="array" ref="T64">IF(C64="","",SUBSTITUTE(S64,"","")&amp;"%")</f>
        <v>10%</v>
      </c>
      <c r="U64" s="14" cm="1" t="str">
        <f t="array" ref="U64">IF(($N64="")*($P64=""),"",IF(($N64&lt;&gt;"")*($N64&gt;TODAY()-9)*($N64&lt;TODAY()+1)*($P64&lt;&gt;"")*($P64&gt;=TODAY())*($P64&lt;=TODAY()+13),"Semaine passée &amp; à venir",IF(($N64&lt;&gt;"")*($N64&gt;TODAY()-9)*($N64&lt;TODAY()+1),"Semaine passée",IF(($P64&lt;&gt;"")*($P64&gt;=TODAY())*($P64&lt;=TODAY()+13),"À venir","Autre"))))</f>
        <v>Autre</v>
      </c>
      <c r="V64" s="8" cm="1" t="n">
        <f t="array" ref="V64">IF(C64&lt;&gt;"",1,0)</f>
        <v>1</v>
      </c>
      <c r="W64" s="8">
</c>
      <c r="X64" s="8">
</c>
      <c r="Y64" s="8">
</c>
      <c r="Z64" s="8">
</c>
      <c r="AA64" s="8">
</c>
      <c r="AB64" s="8">
</c>
      <c r="AC64" s="8">
</c>
      <c r="AD64" s="8">
</c>
      <c r="AE64" s="8">
</c>
      <c r="AF64" s="8">
</c>
      <c r="AG64" s="8">
</c>
      <c r="AH64" s="8">
</c>
      <c r="AI64" s="8">
</c>
      <c r="AJ64" s="8">
</c>
      <c r="AK64" s="8">
</c>
    </row>
    <row r="65" ht="76.5" customHeight="1">
      <c r="A65" s="9" t="s">
        <v>23</v>
      </c>
      <c r="B65" s="9" t="s">
        <v>113</v>
      </c>
      <c r="C65" s="12" t="s">
        <v>248</v>
      </c>
      <c r="D65" s="12" t="s">
        <v>249</v>
      </c>
      <c r="E65" s="9" t="s">
        <v>27</v>
      </c>
      <c r="F65" s="8" t="s">
        <v>250</v>
      </c>
      <c r="G65" s="13" cm="1" t="str">
        <f t="array" ref="G65">IF(F65="","",SUBSTITUTE(SUBSTITUTE(SUBSTITUTE(SUBSTITUTE(F65,"&lt;li&gt;",CHAR(10)),"&lt;/li&gt;",""),"&lt;br&gt;",CHAR(10)),"&lt;strong&gt;",""))</f>
        <v>&lt;p&gt;Nouvelle piste créée pour équipe Ventes par Romain Andrieu le 03/04/2026. Aucun échange, activité, ni suivi enregistré à ce jour. Pas d'interaction ni d'action menée avec le prospect. Prochaines étapes non définies faute d'activité ou de retour identifié.&lt;/p&gt;</v>
      </c>
      <c r="H65" s="13" cm="1" t="str">
        <f t="array" ref="H65">IF(G65="","",SUBSTITUTE(SUBSTITUTE(SUBSTITUTE(SUBSTITUTE(SUBSTITUTE(G65,"&lt;p&gt;",""),"&lt;/p&gt;",""),"&lt;ul&gt;",""),"&lt;/ul&gt;",""),"&lt;/strong&gt;",""))</f>
        <v>Nouvelle piste créée pour équipe Ventes par Romain Andrieu le 03/04/2026. Aucun échange, activité, ni suivi enregistré à ce jour. Pas d'interaction ni d'action menée avec le prospect. Prochaines étapes non définies faute d'activité ou de retour identifié.</v>
      </c>
      <c r="I65" s="14" cm="1" t="str">
        <f t="array" ref="I65">IF(C65="","",IF(OR(H65="",H65=0,H65=FALSE),"-",H65))</f>
        <v>Nouvelle piste créée pour équipe Ventes par Romain Andrieu le 03/04/2026. Aucun échange, activité, ni suivi enregistré à ce jour. Pas d'interaction ni d'action menée avec le prospect. Prochaines étapes non définies faute d'activité ou de retour identifié.</v>
      </c>
      <c r="J65" s="8" t="s">
        <v>251</v>
      </c>
      <c r="K65" s="8" t="s">
        <v>162</v>
      </c>
      <c r="L65" s="9" cm="1" t="str">
        <f t="array" ref="L65">IF(C65="","",IF(K65="Mort / Plus rien à faire","KO","OK"))</f>
        <v>OK</v>
      </c>
      <c r="M65" s="15">
        <v>46115.516435185185</v>
      </c>
      <c r="N65" s="15" cm="1" t="n">
        <f t="array" ref="N65">IF(OR(C65="",M65="",M65=0),"",M65)</f>
        <v>46115.516435185185</v>
      </c>
      <c r="O65" s="15">
</c>
      <c r="P65" s="15" cm="1" t="str">
        <f t="array" ref="P65">IF(C65="","",IF(OR(O65="",O65=0),"-",O65))</f>
        <v>-</v>
      </c>
      <c r="Q65" s="16">
        <v>0</v>
      </c>
      <c r="R65" s="16" cm="1" t="str">
        <f t="array" ref="R65">IF(C65="","",ROUND(Q65/1000000,3)&amp;" M€")</f>
        <v>0 M€</v>
      </c>
      <c r="S65" s="12" t="s">
        <v>192</v>
      </c>
      <c r="T65" s="9" cm="1" t="str">
        <f t="array" ref="T65">IF(C65="","",SUBSTITUTE(S65,"","")&amp;"%")</f>
        <v>10%</v>
      </c>
      <c r="U65" s="14" cm="1" t="str">
        <f t="array" ref="U65">IF(($N65="")*($P65=""),"",IF(($N65&lt;&gt;"")*($N65&gt;TODAY()-9)*($N65&lt;TODAY()+1)*($P65&lt;&gt;"")*($P65&gt;=TODAY())*($P65&lt;=TODAY()+13),"Semaine passée &amp; à venir",IF(($N65&lt;&gt;"")*($N65&gt;TODAY()-9)*($N65&lt;TODAY()+1),"Semaine passée",IF(($P65&lt;&gt;"")*($P65&gt;=TODAY())*($P65&lt;=TODAY()+13),"À venir","Autre"))))</f>
        <v>Autre</v>
      </c>
      <c r="V65" s="8" cm="1" t="n">
        <f t="array" ref="V65">IF(C65&lt;&gt;"",1,0)</f>
        <v>1</v>
      </c>
      <c r="W65" s="8">
</c>
      <c r="X65" s="8">
</c>
      <c r="Y65" s="8">
</c>
      <c r="Z65" s="8">
</c>
      <c r="AA65" s="8">
</c>
      <c r="AB65" s="8">
</c>
      <c r="AC65" s="8">
</c>
      <c r="AD65" s="8">
</c>
      <c r="AE65" s="8">
</c>
      <c r="AF65" s="8">
</c>
      <c r="AG65" s="8">
</c>
      <c r="AH65" s="8">
</c>
      <c r="AI65" s="8">
</c>
      <c r="AJ65" s="8">
</c>
      <c r="AK65" s="8">
</c>
    </row>
    <row r="66" ht="76.5" customHeight="1">
      <c r="A66" s="9" t="s">
        <v>23</v>
      </c>
      <c r="B66" s="9" t="s">
        <v>252</v>
      </c>
      <c r="C66" s="12" t="s">
        <v>253</v>
      </c>
      <c r="D66" s="12" t="s">
        <v>254</v>
      </c>
      <c r="E66" s="9" t="s">
        <v>27</v>
      </c>
      <c r="F66" s="8" t="s">
        <v>255</v>
      </c>
      <c r="G66" s="13" cm="1" t="str">
        <f t="array" ref="G66">IF(F66="","",SUBSTITUTE(SUBSTITUTE(SUBSTITUTE(SUBSTITUTE(F66,"&lt;li&gt;",CHAR(10)),"&lt;/li&gt;",""),"&lt;br&gt;",CHAR(10)),"&lt;strong&gt;",""))</f>
        <v>&lt;p&gt;Nouvelle piste créée pour équipe Ventes. Aucun échange, action ou retour prospect enregistré à ce jour. Pas d'activité, de suivi ou de prochaine étape identifiée. Aucun retour ni conclusion prospect sur les fonds présentés. Aucun contexte de création détaillé mentionné.&lt;/p&gt;</v>
      </c>
      <c r="H66" s="13" cm="1" t="str">
        <f t="array" ref="H66">IF(G66="","",SUBSTITUTE(SUBSTITUTE(SUBSTITUTE(SUBSTITUTE(SUBSTITUTE(G66,"&lt;p&gt;",""),"&lt;/p&gt;",""),"&lt;ul&gt;",""),"&lt;/ul&gt;",""),"&lt;/strong&gt;",""))</f>
        <v>Nouvelle piste créée pour équipe Ventes. Aucun échange, action ou retour prospect enregistré à ce jour. Pas d'activité, de suivi ou de prochaine étape identifiée. Aucun retour ni conclusion prospect sur les fonds présentés. Aucun contexte de création détaillé mentionné.</v>
      </c>
      <c r="I66" s="14" cm="1" t="str">
        <f t="array" ref="I66">IF(C66="","",IF(OR(H66="",H66=0,H66=FALSE),"-",H66))</f>
        <v>Nouvelle piste créée pour équipe Ventes. Aucun échange, action ou retour prospect enregistré à ce jour. Pas d'activité, de suivi ou de prochaine étape identifiée. Aucun retour ni conclusion prospect sur les fonds présentés. Aucun contexte de création détaillé mentionné.</v>
      </c>
      <c r="J66" s="8" t="s">
        <v>256</v>
      </c>
      <c r="K66" s="8" t="s">
        <v>162</v>
      </c>
      <c r="L66" s="9" cm="1" t="str">
        <f t="array" ref="L66">IF(C66="","",IF(K66="Mort / Plus rien à faire","KO","OK"))</f>
        <v>OK</v>
      </c>
      <c r="M66" s="15">
        <v>46115.518379629626</v>
      </c>
      <c r="N66" s="15" cm="1" t="n">
        <f t="array" ref="N66">IF(OR(C66="",M66="",M66=0),"",M66)</f>
        <v>46115.518379629626</v>
      </c>
      <c r="O66" s="15">
</c>
      <c r="P66" s="15" cm="1" t="str">
        <f t="array" ref="P66">IF(C66="","",IF(OR(O66="",O66=0),"-",O66))</f>
        <v>-</v>
      </c>
      <c r="Q66" s="16">
        <v>0</v>
      </c>
      <c r="R66" s="16" cm="1" t="str">
        <f t="array" ref="R66">IF(C66="","",ROUND(Q66/1000000,3)&amp;" M€")</f>
        <v>0 M€</v>
      </c>
      <c r="S66" s="12" t="s">
        <v>192</v>
      </c>
      <c r="T66" s="9" cm="1" t="str">
        <f t="array" ref="T66">IF(C66="","",SUBSTITUTE(S66,"","")&amp;"%")</f>
        <v>10%</v>
      </c>
      <c r="U66" s="14" cm="1" t="str">
        <f t="array" ref="U66">IF(($N66="")*($P66=""),"",IF(($N66&lt;&gt;"")*($N66&gt;TODAY()-9)*($N66&lt;TODAY()+1)*($P66&lt;&gt;"")*($P66&gt;=TODAY())*($P66&lt;=TODAY()+13),"Semaine passée &amp; à venir",IF(($N66&lt;&gt;"")*($N66&gt;TODAY()-9)*($N66&lt;TODAY()+1),"Semaine passée",IF(($P66&lt;&gt;"")*($P66&gt;=TODAY())*($P66&lt;=TODAY()+13),"À venir","Autre"))))</f>
        <v>Autre</v>
      </c>
      <c r="V66" s="8" cm="1" t="n">
        <f t="array" ref="V66">IF(C66&lt;&gt;"",1,0)</f>
        <v>1</v>
      </c>
      <c r="W66" s="8">
</c>
      <c r="X66" s="8">
</c>
      <c r="Y66" s="8">
</c>
      <c r="Z66" s="8">
</c>
      <c r="AA66" s="8">
</c>
      <c r="AB66" s="8">
</c>
      <c r="AC66" s="8">
</c>
      <c r="AD66" s="8">
</c>
      <c r="AE66" s="8">
</c>
      <c r="AF66" s="8">
</c>
      <c r="AG66" s="8">
</c>
      <c r="AH66" s="8">
</c>
      <c r="AI66" s="8">
</c>
      <c r="AJ66" s="8">
</c>
      <c r="AK66" s="8">
</c>
    </row>
    <row r="67" ht="76.5" customHeight="1">
      <c r="A67" s="9" t="s">
        <v>23</v>
      </c>
      <c r="B67" s="9" t="s">
        <v>257</v>
      </c>
      <c r="C67" s="12" t="s">
        <v>258</v>
      </c>
      <c r="D67" s="12" t="s">
        <v>259</v>
      </c>
      <c r="E67" s="9" t="s">
        <v>27</v>
      </c>
      <c r="F67" s="8" t="s">
        <v>260</v>
      </c>
      <c r="G67" s="13" cm="1" t="str">
        <f t="array" ref="G67">IF(F67="","",SUBSTITUTE(SUBSTITUTE(SUBSTITUTE(SUBSTITUTE(F67,"&lt;li&gt;",CHAR(10)),"&lt;/li&gt;",""),"&lt;br&gt;",CHAR(10)),"&lt;strong&gt;",""))</f>
        <v>&lt;p&gt;Lead créé pour équipe Ventes. Contact initial TS, relance par TS le 27 avril, attente retour. Dernière action : relance faite, pas de réponse à ce jour. Pas de retour prospect sur fonds présentés, aucune conclusion notée. Prochaine étape : attendre retour suite relance récente.&lt;/p&gt;</v>
      </c>
      <c r="H67" s="13" cm="1" t="str">
        <f t="array" ref="H67">IF(G67="","",SUBSTITUTE(SUBSTITUTE(SUBSTITUTE(SUBSTITUTE(SUBSTITUTE(G67,"&lt;p&gt;",""),"&lt;/p&gt;",""),"&lt;ul&gt;",""),"&lt;/ul&gt;",""),"&lt;/strong&gt;",""))</f>
        <v>Lead créé pour équipe Ventes. Contact initial TS, relance par TS le 27 avril, attente retour. Dernière action : relance faite, pas de réponse à ce jour. Pas de retour prospect sur fonds présentés, aucune conclusion notée. Prochaine étape : attendre retour suite relance récente.</v>
      </c>
      <c r="I67" s="14" cm="1" t="str">
        <f t="array" ref="I67">IF(C67="","",IF(OR(H67="",H67=0,H67=FALSE),"-",H67))</f>
        <v>Lead créé pour équipe Ventes. Contact initial TS, relance par TS le 27 avril, attente retour. Dernière action : relance faite, pas de réponse à ce jour. Pas de retour prospect sur fonds présentés, aucune conclusion notée. Prochaine étape : attendre retour suite relance récente.</v>
      </c>
      <c r="J67" s="8" t="s">
        <v>261</v>
      </c>
      <c r="K67" s="8" t="s">
        <v>95</v>
      </c>
      <c r="L67" s="9" cm="1" t="str">
        <f t="array" ref="L67">IF(C67="","",IF(K67="Mort / Plus rien à faire","KO","OK"))</f>
        <v>OK</v>
      </c>
      <c r="M67" s="15">
        <v>46140.41818287037</v>
      </c>
      <c r="N67" s="15" cm="1" t="n">
        <f t="array" ref="N67">IF(OR(C67="",M67="",M67=0),"",M67)</f>
        <v>46140.41818287037</v>
      </c>
      <c r="O67" s="15">
        <v>46391.083333333336</v>
      </c>
      <c r="P67" s="15" cm="1" t="n">
        <f t="array" ref="P67">IF(C67="","",IF(OR(O67="",O67=0),"-",O67))</f>
        <v>46391.083333333336</v>
      </c>
      <c r="Q67" s="16">
        <v>400000</v>
      </c>
      <c r="R67" s="16" cm="1" t="str">
        <f t="array" ref="R67">IF(C67="","",ROUND(Q67/1000000,3)&amp;" M€")</f>
        <v>0.4 M€</v>
      </c>
      <c r="S67" s="12" t="s">
        <v>192</v>
      </c>
      <c r="T67" s="9" cm="1" t="str">
        <f t="array" ref="T67">IF(C67="","",SUBSTITUTE(S67,"","")&amp;"%")</f>
        <v>10%</v>
      </c>
      <c r="U67" s="14" cm="1" t="str">
        <f t="array" ref="U67">IF(($N67="")*($P67=""),"",IF(($N67&lt;&gt;"")*($N67&gt;TODAY()-9)*($N67&lt;TODAY()+1)*($P67&lt;&gt;"")*($P67&gt;=TODAY())*($P67&lt;=TODAY()+13),"Semaine passée &amp; à venir",IF(($N67&lt;&gt;"")*($N67&gt;TODAY()-9)*($N67&lt;TODAY()+1),"Semaine passée",IF(($P67&lt;&gt;"")*($P67&gt;=TODAY())*($P67&lt;=TODAY()+13),"À venir","Autre"))))</f>
        <v>Semaine passée</v>
      </c>
      <c r="V67" s="8" cm="1" t="n">
        <f t="array" ref="V67">IF(C67&lt;&gt;"",1,0)</f>
        <v>1</v>
      </c>
      <c r="W67" s="8">
</c>
      <c r="X67" s="8">
</c>
      <c r="Y67" s="8">
</c>
      <c r="Z67" s="8">
</c>
      <c r="AA67" s="8">
</c>
      <c r="AB67" s="8">
</c>
      <c r="AC67" s="8">
</c>
      <c r="AD67" s="8">
</c>
      <c r="AE67" s="8">
</c>
      <c r="AF67" s="8">
</c>
      <c r="AG67" s="8">
</c>
      <c r="AH67" s="8">
</c>
      <c r="AI67" s="8">
</c>
      <c r="AJ67" s="8">
</c>
      <c r="AK67" s="8">
</c>
    </row>
    <row r="68" ht="76.5" customHeight="1">
      <c r="A68" s="9" t="s">
        <v>23</v>
      </c>
      <c r="B68" s="9">
</c>
      <c r="C68" s="12" t="s">
        <v>262</v>
      </c>
      <c r="D68" s="12" t="s">
        <v>263</v>
      </c>
      <c r="E68" s="9" t="s">
        <v>27</v>
      </c>
      <c r="F68" s="8" t="s">
        <v>264</v>
      </c>
      <c r="G68" s="13" cm="1" t="str">
        <f t="array" ref="G68">IF(F68="","",SUBSTITUTE(SUBSTITUTE(SUBSTITUTE(SUBSTITUTE(F68,"&lt;li&gt;",CHAR(10)),"&lt;/li&gt;",""),"&lt;br&gt;",CHAR(10)),"&lt;strong&gt;",""))</f>
        <v>&lt;p&gt;Contact prospect Romain Andrieu, échange mail 21/04, présentation fonds transmise en interne, pas d'intérêt personnel mais relais dans l'organisation (présence PE). Nouvelle piste créée pour équipe Ventes. Prochaine étape : suivi réponse interne, deadline activité 30/04, pas d'autres actions notées.&lt;/p&gt;</v>
      </c>
      <c r="H68" s="13" cm="1" t="str">
        <f t="array" ref="H68">IF(G68="","",SUBSTITUTE(SUBSTITUTE(SUBSTITUTE(SUBSTITUTE(SUBSTITUTE(G68,"&lt;p&gt;",""),"&lt;/p&gt;",""),"&lt;ul&gt;",""),"&lt;/ul&gt;",""),"&lt;/strong&gt;",""))</f>
        <v>Contact prospect Romain Andrieu, échange mail 21/04, présentation fonds transmise en interne, pas d'intérêt personnel mais relais dans l'organisation (présence PE). Nouvelle piste créée pour équipe Ventes. Prochaine étape : suivi réponse interne, deadline activité 30/04, pas d'autres actions notées.</v>
      </c>
      <c r="I68" s="14" cm="1" t="str">
        <f t="array" ref="I68">IF(C68="","",IF(OR(H68="",H68=0,H68=FALSE),"-",H68))</f>
        <v>Contact prospect Romain Andrieu, échange mail 21/04, présentation fonds transmise en interne, pas d'intérêt personnel mais relais dans l'organisation (présence PE). Nouvelle piste créée pour équipe Ventes. Prochaine étape : suivi réponse interne, deadline activité 30/04, pas d'autres actions notées.</v>
      </c>
      <c r="J68" s="8" t="s">
        <v>265</v>
      </c>
      <c r="K68" s="8" t="s">
        <v>162</v>
      </c>
      <c r="L68" s="9" cm="1" t="str">
        <f t="array" ref="L68">IF(C68="","",IF(K68="Mort / Plus rien à faire","KO","OK"))</f>
        <v>OK</v>
      </c>
      <c r="M68" s="15">
        <v>46139.66819444444</v>
      </c>
      <c r="N68" s="15" cm="1" t="n">
        <f t="array" ref="N68">IF(OR(C68="",M68="",M68=0),"",M68)</f>
        <v>46139.66819444444</v>
      </c>
      <c r="O68" s="15">
</c>
      <c r="P68" s="15" cm="1" t="str">
        <f t="array" ref="P68">IF(C68="","",IF(OR(O68="",O68=0),"-",O68))</f>
        <v>-</v>
      </c>
      <c r="Q68" s="16">
        <v>0</v>
      </c>
      <c r="R68" s="16" cm="1" t="str">
        <f t="array" ref="R68">IF(C68="","",ROUND(Q68/1000000,3)&amp;" M€")</f>
        <v>0 M€</v>
      </c>
      <c r="S68" s="12" t="s">
        <v>192</v>
      </c>
      <c r="T68" s="9" cm="1" t="str">
        <f t="array" ref="T68">IF(C68="","",SUBSTITUTE(S68,"","")&amp;"%")</f>
        <v>10%</v>
      </c>
      <c r="U68" s="14" cm="1" t="str">
        <f t="array" ref="U68">IF(($N68="")*($P68=""),"",IF(($N68&lt;&gt;"")*($N68&gt;TODAY()-9)*($N68&lt;TODAY()+1)*($P68&lt;&gt;"")*($P68&gt;=TODAY())*($P68&lt;=TODAY()+13),"Semaine passée &amp; à venir",IF(($N68&lt;&gt;"")*($N68&gt;TODAY()-9)*($N68&lt;TODAY()+1),"Semaine passée",IF(($P68&lt;&gt;"")*($P68&gt;=TODAY())*($P68&lt;=TODAY()+13),"À venir","Autre"))))</f>
        <v>Semaine passée</v>
      </c>
      <c r="V68" s="8" cm="1" t="n">
        <f t="array" ref="V68">IF(C68&lt;&gt;"",1,0)</f>
        <v>1</v>
      </c>
      <c r="W68" s="8">
</c>
      <c r="X68" s="8">
</c>
      <c r="Y68" s="8">
</c>
      <c r="Z68" s="8">
</c>
      <c r="AA68" s="8">
</c>
      <c r="AB68" s="8">
</c>
      <c r="AC68" s="8">
</c>
      <c r="AD68" s="8">
</c>
      <c r="AE68" s="8">
</c>
      <c r="AF68" s="8">
</c>
      <c r="AG68" s="8">
</c>
      <c r="AH68" s="8">
</c>
      <c r="AI68" s="8">
</c>
      <c r="AJ68" s="8">
</c>
      <c r="AK68" s="8">
</c>
    </row>
    <row r="69" ht="76.5" customHeight="1">
      <c r="A69" s="9" t="s">
        <v>23</v>
      </c>
      <c r="B69" s="9" t="s">
        <v>32</v>
      </c>
      <c r="C69" s="12" t="s">
        <v>266</v>
      </c>
      <c r="D69" s="12" t="s">
        <v>267</v>
      </c>
      <c r="E69" s="9" t="s">
        <v>27</v>
      </c>
      <c r="F69" s="8" t="s">
        <v>268</v>
      </c>
      <c r="G69" s="13" cm="1" t="str">
        <f t="array" ref="G69">IF(F69="","",SUBSTITUTE(SUBSTITUTE(SUBSTITUTE(SUBSTITUTE(F69,"&lt;li&gt;",CHAR(10)),"&lt;/li&gt;",""),"&lt;br&gt;",CHAR(10)),"&lt;strong&gt;",""))</f>
        <v>&lt;p&gt;Relance faite, attente retour pour caler déjeuner début février, relancer si pas de nouvelle. Dossier soumis en interne le 18/11/2025, DG/élus attendent initiative publique défense, pas de capacité 2025 ni Q1 2026, CA doute intérêt P-E, préfère fonds dettes, renvoi décision en 2026. Suivi à maintenir.&lt;/p&gt;</v>
      </c>
      <c r="H69" s="13" cm="1" t="str">
        <f t="array" ref="H69">IF(G69="","",SUBSTITUTE(SUBSTITUTE(SUBSTITUTE(SUBSTITUTE(SUBSTITUTE(G69,"&lt;p&gt;",""),"&lt;/p&gt;",""),"&lt;ul&gt;",""),"&lt;/ul&gt;",""),"&lt;/strong&gt;",""))</f>
        <v>Relance faite, attente retour pour caler déjeuner début février, relancer si pas de nouvelle. Dossier soumis en interne le 18/11/2025, DG/élus attendent initiative publique défense, pas de capacité 2025 ni Q1 2026, CA doute intérêt P-E, préfère fonds dettes, renvoi décision en 2026. Suivi à maintenir.</v>
      </c>
      <c r="I69" s="14" cm="1" t="str">
        <f t="array" ref="I69">IF(C69="","",IF(OR(H69="",H69=0,H69=FALSE),"-",H69))</f>
        <v>Relance faite, attente retour pour caler déjeuner début février, relancer si pas de nouvelle. Dossier soumis en interne le 18/11/2025, DG/élus attendent initiative publique défense, pas de capacité 2025 ni Q1 2026, CA doute intérêt P-E, préfère fonds dettes, renvoi décision en 2026. Suivi à maintenir.</v>
      </c>
      <c r="J69" s="8" t="s">
        <v>269</v>
      </c>
      <c r="K69" s="8" t="s">
        <v>162</v>
      </c>
      <c r="L69" s="9" cm="1" t="str">
        <f t="array" ref="L69">IF(C69="","",IF(K69="Mort / Plus rien à faire","KO","OK"))</f>
        <v>OK</v>
      </c>
      <c r="M69" s="15">
        <v>46135.74657407407</v>
      </c>
      <c r="N69" s="15" cm="1" t="n">
        <f t="array" ref="N69">IF(OR(C69="",M69="",M69=0),"",M69)</f>
        <v>46135.74657407407</v>
      </c>
      <c r="O69" s="15">
</c>
      <c r="P69" s="15" cm="1" t="str">
        <f t="array" ref="P69">IF(C69="","",IF(OR(O69="",O69=0),"-",O69))</f>
        <v>-</v>
      </c>
      <c r="Q69" s="16">
        <v>0</v>
      </c>
      <c r="R69" s="16" cm="1" t="str">
        <f t="array" ref="R69">IF(C69="","",ROUND(Q69/1000000,3)&amp;" M€")</f>
        <v>0 M€</v>
      </c>
      <c r="S69" s="12" t="s">
        <v>192</v>
      </c>
      <c r="T69" s="9" cm="1" t="str">
        <f t="array" ref="T69">IF(C69="","",SUBSTITUTE(S69,"","")&amp;"%")</f>
        <v>10%</v>
      </c>
      <c r="U69" s="14" cm="1" t="str">
        <f t="array" ref="U69">IF(($N69="")*($P69=""),"",IF(($N69&lt;&gt;"")*($N69&gt;TODAY()-9)*($N69&lt;TODAY()+1)*($P69&lt;&gt;"")*($P69&gt;=TODAY())*($P69&lt;=TODAY()+13),"Semaine passée &amp; à venir",IF(($N69&lt;&gt;"")*($N69&gt;TODAY()-9)*($N69&lt;TODAY()+1),"Semaine passée",IF(($P69&lt;&gt;"")*($P69&gt;=TODAY())*($P69&lt;=TODAY()+13),"À venir","Autre"))))</f>
        <v>Autre</v>
      </c>
      <c r="V69" s="8" cm="1" t="n">
        <f t="array" ref="V69">IF(C69&lt;&gt;"",1,0)</f>
        <v>1</v>
      </c>
      <c r="W69" s="8">
</c>
      <c r="X69" s="8">
</c>
      <c r="Y69" s="8">
</c>
      <c r="Z69" s="8">
</c>
      <c r="AA69" s="8">
</c>
      <c r="AB69" s="8">
</c>
      <c r="AC69" s="8">
</c>
      <c r="AD69" s="8">
</c>
      <c r="AE69" s="8">
</c>
      <c r="AF69" s="8">
</c>
      <c r="AG69" s="8">
</c>
      <c r="AH69" s="8">
</c>
      <c r="AI69" s="8">
</c>
      <c r="AJ69" s="8">
</c>
      <c r="AK69" s="8">
</c>
    </row>
    <row r="70" ht="76.5" customHeight="1">
      <c r="A70" s="9" t="s">
        <v>23</v>
      </c>
      <c r="B70" s="9" t="s">
        <v>36</v>
      </c>
      <c r="C70" s="12" t="s">
        <v>270</v>
      </c>
      <c r="D70" s="12" t="s">
        <v>271</v>
      </c>
      <c r="E70" s="9" t="s">
        <v>27</v>
      </c>
      <c r="F70" s="8" t="s">
        <v>272</v>
      </c>
      <c r="G70" s="13" cm="1" t="str">
        <f t="array" ref="G70">IF(F70="","",SUBSTITUTE(SUBSTITUTE(SUBSTITUTE(SUBSTITUTE(F70,"&lt;li&gt;",CHAR(10)),"&lt;/li&gt;",""),"&lt;br&gt;",CHAR(10)),"&lt;strong&gt;",""))</f>
        <v>&lt;p&gt;OdP a relancé une famille pour leverage bancaire, question sur fonds AUDACIA. RDV apéro Fort de France 23/02, process référencement BRED, chasse gardée Guyane/FdF, peu de concurrence gestion privée. Prochaine étape : présenter formellement fonds Straton/Géodesic. Feedback sur financement Dorian Lagarnaudie.&lt;/p&gt;</v>
      </c>
      <c r="H70" s="13" cm="1" t="str">
        <f t="array" ref="H70">IF(G70="","",SUBSTITUTE(SUBSTITUTE(SUBSTITUTE(SUBSTITUTE(SUBSTITUTE(G70,"&lt;p&gt;",""),"&lt;/p&gt;",""),"&lt;ul&gt;",""),"&lt;/ul&gt;",""),"&lt;/strong&gt;",""))</f>
        <v>OdP a relancé une famille pour leverage bancaire, question sur fonds AUDACIA. RDV apéro Fort de France 23/02, process référencement BRED, chasse gardée Guyane/FdF, peu de concurrence gestion privée. Prochaine étape : présenter formellement fonds Straton/Géodesic. Feedback sur financement Dorian Lagarnaudie.</v>
      </c>
      <c r="I70" s="14" cm="1" t="str">
        <f t="array" ref="I70">IF(C70="","",IF(OR(H70="",H70=0,H70=FALSE),"-",H70))</f>
        <v>OdP a relancé une famille pour leverage bancaire, question sur fonds AUDACIA. RDV apéro Fort de France 23/02, process référencement BRED, chasse gardée Guyane/FdF, peu de concurrence gestion privée. Prochaine étape : présenter formellement fonds Straton/Géodesic. Feedback sur financement Dorian Lagarnaudie.</v>
      </c>
      <c r="J70" s="8">
</c>
      <c r="K70" s="8" t="s">
        <v>162</v>
      </c>
      <c r="L70" s="9" cm="1" t="str">
        <f t="array" ref="L70">IF(C70="","",IF(K70="Mort / Plus rien à faire","KO","OK"))</f>
        <v>OK</v>
      </c>
      <c r="M70" s="15">
        <v>46139.676469907405</v>
      </c>
      <c r="N70" s="15" cm="1" t="n">
        <f t="array" ref="N70">IF(OR(C70="",M70="",M70=0),"",M70)</f>
        <v>46139.676469907405</v>
      </c>
      <c r="O70" s="15">
</c>
      <c r="P70" s="15" cm="1" t="str">
        <f t="array" ref="P70">IF(C70="","",IF(OR(O70="",O70=0),"-",O70))</f>
        <v>-</v>
      </c>
      <c r="Q70" s="16">
        <v>1000000</v>
      </c>
      <c r="R70" s="16" cm="1" t="str">
        <f t="array" ref="R70">IF(C70="","",ROUND(Q70/1000000,3)&amp;" M€")</f>
        <v>1 M€</v>
      </c>
      <c r="S70" s="12" t="s">
        <v>192</v>
      </c>
      <c r="T70" s="9" cm="1" t="str">
        <f t="array" ref="T70">IF(C70="","",SUBSTITUTE(S70,"","")&amp;"%")</f>
        <v>10%</v>
      </c>
      <c r="U70" s="14" cm="1" t="str">
        <f t="array" ref="U70">IF(($N70="")*($P70=""),"",IF(($N70&lt;&gt;"")*($N70&gt;TODAY()-9)*($N70&lt;TODAY()+1)*($P70&lt;&gt;"")*($P70&gt;=TODAY())*($P70&lt;=TODAY()+13),"Semaine passée &amp; à venir",IF(($N70&lt;&gt;"")*($N70&gt;TODAY()-9)*($N70&lt;TODAY()+1),"Semaine passée",IF(($P70&lt;&gt;"")*($P70&gt;=TODAY())*($P70&lt;=TODAY()+13),"À venir","Autre"))))</f>
        <v>Semaine passée</v>
      </c>
      <c r="V70" s="8" cm="1" t="n">
        <f t="array" ref="V70">IF(C70&lt;&gt;"",1,0)</f>
        <v>1</v>
      </c>
      <c r="W70" s="8">
</c>
      <c r="X70" s="8">
</c>
      <c r="Y70" s="8">
</c>
      <c r="Z70" s="8">
</c>
      <c r="AA70" s="8">
</c>
      <c r="AB70" s="8">
</c>
      <c r="AC70" s="8">
</c>
      <c r="AD70" s="8">
</c>
      <c r="AE70" s="8">
</c>
      <c r="AF70" s="8">
</c>
      <c r="AG70" s="8">
</c>
      <c r="AH70" s="8">
</c>
      <c r="AI70" s="8">
</c>
      <c r="AJ70" s="8">
</c>
      <c r="AK70" s="8">
</c>
    </row>
    <row r="71" ht="76.5" customHeight="1">
      <c r="A71" s="9" t="s">
        <v>23</v>
      </c>
      <c r="B71" s="9" t="s">
        <v>200</v>
      </c>
      <c r="C71" s="12" t="s">
        <v>273</v>
      </c>
      <c r="D71" s="12" t="s">
        <v>274</v>
      </c>
      <c r="E71" s="9" t="s">
        <v>27</v>
      </c>
      <c r="F71" s="8" t="s">
        <v>275</v>
      </c>
      <c r="G71" s="13" cm="1" t="str">
        <f t="array" ref="G71">IF(F71="","",SUBSTITUTE(SUBSTITUTE(SUBSTITUTE(SUBSTITUTE(F71,"&lt;li&gt;",CHAR(10)),"&lt;/li&gt;",""),"&lt;br&gt;",CHAR(10)),"&lt;strong&gt;",""))</f>
        <v>&lt;p&gt;Contact initié suite à échange à Amsterdam 0100 avec Jorgen sur fonds défense France (BITD). Présentation du fonds Audacia : cible 100M€, maturité 10 ans, 15 PME visées, IRR cible 12,5%. 10M€ déjà engagés, closing technique prévu semaine prochaine, closing principal 30/09/2026. Attente retour d'intérêt.&lt;/p&gt;</v>
      </c>
      <c r="H71" s="13" cm="1" t="str">
        <f t="array" ref="H71">IF(G71="","",SUBSTITUTE(SUBSTITUTE(SUBSTITUTE(SUBSTITUTE(SUBSTITUTE(G71,"&lt;p&gt;",""),"&lt;/p&gt;",""),"&lt;ul&gt;",""),"&lt;/ul&gt;",""),"&lt;/strong&gt;",""))</f>
        <v>Contact initié suite à échange à Amsterdam 0100 avec Jorgen sur fonds défense France (BITD). Présentation du fonds Audacia : cible 100M€, maturité 10 ans, 15 PME visées, IRR cible 12,5%. 10M€ déjà engagés, closing technique prévu semaine prochaine, closing principal 30/09/2026. Attente retour d'intérêt.</v>
      </c>
      <c r="I71" s="14" cm="1" t="str">
        <f t="array" ref="I71">IF(C71="","",IF(OR(H71="",H71=0,H71=FALSE),"-",H71))</f>
        <v>Contact initié suite à échange à Amsterdam 0100 avec Jorgen sur fonds défense France (BITD). Présentation du fonds Audacia : cible 100M€, maturité 10 ans, 15 PME visées, IRR cible 12,5%. 10M€ déjà engagés, closing technique prévu semaine prochaine, closing principal 30/09/2026. Attente retour d'intérêt.</v>
      </c>
      <c r="J71" s="8">
</c>
      <c r="K71" s="8" t="s">
        <v>162</v>
      </c>
      <c r="L71" s="9" cm="1" t="str">
        <f t="array" ref="L71">IF(C71="","",IF(K71="Mort / Plus rien à faire","KO","OK"))</f>
        <v>OK</v>
      </c>
      <c r="M71" s="15">
        <v>46142.407534722224</v>
      </c>
      <c r="N71" s="15" cm="1" t="n">
        <f t="array" ref="N71">IF(OR(C71="",M71="",M71=0),"",M71)</f>
        <v>46142.407534722224</v>
      </c>
      <c r="O71" s="15">
</c>
      <c r="P71" s="15" cm="1" t="str">
        <f t="array" ref="P71">IF(C71="","",IF(OR(O71="",O71=0),"-",O71))</f>
        <v>-</v>
      </c>
      <c r="Q71" s="16">
        <v>0</v>
      </c>
      <c r="R71" s="16" cm="1" t="str">
        <f t="array" ref="R71">IF(C71="","",ROUND(Q71/1000000,3)&amp;" M€")</f>
        <v>0 M€</v>
      </c>
      <c r="S71" s="12" t="s">
        <v>192</v>
      </c>
      <c r="T71" s="9" cm="1" t="str">
        <f t="array" ref="T71">IF(C71="","",SUBSTITUTE(S71,"","")&amp;"%")</f>
        <v>10%</v>
      </c>
      <c r="U71" s="14" cm="1" t="str">
        <f t="array" ref="U71">IF(($N71="")*($P71=""),"",IF(($N71&lt;&gt;"")*($N71&gt;TODAY()-9)*($N71&lt;TODAY()+1)*($P71&lt;&gt;"")*($P71&gt;=TODAY())*($P71&lt;=TODAY()+13),"Semaine passée &amp; à venir",IF(($N71&lt;&gt;"")*($N71&gt;TODAY()-9)*($N71&lt;TODAY()+1),"Semaine passée",IF(($P71&lt;&gt;"")*($P71&gt;=TODAY())*($P71&lt;=TODAY()+13),"À venir","Autre"))))</f>
        <v>Semaine passée</v>
      </c>
      <c r="V71" s="8" cm="1" t="n">
        <f t="array" ref="V71">IF(C71&lt;&gt;"",1,0)</f>
        <v>1</v>
      </c>
      <c r="W71" s="8">
</c>
      <c r="X71" s="8">
</c>
      <c r="Y71" s="8">
</c>
      <c r="Z71" s="8">
</c>
      <c r="AA71" s="8">
</c>
      <c r="AB71" s="8">
</c>
      <c r="AC71" s="8">
</c>
      <c r="AD71" s="8">
</c>
      <c r="AE71" s="8">
</c>
      <c r="AF71" s="8">
</c>
      <c r="AG71" s="8">
</c>
      <c r="AH71" s="8">
</c>
      <c r="AI71" s="8">
</c>
      <c r="AJ71" s="8">
</c>
      <c r="AK71" s="8">
</c>
    </row>
    <row r="72" ht="76.5" customHeight="1">
      <c r="A72" s="9" t="s">
        <v>23</v>
      </c>
      <c r="B72" s="9" t="s">
        <v>57</v>
      </c>
      <c r="C72" s="12" t="s">
        <v>276</v>
      </c>
      <c r="D72" s="12" t="s">
        <v>277</v>
      </c>
      <c r="E72" s="9" t="s">
        <v>27</v>
      </c>
      <c r="F72" s="8" t="s">
        <v>278</v>
      </c>
      <c r="G72" s="13" cm="1" t="str">
        <f t="array" ref="G72">IF(F72="","",SUBSTITUTE(SUBSTITUTE(SUBSTITUTE(SUBSTITUTE(F72,"&lt;li&gt;",CHAR(10)),"&lt;/li&gt;",""),"&lt;br&gt;",CHAR(10)),"&lt;strong&gt;",""))</f>
        <v>&lt;p&gt;Mail 20/04 : relance sur sujet Défense, retour sur l'événement du 9/04 (financement PME BITD), intérêt exprimé pour échanger, demande de créneaux. Nouvelle piste créée pour équipe Ventes. Pas d'autres activités ou retours prospect notés. Prochaine étape : organiser un échange.&lt;/p&gt;</v>
      </c>
      <c r="H72" s="13" cm="1" t="str">
        <f t="array" ref="H72">IF(G72="","",SUBSTITUTE(SUBSTITUTE(SUBSTITUTE(SUBSTITUTE(SUBSTITUTE(G72,"&lt;p&gt;",""),"&lt;/p&gt;",""),"&lt;ul&gt;",""),"&lt;/ul&gt;",""),"&lt;/strong&gt;",""))</f>
        <v>Mail 20/04 : relance sur sujet Défense, retour sur l'événement du 9/04 (financement PME BITD), intérêt exprimé pour échanger, demande de créneaux. Nouvelle piste créée pour équipe Ventes. Pas d'autres activités ou retours prospect notés. Prochaine étape : organiser un échange.</v>
      </c>
      <c r="I72" s="14" cm="1" t="str">
        <f t="array" ref="I72">IF(C72="","",IF(OR(H72="",H72=0,H72=FALSE),"-",H72))</f>
        <v>Mail 20/04 : relance sur sujet Défense, retour sur l'événement du 9/04 (financement PME BITD), intérêt exprimé pour échanger, demande de créneaux. Nouvelle piste créée pour équipe Ventes. Pas d'autres activités ou retours prospect notés. Prochaine étape : organiser un échange.</v>
      </c>
      <c r="J72" s="8">
</c>
      <c r="K72" s="8" t="s">
        <v>162</v>
      </c>
      <c r="L72" s="9" cm="1" t="str">
        <f t="array" ref="L72">IF(C72="","",IF(K72="Mort / Plus rien à faire","KO","OK"))</f>
        <v>OK</v>
      </c>
      <c r="M72" s="15">
        <v>46132.47201388889</v>
      </c>
      <c r="N72" s="15" cm="1" t="n">
        <f t="array" ref="N72">IF(OR(C72="",M72="",M72=0),"",M72)</f>
        <v>46132.47201388889</v>
      </c>
      <c r="O72" s="15">
</c>
      <c r="P72" s="15" cm="1" t="str">
        <f t="array" ref="P72">IF(C72="","",IF(OR(O72="",O72=0),"-",O72))</f>
        <v>-</v>
      </c>
      <c r="Q72" s="16">
        <v>0</v>
      </c>
      <c r="R72" s="16" cm="1" t="str">
        <f t="array" ref="R72">IF(C72="","",ROUND(Q72/1000000,3)&amp;" M€")</f>
        <v>0 M€</v>
      </c>
      <c r="S72" s="12" t="s">
        <v>192</v>
      </c>
      <c r="T72" s="9" cm="1" t="str">
        <f t="array" ref="T72">IF(C72="","",SUBSTITUTE(S72,"","")&amp;"%")</f>
        <v>10%</v>
      </c>
      <c r="U72" s="14" cm="1" t="str">
        <f t="array" ref="U72">IF(($N72="")*($P72=""),"",IF(($N72&lt;&gt;"")*($N72&gt;TODAY()-9)*($N72&lt;TODAY()+1)*($P72&lt;&gt;"")*($P72&gt;=TODAY())*($P72&lt;=TODAY()+13),"Semaine passée &amp; à venir",IF(($N72&lt;&gt;"")*($N72&gt;TODAY()-9)*($N72&lt;TODAY()+1),"Semaine passée",IF(($P72&lt;&gt;"")*($P72&gt;=TODAY())*($P72&lt;=TODAY()+13),"À venir","Autre"))))</f>
        <v>Autre</v>
      </c>
      <c r="V72" s="8" cm="1" t="n">
        <f t="array" ref="V72">IF(C72&lt;&gt;"",1,0)</f>
        <v>1</v>
      </c>
      <c r="W72" s="8">
</c>
      <c r="X72" s="8">
</c>
      <c r="Y72" s="8">
</c>
      <c r="Z72" s="8">
</c>
      <c r="AA72" s="8">
</c>
      <c r="AB72" s="8">
</c>
      <c r="AC72" s="8">
</c>
      <c r="AD72" s="8">
</c>
      <c r="AE72" s="8">
</c>
      <c r="AF72" s="8">
</c>
      <c r="AG72" s="8">
</c>
      <c r="AH72" s="8">
</c>
      <c r="AI72" s="8">
</c>
      <c r="AJ72" s="8">
</c>
      <c r="AK72" s="8">
</c>
    </row>
    <row r="73" ht="76.5" customHeight="1">
      <c r="A73" s="9" t="s">
        <v>23</v>
      </c>
      <c r="B73" s="9" t="s">
        <v>257</v>
      </c>
      <c r="C73" s="12" t="s">
        <v>279</v>
      </c>
      <c r="D73" s="12" t="s">
        <v>280</v>
      </c>
      <c r="E73" s="9" t="s">
        <v>27</v>
      </c>
      <c r="F73" s="8" t="s">
        <v>281</v>
      </c>
      <c r="G73" s="13" cm="1" t="str">
        <f t="array" ref="G73">IF(F73="","",SUBSTITUTE(SUBSTITUTE(SUBSTITUTE(SUBSTITUTE(F73,"&lt;li&gt;",CHAR(10)),"&lt;/li&gt;",""),"&lt;br&gt;",CHAR(10)),"&lt;strong&gt;",""))</f>
        <v>&lt;p&gt;Mail prospect reçu 20/04/2026 : retour sur journée du 9/04 (financement PME BITD), intérêt exprimé pour échanger sur sujet Défense, demande de créneaux pour RDV. Nouvelle piste créée pour équipe Ventes. Aucun retour prospect sur fonds présentés, pas d'activité complémentaire enregistrée à ce jour.&lt;/p&gt;</v>
      </c>
      <c r="H73" s="13" cm="1" t="str">
        <f t="array" ref="H73">IF(G73="","",SUBSTITUTE(SUBSTITUTE(SUBSTITUTE(SUBSTITUTE(SUBSTITUTE(G73,"&lt;p&gt;",""),"&lt;/p&gt;",""),"&lt;ul&gt;",""),"&lt;/ul&gt;",""),"&lt;/strong&gt;",""))</f>
        <v>Mail prospect reçu 20/04/2026 : retour sur journée du 9/04 (financement PME BITD), intérêt exprimé pour échanger sur sujet Défense, demande de créneaux pour RDV. Nouvelle piste créée pour équipe Ventes. Aucun retour prospect sur fonds présentés, pas d'activité complémentaire enregistrée à ce jour.</v>
      </c>
      <c r="I73" s="14" cm="1" t="str">
        <f t="array" ref="I73">IF(C73="","",IF(OR(H73="",H73=0,H73=FALSE),"-",H73))</f>
        <v>Mail prospect reçu 20/04/2026 : retour sur journée du 9/04 (financement PME BITD), intérêt exprimé pour échanger sur sujet Défense, demande de créneaux pour RDV. Nouvelle piste créée pour équipe Ventes. Aucun retour prospect sur fonds présentés, pas d'activité complémentaire enregistrée à ce jour.</v>
      </c>
      <c r="J73" s="8">
</c>
      <c r="K73" s="8" t="s">
        <v>162</v>
      </c>
      <c r="L73" s="9" cm="1" t="str">
        <f t="array" ref="L73">IF(C73="","",IF(K73="Mort / Plus rien à faire","KO","OK"))</f>
        <v>OK</v>
      </c>
      <c r="M73" s="15">
        <v>46132.47390046297</v>
      </c>
      <c r="N73" s="15" cm="1" t="n">
        <f t="array" ref="N73">IF(OR(C73="",M73="",M73=0),"",M73)</f>
        <v>46132.47390046297</v>
      </c>
      <c r="O73" s="15">
</c>
      <c r="P73" s="15" cm="1" t="str">
        <f t="array" ref="P73">IF(C73="","",IF(OR(O73="",O73=0),"-",O73))</f>
        <v>-</v>
      </c>
      <c r="Q73" s="16">
        <v>0</v>
      </c>
      <c r="R73" s="16" cm="1" t="str">
        <f t="array" ref="R73">IF(C73="","",ROUND(Q73/1000000,3)&amp;" M€")</f>
        <v>0 M€</v>
      </c>
      <c r="S73" s="12" t="s">
        <v>192</v>
      </c>
      <c r="T73" s="9" cm="1" t="str">
        <f t="array" ref="T73">IF(C73="","",SUBSTITUTE(S73,"","")&amp;"%")</f>
        <v>10%</v>
      </c>
      <c r="U73" s="14" cm="1" t="str">
        <f t="array" ref="U73">IF(($N73="")*($P73=""),"",IF(($N73&lt;&gt;"")*($N73&gt;TODAY()-9)*($N73&lt;TODAY()+1)*($P73&lt;&gt;"")*($P73&gt;=TODAY())*($P73&lt;=TODAY()+13),"Semaine passée &amp; à venir",IF(($N73&lt;&gt;"")*($N73&gt;TODAY()-9)*($N73&lt;TODAY()+1),"Semaine passée",IF(($P73&lt;&gt;"")*($P73&gt;=TODAY())*($P73&lt;=TODAY()+13),"À venir","Autre"))))</f>
        <v>Autre</v>
      </c>
      <c r="V73" s="8" cm="1" t="n">
        <f t="array" ref="V73">IF(C73&lt;&gt;"",1,0)</f>
        <v>1</v>
      </c>
      <c r="W73" s="8">
</c>
      <c r="X73" s="8">
</c>
      <c r="Y73" s="8">
</c>
      <c r="Z73" s="8">
</c>
      <c r="AA73" s="8">
</c>
      <c r="AB73" s="8">
</c>
      <c r="AC73" s="8">
</c>
      <c r="AD73" s="8">
</c>
      <c r="AE73" s="8">
</c>
      <c r="AF73" s="8">
</c>
      <c r="AG73" s="8">
</c>
      <c r="AH73" s="8">
</c>
      <c r="AI73" s="8">
</c>
      <c r="AJ73" s="8">
</c>
      <c r="AK73" s="8">
</c>
    </row>
    <row r="74" ht="76.5" customHeight="1">
      <c r="A74" s="9" t="s">
        <v>23</v>
      </c>
      <c r="B74" s="9" t="s">
        <v>32</v>
      </c>
      <c r="C74" s="12" t="s">
        <v>282</v>
      </c>
      <c r="D74" s="12" t="s">
        <v>283</v>
      </c>
      <c r="E74" s="9" t="s">
        <v>27</v>
      </c>
      <c r="F74" s="8" t="s">
        <v>284</v>
      </c>
      <c r="G74" s="13" cm="1" t="str">
        <f t="array" ref="G74">IF(F74="","",SUBSTITUTE(SUBSTITUTE(SUBSTITUTE(SUBSTITUTE(F74,"&lt;li&gt;",CHAR(10)),"&lt;/li&gt;",""),"&lt;br&gt;",CHAR(10)),"&lt;strong&gt;",""))</f>
        <v>&lt;p&gt;Comité Straton 30/03 : fonds jugé trop petit, besoin de voir la dynamique, possible rediscussion. KO comité 27/03, tenir informé de la levée, pas de seuil spécifique. Derniers échanges sans évolution majeure. Prochaine étape : suivi levée, pas de relance immédiate prévue, deadline 06/07/2026.&lt;/p&gt;</v>
      </c>
      <c r="H74" s="13" cm="1" t="str">
        <f t="array" ref="H74">IF(G74="","",SUBSTITUTE(SUBSTITUTE(SUBSTITUTE(SUBSTITUTE(SUBSTITUTE(G74,"&lt;p&gt;",""),"&lt;/p&gt;",""),"&lt;ul&gt;",""),"&lt;/ul&gt;",""),"&lt;/strong&gt;",""))</f>
        <v>Comité Straton 30/03 : fonds jugé trop petit, besoin de voir la dynamique, possible rediscussion. KO comité 27/03, tenir informé de la levée, pas de seuil spécifique. Derniers échanges sans évolution majeure. Prochaine étape : suivi levée, pas de relance immédiate prévue, deadline 06/07/2026.</v>
      </c>
      <c r="I74" s="14" cm="1" t="str">
        <f t="array" ref="I74">IF(C74="","",IF(OR(H74="",H74=0,H74=FALSE),"-",H74))</f>
        <v>Comité Straton 30/03 : fonds jugé trop petit, besoin de voir la dynamique, possible rediscussion. KO comité 27/03, tenir informé de la levée, pas de seuil spécifique. Derniers échanges sans évolution majeure. Prochaine étape : suivi levée, pas de relance immédiate prévue, deadline 06/07/2026.</v>
      </c>
      <c r="J74" s="8" t="s">
        <v>285</v>
      </c>
      <c r="K74" s="8" t="s">
        <v>95</v>
      </c>
      <c r="L74" s="9" cm="1" t="str">
        <f t="array" ref="L74">IF(C74="","",IF(K74="Mort / Plus rien à faire","KO","OK"))</f>
        <v>OK</v>
      </c>
      <c r="M74" s="15">
        <v>46140.651666666665</v>
      </c>
      <c r="N74" s="15" cm="1" t="n">
        <f t="array" ref="N74">IF(OR(C74="",M74="",M74=0),"",M74)</f>
        <v>46140.651666666665</v>
      </c>
      <c r="O74" s="15">
        <v>46209.083333333336</v>
      </c>
      <c r="P74" s="15" cm="1" t="n">
        <f t="array" ref="P74">IF(C74="","",IF(OR(O74="",O74=0),"-",O74))</f>
        <v>46209.083333333336</v>
      </c>
      <c r="Q74" s="16">
        <v>1000000</v>
      </c>
      <c r="R74" s="16" cm="1" t="str">
        <f t="array" ref="R74">IF(C74="","",ROUND(Q74/1000000,3)&amp;" M€")</f>
        <v>1 M€</v>
      </c>
      <c r="S74" s="12" t="s">
        <v>192</v>
      </c>
      <c r="T74" s="9" cm="1" t="str">
        <f t="array" ref="T74">IF(C74="","",SUBSTITUTE(S74,"","")&amp;"%")</f>
        <v>10%</v>
      </c>
      <c r="U74" s="14" cm="1" t="str">
        <f t="array" ref="U74">IF(($N74="")*($P74=""),"",IF(($N74&lt;&gt;"")*($N74&gt;TODAY()-9)*($N74&lt;TODAY()+1)*($P74&lt;&gt;"")*($P74&gt;=TODAY())*($P74&lt;=TODAY()+13),"Semaine passée &amp; à venir",IF(($N74&lt;&gt;"")*($N74&gt;TODAY()-9)*($N74&lt;TODAY()+1),"Semaine passée",IF(($P74&lt;&gt;"")*($P74&gt;=TODAY())*($P74&lt;=TODAY()+13),"À venir","Autre"))))</f>
        <v>Semaine passée</v>
      </c>
      <c r="V74" s="8" cm="1" t="n">
        <f t="array" ref="V74">IF(C74&lt;&gt;"",1,0)</f>
        <v>1</v>
      </c>
      <c r="W74" s="8">
</c>
      <c r="X74" s="8">
</c>
      <c r="Y74" s="8">
</c>
      <c r="Z74" s="8">
</c>
      <c r="AA74" s="8">
</c>
      <c r="AB74" s="8">
</c>
      <c r="AC74" s="8">
</c>
      <c r="AD74" s="8">
</c>
      <c r="AE74" s="8">
</c>
      <c r="AF74" s="8">
</c>
      <c r="AG74" s="8">
</c>
      <c r="AH74" s="8">
</c>
      <c r="AI74" s="8">
</c>
      <c r="AJ74" s="8">
</c>
      <c r="AK74" s="8">
</c>
    </row>
    <row r="75" ht="76.5" customHeight="1">
      <c r="A75" s="9" t="s">
        <v>23</v>
      </c>
      <c r="B75" s="9" t="s">
        <v>257</v>
      </c>
      <c r="C75" s="12" t="s">
        <v>286</v>
      </c>
      <c r="D75" s="12" t="s">
        <v>287</v>
      </c>
      <c r="E75" s="9" t="s">
        <v>27</v>
      </c>
      <c r="F75" s="8" t="s">
        <v>288</v>
      </c>
      <c r="G75" s="13" cm="1" t="str">
        <f t="array" ref="G75">IF(F75="","",SUBSTITUTE(SUBSTITUTE(SUBSTITUTE(SUBSTITUTE(F75,"&lt;li&gt;",CHAR(10)),"&lt;/li&gt;",""),"&lt;br&gt;",CHAR(10)),"&lt;strong&gt;",""))</f>
        <v>&lt;p&gt;Mail reçu 20/04 de Romain : relance sur l'événement du 9/04 (financement PME BITD), mention d'un commentaire LinkedIn, intérêt exprimé pour échanger sur le sujet Défense, demande de créneaux pour RDV. Aucune activité ou action supplémentaire enregistrée à ce stade.&lt;/p&gt;</v>
      </c>
      <c r="H75" s="13" cm="1" t="str">
        <f t="array" ref="H75">IF(G75="","",SUBSTITUTE(SUBSTITUTE(SUBSTITUTE(SUBSTITUTE(SUBSTITUTE(G75,"&lt;p&gt;",""),"&lt;/p&gt;",""),"&lt;ul&gt;",""),"&lt;/ul&gt;",""),"&lt;/strong&gt;",""))</f>
        <v>Mail reçu 20/04 de Romain : relance sur l'événement du 9/04 (financement PME BITD), mention d'un commentaire LinkedIn, intérêt exprimé pour échanger sur le sujet Défense, demande de créneaux pour RDV. Aucune activité ou action supplémentaire enregistrée à ce stade.</v>
      </c>
      <c r="I75" s="14" cm="1" t="str">
        <f t="array" ref="I75">IF(C75="","",IF(OR(H75="",H75=0,H75=FALSE),"-",H75))</f>
        <v>Mail reçu 20/04 de Romain : relance sur l'événement du 9/04 (financement PME BITD), mention d'un commentaire LinkedIn, intérêt exprimé pour échanger sur le sujet Défense, demande de créneaux pour RDV. Aucune activité ou action supplémentaire enregistrée à ce stade.</v>
      </c>
      <c r="J75" s="8">
</c>
      <c r="K75" s="8" t="s">
        <v>162</v>
      </c>
      <c r="L75" s="9" cm="1" t="str">
        <f t="array" ref="L75">IF(C75="","",IF(K75="Mort / Plus rien à faire","KO","OK"))</f>
        <v>OK</v>
      </c>
      <c r="M75" s="15">
        <v>46132.47782407407</v>
      </c>
      <c r="N75" s="15" cm="1" t="n">
        <f t="array" ref="N75">IF(OR(C75="",M75="",M75=0),"",M75)</f>
        <v>46132.47782407407</v>
      </c>
      <c r="O75" s="15">
</c>
      <c r="P75" s="15" cm="1" t="str">
        <f t="array" ref="P75">IF(C75="","",IF(OR(O75="",O75=0),"-",O75))</f>
        <v>-</v>
      </c>
      <c r="Q75" s="16">
        <v>0</v>
      </c>
      <c r="R75" s="16" cm="1" t="str">
        <f t="array" ref="R75">IF(C75="","",ROUND(Q75/1000000,3)&amp;" M€")</f>
        <v>0 M€</v>
      </c>
      <c r="S75" s="12" t="s">
        <v>192</v>
      </c>
      <c r="T75" s="9" cm="1" t="str">
        <f t="array" ref="T75">IF(C75="","",SUBSTITUTE(S75,"","")&amp;"%")</f>
        <v>10%</v>
      </c>
      <c r="U75" s="14" cm="1" t="str">
        <f t="array" ref="U75">IF(($N75="")*($P75=""),"",IF(($N75&lt;&gt;"")*($N75&gt;TODAY()-9)*($N75&lt;TODAY()+1)*($P75&lt;&gt;"")*($P75&gt;=TODAY())*($P75&lt;=TODAY()+13),"Semaine passée &amp; à venir",IF(($N75&lt;&gt;"")*($N75&gt;TODAY()-9)*($N75&lt;TODAY()+1),"Semaine passée",IF(($P75&lt;&gt;"")*($P75&gt;=TODAY())*($P75&lt;=TODAY()+13),"À venir","Autre"))))</f>
        <v>Autre</v>
      </c>
      <c r="V75" s="8" cm="1" t="n">
        <f t="array" ref="V75">IF(C75&lt;&gt;"",1,0)</f>
        <v>1</v>
      </c>
      <c r="W75" s="8">
</c>
      <c r="X75" s="8">
</c>
      <c r="Y75" s="8">
</c>
      <c r="Z75" s="8">
</c>
      <c r="AA75" s="8">
</c>
      <c r="AB75" s="8">
</c>
      <c r="AC75" s="8">
</c>
      <c r="AD75" s="8">
</c>
      <c r="AE75" s="8">
</c>
      <c r="AF75" s="8">
</c>
      <c r="AG75" s="8">
</c>
      <c r="AH75" s="8">
</c>
      <c r="AI75" s="8">
</c>
      <c r="AJ75" s="8">
</c>
      <c r="AK75" s="8">
</c>
    </row>
    <row r="76" ht="76.5" customHeight="1">
      <c r="A76" s="9" t="s">
        <v>23</v>
      </c>
      <c r="B76" s="9" t="s">
        <v>170</v>
      </c>
      <c r="C76" s="12" t="s">
        <v>289</v>
      </c>
      <c r="D76" s="12" t="s">
        <v>290</v>
      </c>
      <c r="E76" s="9" t="s">
        <v>93</v>
      </c>
      <c r="F76" s="8" t="s">
        <v>291</v>
      </c>
      <c r="G76" s="13" cm="1" t="str">
        <f t="array" ref="G76">IF(F76="","",SUBSTITUTE(SUBSTITUTE(SUBSTITUTE(SUBSTITUTE(F76,"&lt;li&gt;",CHAR(10)),"&lt;/li&gt;",""),"&lt;br&gt;",CHAR(10)),"&lt;strong&gt;",""))</f>
        <v>&lt;p&gt;RDV 24/03 Toulouse&amp;nbsp;: reporting fonds Constellation 3, clients appétents PME/non coté, philanthropie (éducation/environnement) très valorisée, réflexion sur réinvestissement C4, focus dette/co-invest, phase d’investissement clients lancée avril/mai. Dernier contact 29/04&amp;nbsp;: prise de nouvelles, envoi article CB JDD.&lt;/p&gt;</v>
      </c>
      <c r="H76" s="13" cm="1" t="str">
        <f t="array" ref="H76">IF(G76="","",SUBSTITUTE(SUBSTITUTE(SUBSTITUTE(SUBSTITUTE(SUBSTITUTE(G76,"&lt;p&gt;",""),"&lt;/p&gt;",""),"&lt;ul&gt;",""),"&lt;/ul&gt;",""),"&lt;/strong&gt;",""))</f>
        <v>RDV 24/03 Toulouse&amp;nbsp;: reporting fonds Constellation 3, clients appétents PME/non coté, philanthropie (éducation/environnement) très valorisée, réflexion sur réinvestissement C4, focus dette/co-invest, phase d’investissement clients lancée avril/mai. Dernier contact 29/04&amp;nbsp;: prise de nouvelles, envoi article CB JDD.</v>
      </c>
      <c r="I76" s="14" cm="1" t="str">
        <f t="array" ref="I76">IF(C76="","",IF(OR(H76="",H76=0,H76=FALSE),"-",H76))</f>
        <v>RDV 24/03 Toulouse&amp;nbsp;: reporting fonds Constellation 3, clients appétents PME/non coté, philanthropie (éducation/environnement) très valorisée, réflexion sur réinvestissement C4, focus dette/co-invest, phase d’investissement clients lancée avril/mai. Dernier contact 29/04&amp;nbsp;: prise de nouvelles, envoi article CB JDD.</v>
      </c>
      <c r="J76" s="8">
</c>
      <c r="K76" s="8" t="s">
        <v>52</v>
      </c>
      <c r="L76" s="9" cm="1" t="str">
        <f t="array" ref="L76">IF(C76="","",IF(K76="Mort / Plus rien à faire","KO","OK"))</f>
        <v>OK</v>
      </c>
      <c r="M76" s="15">
        <v>46141.43790509259</v>
      </c>
      <c r="N76" s="15" cm="1" t="n">
        <f t="array" ref="N76">IF(OR(C76="",M76="",M76=0),"",M76)</f>
        <v>46141.43790509259</v>
      </c>
      <c r="O76" s="15">
</c>
      <c r="P76" s="15" cm="1" t="str">
        <f t="array" ref="P76">IF(C76="","",IF(OR(O76="",O76=0),"-",O76))</f>
        <v>-</v>
      </c>
      <c r="Q76" s="16">
        <v>0</v>
      </c>
      <c r="R76" s="16" cm="1" t="str">
        <f t="array" ref="R76">IF(C76="","",ROUND(Q76/1000000,3)&amp;" M€")</f>
        <v>0 M€</v>
      </c>
      <c r="S76" s="12" t="s">
        <v>192</v>
      </c>
      <c r="T76" s="9" cm="1" t="str">
        <f t="array" ref="T76">IF(C76="","",SUBSTITUTE(S76,"","")&amp;"%")</f>
        <v>10%</v>
      </c>
      <c r="U76" s="14" cm="1" t="str">
        <f t="array" ref="U76">IF(($N76="")*($P76=""),"",IF(($N76&lt;&gt;"")*($N76&gt;TODAY()-9)*($N76&lt;TODAY()+1)*($P76&lt;&gt;"")*($P76&gt;=TODAY())*($P76&lt;=TODAY()+13),"Semaine passée &amp; à venir",IF(($N76&lt;&gt;"")*($N76&gt;TODAY()-9)*($N76&lt;TODAY()+1),"Semaine passée",IF(($P76&lt;&gt;"")*($P76&gt;=TODAY())*($P76&lt;=TODAY()+13),"À venir","Autre"))))</f>
        <v>Semaine passée</v>
      </c>
      <c r="V76" s="8" cm="1" t="n">
        <f t="array" ref="V76">IF(C76&lt;&gt;"",1,0)</f>
        <v>1</v>
      </c>
      <c r="W76" s="8">
</c>
      <c r="X76" s="8">
</c>
      <c r="Y76" s="8">
</c>
      <c r="Z76" s="8">
</c>
      <c r="AA76" s="8">
</c>
      <c r="AB76" s="8">
</c>
      <c r="AC76" s="8">
</c>
      <c r="AD76" s="8">
</c>
      <c r="AE76" s="8">
</c>
      <c r="AF76" s="8">
</c>
      <c r="AG76" s="8">
</c>
      <c r="AH76" s="8">
</c>
      <c r="AI76" s="8">
</c>
      <c r="AJ76" s="8">
</c>
      <c r="AK76" s="8">
</c>
    </row>
    <row r="77" ht="76.5" customHeight="1">
      <c r="A77" s="9" t="s">
        <v>23</v>
      </c>
      <c r="B77" s="9" t="s">
        <v>36</v>
      </c>
      <c r="C77" s="12" t="s">
        <v>292</v>
      </c>
      <c r="D77" s="12" t="s">
        <v>293</v>
      </c>
      <c r="E77" s="9" t="s">
        <v>39</v>
      </c>
      <c r="F77" s="8" t="s">
        <v>294</v>
      </c>
      <c r="G77" s="13" cm="1" t="str">
        <f t="array" ref="G77">IF(F77="","",SUBSTITUTE(SUBSTITUTE(SUBSTITUTE(SUBSTITUTE(F77,"&lt;li&gt;",CHAR(10)),"&lt;/li&gt;",""),"&lt;br&gt;",CHAR(10)),"&lt;strong&gt;",""))</f>
        <v>&lt;p&gt;Projet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stade.&lt;/p&gt;</v>
      </c>
      <c r="H77" s="13" cm="1" t="str">
        <f t="array" ref="H77">IF(G77="","",SUBSTITUTE(SUBSTITUTE(SUBSTITUTE(SUBSTITUTE(SUBSTITUTE(G77,"&lt;p&gt;",""),"&lt;/p&gt;",""),"&lt;ul&gt;",""),"&lt;/ul&gt;",""),"&lt;/strong&gt;",""))</f>
        <v>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v>
      </c>
      <c r="I77" s="14" cm="1" t="str">
        <f t="array" ref="I77">IF(C77="","",IF(OR(H77="",H77=0,H77=FALSE),"-",H77))</f>
        <v>Projet référencement fonds, passage en comité prévu mi-février (comité décalé). Pas d'enrichissement possible (email invalide). Nouvelle piste créée pour équipe Ventes. Prochaine étape&amp;nbsp;: attendre retour du comité mi-février. Aucun retour prospect sur fonds présenté à ce stade.</v>
      </c>
      <c r="J77" s="8">
</c>
      <c r="K77" s="8" t="s">
        <v>52</v>
      </c>
      <c r="L77" s="9" cm="1" t="str">
        <f t="array" ref="L77">IF(C77="","",IF(K77="Mort / Plus rien à faire","KO","OK"))</f>
        <v>OK</v>
      </c>
      <c r="M77" s="15">
        <v>46050.68894675926</v>
      </c>
      <c r="N77" s="15" cm="1" t="n">
        <f t="array" ref="N77">IF(OR(C77="",M77="",M77=0),"",M77)</f>
        <v>46050.68894675926</v>
      </c>
      <c r="O77" s="15">
</c>
      <c r="P77" s="15" cm="1" t="str">
        <f t="array" ref="P77">IF(C77="","",IF(OR(O77="",O77=0),"-",O77))</f>
        <v>-</v>
      </c>
      <c r="Q77" s="16">
        <v>0</v>
      </c>
      <c r="R77" s="16" cm="1" t="str">
        <f t="array" ref="R77">IF(C77="","",ROUND(Q77/1000000,3)&amp;" M€")</f>
        <v>0 M€</v>
      </c>
      <c r="S77" s="12" t="s">
        <v>192</v>
      </c>
      <c r="T77" s="9" cm="1" t="str">
        <f t="array" ref="T77">IF(C77="","",SUBSTITUTE(S77,"","")&amp;"%")</f>
        <v>10%</v>
      </c>
      <c r="U77" s="14" cm="1" t="str">
        <f t="array" ref="U77">IF(($N77="")*($P77=""),"",IF(($N77&lt;&gt;"")*($N77&gt;TODAY()-9)*($N77&lt;TODAY()+1)*($P77&lt;&gt;"")*($P77&gt;=TODAY())*($P77&lt;=TODAY()+13),"Semaine passée &amp; à venir",IF(($N77&lt;&gt;"")*($N77&gt;TODAY()-9)*($N77&lt;TODAY()+1),"Semaine passée",IF(($P77&lt;&gt;"")*($P77&gt;=TODAY())*($P77&lt;=TODAY()+13),"À venir","Autre"))))</f>
        <v>Autre</v>
      </c>
      <c r="V77" s="8" cm="1" t="n">
        <f t="array" ref="V77">IF(C77&lt;&gt;"",1,0)</f>
        <v>1</v>
      </c>
      <c r="W77" s="8">
</c>
      <c r="X77" s="8">
</c>
      <c r="Y77" s="8">
</c>
      <c r="Z77" s="8">
</c>
      <c r="AA77" s="8">
</c>
      <c r="AB77" s="8">
</c>
      <c r="AC77" s="8">
</c>
      <c r="AD77" s="8">
</c>
      <c r="AE77" s="8">
</c>
      <c r="AF77" s="8">
</c>
      <c r="AG77" s="8">
</c>
      <c r="AH77" s="8">
</c>
      <c r="AI77" s="8">
</c>
      <c r="AJ77" s="8">
</c>
      <c r="AK77" s="8">
</c>
    </row>
    <row r="78" ht="76.5" customHeight="1">
      <c r="A78" s="9" t="s">
        <v>23</v>
      </c>
      <c r="B78" s="9" t="s">
        <v>200</v>
      </c>
      <c r="C78" s="12" t="s">
        <v>295</v>
      </c>
      <c r="D78" s="12" t="s">
        <v>296</v>
      </c>
      <c r="E78" s="9" t="s">
        <v>27</v>
      </c>
      <c r="F78" s="8" t="s">
        <v>297</v>
      </c>
      <c r="G78" s="13" cm="1" t="str">
        <f t="array" ref="G78">IF(F78="","",SUBSTITUTE(SUBSTITUTE(SUBSTITUTE(SUBSTITUTE(F78,"&lt;li&gt;",CHAR(10)),"&lt;/li&gt;",""),"&lt;br&gt;",CHAR(10)),"&lt;strong&gt;",""))</f>
        <v>&lt;p&gt;RDV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rassurant.&lt;/p&gt;</v>
      </c>
      <c r="H78" s="13" cm="1" t="str">
        <f t="array" ref="H78">IF(G78="","",SUBSTITUTE(SUBSTITUTE(SUBSTITUTE(SUBSTITUTE(SUBSTITUTE(G78,"&lt;p&gt;",""),"&lt;/p&gt;",""),"&lt;ul&gt;",""),"&lt;/ul&gt;",""),"&lt;/strong&gt;",""))</f>
        <v>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v>
      </c>
      <c r="I78" s="14" cm="1" t="str">
        <f t="array" ref="I78">IF(C78="","",IF(OR(H78="",H78=0,H78=FALSE),"-",H78))</f>
        <v>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v>
      </c>
      <c r="J78" s="8" t="s">
        <v>298</v>
      </c>
      <c r="K78" s="8" t="s">
        <v>95</v>
      </c>
      <c r="L78" s="9" cm="1" t="str">
        <f t="array" ref="L78">IF(C78="","",IF(K78="Mort / Plus rien à faire","KO","OK"))</f>
        <v>OK</v>
      </c>
      <c r="M78" s="15">
        <v>46050.662777777776</v>
      </c>
      <c r="N78" s="15" cm="1" t="n">
        <f t="array" ref="N78">IF(OR(C78="",M78="",M78=0),"",M78)</f>
        <v>46050.662777777776</v>
      </c>
      <c r="O78" s="15">
        <v>46149.083333333336</v>
      </c>
      <c r="P78" s="15" cm="1" t="n">
        <f t="array" ref="P78">IF(C78="","",IF(OR(O78="",O78=0),"-",O78))</f>
        <v>46149.083333333336</v>
      </c>
      <c r="Q78" s="16">
        <v>0</v>
      </c>
      <c r="R78" s="16" cm="1" t="str">
        <f t="array" ref="R78">IF(C78="","",ROUND(Q78/1000000,3)&amp;" M€")</f>
        <v>0 M€</v>
      </c>
      <c r="S78" s="12" t="s">
        <v>192</v>
      </c>
      <c r="T78" s="9" cm="1" t="str">
        <f t="array" ref="T78">IF(C78="","",SUBSTITUTE(S78,"","")&amp;"%")</f>
        <v>10%</v>
      </c>
      <c r="U78" s="14" cm="1" t="str">
        <f t="array" ref="U78">IF(($N78="")*($P78=""),"",IF(($N78&lt;&gt;"")*($N78&gt;TODAY()-9)*($N78&lt;TODAY()+1)*($P78&lt;&gt;"")*($P78&gt;=TODAY())*($P78&lt;=TODAY()+13),"Semaine passée &amp; à venir",IF(($N78&lt;&gt;"")*($N78&gt;TODAY()-9)*($N78&lt;TODAY()+1),"Semaine passée",IF(($P78&lt;&gt;"")*($P78&gt;=TODAY())*($P78&lt;=TODAY()+13),"À venir","Autre"))))</f>
        <v>À venir</v>
      </c>
      <c r="V78" s="8" cm="1" t="n">
        <f t="array" ref="V78">IF(C78&lt;&gt;"",1,0)</f>
        <v>1</v>
      </c>
      <c r="W78" s="8">
</c>
      <c r="X78" s="8">
</c>
      <c r="Y78" s="8">
</c>
      <c r="Z78" s="8">
</c>
      <c r="AA78" s="8">
</c>
      <c r="AB78" s="8">
</c>
      <c r="AC78" s="8">
</c>
      <c r="AD78" s="8">
</c>
      <c r="AE78" s="8">
</c>
      <c r="AF78" s="8">
</c>
      <c r="AG78" s="8">
</c>
      <c r="AH78" s="8">
</c>
      <c r="AI78" s="8">
</c>
      <c r="AJ78" s="8">
</c>
      <c r="AK78" s="8">
</c>
    </row>
    <row r="79" ht="76.5" customHeight="1">
      <c r="A79" s="9" t="s">
        <v>23</v>
      </c>
      <c r="B79" s="9" t="s">
        <v>57</v>
      </c>
      <c r="C79" s="12" t="s">
        <v>299</v>
      </c>
      <c r="D79" s="12" t="s">
        <v>300</v>
      </c>
      <c r="E79" s="9" t="s">
        <v>39</v>
      </c>
      <c r="F79" s="8" t="s">
        <v>301</v>
      </c>
      <c r="G79" s="13" cm="1" t="str">
        <f t="array" ref="G79">IF(F79="","",SUBSTITUTE(SUBSTITUTE(SUBSTITUTE(SUBSTITUTE(F79,"&lt;li&gt;",CHAR(10)),"&lt;/li&gt;",""),"&lt;br&gt;",CHAR(10)),"&lt;strong&gt;",""))</f>
        <v>&lt;p&gt;Déjeuner 26/03 avec Famille Derville, Charles, Olivier. Remerciements envoyés. Intérêt exprimé pour Straton et le spatial. Pas de retour négatif sur Quantonation II. Prochaine étape : approfondir Straton/spatial avec le prospect. Aucun refus ou blocage mentionné à ce stade.&lt;/p&gt;</v>
      </c>
      <c r="H79" s="13" cm="1" t="str">
        <f t="array" ref="H79">IF(G79="","",SUBSTITUTE(SUBSTITUTE(SUBSTITUTE(SUBSTITUTE(SUBSTITUTE(G79,"&lt;p&gt;",""),"&lt;/p&gt;",""),"&lt;ul&gt;",""),"&lt;/ul&gt;",""),"&lt;/strong&gt;",""))</f>
        <v>Déjeuner 26/03 avec Famille Derville, Charles, Olivier. Remerciements envoyés. Intérêt exprimé pour Straton et le spatial. Pas de retour négatif sur Quantonation II. Prochaine étape : approfondir Straton/spatial avec le prospect. Aucun refus ou blocage mentionné à ce stade.</v>
      </c>
      <c r="I79" s="14" cm="1" t="str">
        <f t="array" ref="I79">IF(C79="","",IF(OR(H79="",H79=0,H79=FALSE),"-",H79))</f>
        <v>Déjeuner 26/03 avec Famille Derville, Charles, Olivier. Remerciements envoyés. Intérêt exprimé pour Straton et le spatial. Pas de retour négatif sur Quantonation II. Prochaine étape : approfondir Straton/spatial avec le prospect. Aucun refus ou blocage mentionné à ce stade.</v>
      </c>
      <c r="J79" s="8" t="s">
        <v>302</v>
      </c>
      <c r="K79" s="8" t="s">
        <v>52</v>
      </c>
      <c r="L79" s="9" cm="1" t="str">
        <f t="array" ref="L79">IF(C79="","",IF(K79="Mort / Plus rien à faire","KO","OK"))</f>
        <v>OK</v>
      </c>
      <c r="M79" s="15">
        <v>46108.69771990741</v>
      </c>
      <c r="N79" s="15" cm="1" t="n">
        <f t="array" ref="N79">IF(OR(C79="",M79="",M79=0),"",M79)</f>
        <v>46108.69771990741</v>
      </c>
      <c r="O79" s="15">
</c>
      <c r="P79" s="15" cm="1" t="str">
        <f t="array" ref="P79">IF(C79="","",IF(OR(O79="",O79=0),"-",O79))</f>
        <v>-</v>
      </c>
      <c r="Q79" s="16">
        <v>0</v>
      </c>
      <c r="R79" s="16" cm="1" t="str">
        <f t="array" ref="R79">IF(C79="","",ROUND(Q79/1000000,3)&amp;" M€")</f>
        <v>0 M€</v>
      </c>
      <c r="S79" s="12" t="s">
        <v>192</v>
      </c>
      <c r="T79" s="9" cm="1" t="str">
        <f t="array" ref="T79">IF(C79="","",SUBSTITUTE(S79,"","")&amp;"%")</f>
        <v>10%</v>
      </c>
      <c r="U79" s="14" cm="1" t="str">
        <f t="array" ref="U79">IF(($N79="")*($P79=""),"",IF(($N79&lt;&gt;"")*($N79&gt;TODAY()-9)*($N79&lt;TODAY()+1)*($P79&lt;&gt;"")*($P79&gt;=TODAY())*($P79&lt;=TODAY()+13),"Semaine passée &amp; à venir",IF(($N79&lt;&gt;"")*($N79&gt;TODAY()-9)*($N79&lt;TODAY()+1),"Semaine passée",IF(($P79&lt;&gt;"")*($P79&gt;=TODAY())*($P79&lt;=TODAY()+13),"À venir","Autre"))))</f>
        <v>Autre</v>
      </c>
      <c r="V79" s="8" cm="1" t="n">
        <f t="array" ref="V79">IF(C79&lt;&gt;"",1,0)</f>
        <v>1</v>
      </c>
      <c r="W79" s="8">
</c>
      <c r="X79" s="8">
</c>
      <c r="Y79" s="8">
</c>
      <c r="Z79" s="8">
</c>
      <c r="AA79" s="8">
</c>
      <c r="AB79" s="8">
</c>
      <c r="AC79" s="8">
</c>
      <c r="AD79" s="8">
</c>
      <c r="AE79" s="8">
</c>
      <c r="AF79" s="8">
</c>
      <c r="AG79" s="8">
</c>
      <c r="AH79" s="8">
</c>
      <c r="AI79" s="8">
</c>
      <c r="AJ79" s="8">
</c>
      <c r="AK79" s="8">
</c>
    </row>
    <row r="80" ht="76.5" customHeight="1">
      <c r="A80" s="9" t="s">
        <v>23</v>
      </c>
      <c r="B80" s="9" t="s">
        <v>170</v>
      </c>
      <c r="C80" s="12" t="s">
        <v>303</v>
      </c>
      <c r="D80" s="12" t="s">
        <v>304</v>
      </c>
      <c r="E80" s="9" t="s">
        <v>39</v>
      </c>
      <c r="F80" s="8" t="s">
        <v>305</v>
      </c>
      <c r="G80" s="13" cm="1" t="str">
        <f t="array" ref="G80">IF(F80="","",SUBSTITUTE(SUBSTITUTE(SUBSTITUTE(SUBSTITUTE(F80,"&lt;li&gt;",CHAR(10)),"&lt;/li&gt;",""),"&lt;br&gt;",CHAR(10)),"&lt;strong&gt;",""))</f>
        <v>&lt;p&gt;Piste créée équipe Ventes. Tentative enrichissement lead échouée (email invalide). Échange sur fonds deeptech et remploi clients, pas de retour prospect ni prochaines étapes identifiées. Aucune activité complémentaire, pas de conclusion prospect sur fonds présentés.&lt;/p&gt;</v>
      </c>
      <c r="H80" s="13" cm="1" t="str">
        <f t="array" ref="H80">IF(G80="","",SUBSTITUTE(SUBSTITUTE(SUBSTITUTE(SUBSTITUTE(SUBSTITUTE(G80,"&lt;p&gt;",""),"&lt;/p&gt;",""),"&lt;ul&gt;",""),"&lt;/ul&gt;",""),"&lt;/strong&gt;",""))</f>
        <v>Piste créée équipe Ventes. Tentative enrichissement lead échouée (email invalide). Échange sur fonds deeptech et remploi clients, pas de retour prospect ni prochaines étapes identifiées. Aucune activité complémentaire, pas de conclusion prospect sur fonds présentés.</v>
      </c>
      <c r="I80" s="14" cm="1" t="str">
        <f t="array" ref="I80">IF(C80="","",IF(OR(H80="",H80=0,H80=FALSE),"-",H80))</f>
        <v>Piste créée équipe Ventes. Tentative enrichissement lead échouée (email invalide). Échange sur fonds deeptech et remploi clients, pas de retour prospect ni prochaines étapes identifiées. Aucune activité complémentaire, pas de conclusion prospect sur fonds présentés.</v>
      </c>
      <c r="J80" s="8">
</c>
      <c r="K80" s="8" t="s">
        <v>52</v>
      </c>
      <c r="L80" s="9" cm="1" t="str">
        <f t="array" ref="L80">IF(C80="","",IF(K80="Mort / Plus rien à faire","KO","OK"))</f>
        <v>OK</v>
      </c>
      <c r="M80" s="15">
        <v>46050.696539351855</v>
      </c>
      <c r="N80" s="15" cm="1" t="n">
        <f t="array" ref="N80">IF(OR(C80="",M80="",M80=0),"",M80)</f>
        <v>46050.696539351855</v>
      </c>
      <c r="O80" s="15">
</c>
      <c r="P80" s="15" cm="1" t="str">
        <f t="array" ref="P80">IF(C80="","",IF(OR(O80="",O80=0),"-",O80))</f>
        <v>-</v>
      </c>
      <c r="Q80" s="16">
        <v>0</v>
      </c>
      <c r="R80" s="16" cm="1" t="str">
        <f t="array" ref="R80">IF(C80="","",ROUND(Q80/1000000,3)&amp;" M€")</f>
        <v>0 M€</v>
      </c>
      <c r="S80" s="12" t="s">
        <v>192</v>
      </c>
      <c r="T80" s="9" cm="1" t="str">
        <f t="array" ref="T80">IF(C80="","",SUBSTITUTE(S80,"","")&amp;"%")</f>
        <v>10%</v>
      </c>
      <c r="U80" s="14" cm="1" t="str">
        <f t="array" ref="U80">IF(($N80="")*($P80=""),"",IF(($N80&lt;&gt;"")*($N80&gt;TODAY()-9)*($N80&lt;TODAY()+1)*($P80&lt;&gt;"")*($P80&gt;=TODAY())*($P80&lt;=TODAY()+13),"Semaine passée &amp; à venir",IF(($N80&lt;&gt;"")*($N80&gt;TODAY()-9)*($N80&lt;TODAY()+1),"Semaine passée",IF(($P80&lt;&gt;"")*($P80&gt;=TODAY())*($P80&lt;=TODAY()+13),"À venir","Autre"))))</f>
        <v>Autre</v>
      </c>
      <c r="V80" s="8" cm="1" t="n">
        <f t="array" ref="V80">IF(C80&lt;&gt;"",1,0)</f>
        <v>1</v>
      </c>
      <c r="W80" s="8">
</c>
      <c r="X80" s="8">
</c>
      <c r="Y80" s="8">
</c>
      <c r="Z80" s="8">
</c>
      <c r="AA80" s="8">
</c>
      <c r="AB80" s="8">
</c>
      <c r="AC80" s="8">
</c>
      <c r="AD80" s="8">
</c>
      <c r="AE80" s="8">
</c>
      <c r="AF80" s="8">
</c>
      <c r="AG80" s="8">
</c>
      <c r="AH80" s="8">
</c>
      <c r="AI80" s="8">
</c>
      <c r="AJ80" s="8">
</c>
      <c r="AK80" s="8">
</c>
    </row>
    <row r="81" ht="76.5" customHeight="1">
      <c r="A81" s="9" t="s">
        <v>23</v>
      </c>
      <c r="B81" s="9" t="s">
        <v>157</v>
      </c>
      <c r="C81" s="12" t="s">
        <v>306</v>
      </c>
      <c r="D81" s="12" t="s">
        <v>307</v>
      </c>
      <c r="E81" s="9" t="s">
        <v>27</v>
      </c>
      <c r="F81" s="8" t="s">
        <v>308</v>
      </c>
      <c r="G81" s="13" cm="1" t="str">
        <f t="array" ref="G81">IF(F81="","",SUBSTITUTE(SUBSTITUTE(SUBSTITUTE(SUBSTITUTE(F81,"&lt;li&gt;",CHAR(10)),"&lt;/li&gt;",""),"&lt;br&gt;",CHAR(10)),"&lt;strong&gt;",""))</f>
        <v>&lt;p&gt;Nouvelle piste créée pour équipe Ventes par Romain Andrieu. Aucun échange, action ou retour prospect enregistré à ce jour. Pas d'activité, pas de suivi, aucune prochaine étape planifiée. Aucun retour ni conclusion prospect sur les fonds présentés. Aucun contexte de création détaillé mentionné.&lt;/p&gt;</v>
      </c>
      <c r="H81" s="13" cm="1" t="str">
        <f t="array" ref="H81">IF(G81="","",SUBSTITUTE(SUBSTITUTE(SUBSTITUTE(SUBSTITUTE(SUBSTITUTE(G81,"&lt;p&gt;",""),"&lt;/p&gt;",""),"&lt;ul&gt;",""),"&lt;/ul&gt;",""),"&lt;/strong&gt;",""))</f>
        <v>Nouvelle piste créée pour équipe Ventes par Romain Andrieu. Aucun échange, action ou retour prospect enregistré à ce jour. Pas d'activité, pas de suivi, aucune prochaine étape planifiée. Aucun retour ni conclusion prospect sur les fonds présentés. Aucun contexte de création détaillé mentionné.</v>
      </c>
      <c r="I81" s="14" cm="1" t="str">
        <f t="array" ref="I81">IF(C81="","",IF(OR(H81="",H81=0,H81=FALSE),"-",H81))</f>
        <v>Nouvelle piste créée pour équipe Ventes par Romain Andrieu. Aucun échange, action ou retour prospect enregistré à ce jour. Pas d'activité, pas de suivi, aucune prochaine étape planifiée. Aucun retour ni conclusion prospect sur les fonds présentés. Aucun contexte de création détaillé mentionné.</v>
      </c>
      <c r="J81" s="8" t="s">
        <v>309</v>
      </c>
      <c r="K81" s="8" t="s">
        <v>162</v>
      </c>
      <c r="L81" s="9" cm="1" t="str">
        <f t="array" ref="L81">IF(C81="","",IF(K81="Mort / Plus rien à faire","KO","OK"))</f>
        <v>OK</v>
      </c>
      <c r="M81" s="15">
        <v>46121.860763888886</v>
      </c>
      <c r="N81" s="15" cm="1" t="n">
        <f t="array" ref="N81">IF(OR(C81="",M81="",M81=0),"",M81)</f>
        <v>46121.860763888886</v>
      </c>
      <c r="O81" s="15">
</c>
      <c r="P81" s="15" cm="1" t="str">
        <f t="array" ref="P81">IF(C81="","",IF(OR(O81="",O81=0),"-",O81))</f>
        <v>-</v>
      </c>
      <c r="Q81" s="16">
        <v>0</v>
      </c>
      <c r="R81" s="16" cm="1" t="str">
        <f t="array" ref="R81">IF(C81="","",ROUND(Q81/1000000,3)&amp;" M€")</f>
        <v>0 M€</v>
      </c>
      <c r="S81" s="12" t="s">
        <v>192</v>
      </c>
      <c r="T81" s="9" cm="1" t="str">
        <f t="array" ref="T81">IF(C81="","",SUBSTITUTE(S81,"","")&amp;"%")</f>
        <v>10%</v>
      </c>
      <c r="U81" s="14" cm="1" t="str">
        <f t="array" ref="U81">IF(($N81="")*($P81=""),"",IF(($N81&lt;&gt;"")*($N81&gt;TODAY()-9)*($N81&lt;TODAY()+1)*($P81&lt;&gt;"")*($P81&gt;=TODAY())*($P81&lt;=TODAY()+13),"Semaine passée &amp; à venir",IF(($N81&lt;&gt;"")*($N81&gt;TODAY()-9)*($N81&lt;TODAY()+1),"Semaine passée",IF(($P81&lt;&gt;"")*($P81&gt;=TODAY())*($P81&lt;=TODAY()+13),"À venir","Autre"))))</f>
        <v>Autre</v>
      </c>
      <c r="V81" s="8" cm="1" t="n">
        <f t="array" ref="V81">IF(C81&lt;&gt;"",1,0)</f>
        <v>1</v>
      </c>
      <c r="W81" s="8">
</c>
      <c r="X81" s="8">
</c>
      <c r="Y81" s="8">
</c>
      <c r="Z81" s="8">
</c>
      <c r="AA81" s="8">
</c>
      <c r="AB81" s="8">
</c>
      <c r="AC81" s="8">
</c>
      <c r="AD81" s="8">
</c>
      <c r="AE81" s="8">
</c>
      <c r="AF81" s="8">
</c>
      <c r="AG81" s="8">
</c>
      <c r="AH81" s="8">
</c>
      <c r="AI81" s="8">
</c>
      <c r="AJ81" s="8">
</c>
      <c r="AK81" s="8">
</c>
    </row>
    <row r="82" ht="76.5" customHeight="1">
      <c r="A82" s="9" t="s">
        <v>23</v>
      </c>
      <c r="B82" s="9" t="s">
        <v>36</v>
      </c>
      <c r="C82" s="12" t="s">
        <v>270</v>
      </c>
      <c r="D82" s="12" t="s">
        <v>310</v>
      </c>
      <c r="E82" s="9" t="s">
        <v>39</v>
      </c>
      <c r="F82" s="8" t="s">
        <v>311</v>
      </c>
      <c r="G82" s="13" cm="1" t="str">
        <f t="array" ref="G82">IF(F82="","",SUBSTITUTE(SUBSTITUTE(SUBSTITUTE(SUBSTITUTE(F82,"&lt;li&gt;",CHAR(10)),"&lt;/li&gt;",""),"&lt;br&gt;",CHAR(10)),"&lt;strong&gt;",""))</f>
        <v>&lt;p&gt;Nouvelle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jour.&lt;/p&gt;</v>
      </c>
      <c r="H82" s="13" cm="1" t="str">
        <f t="array" ref="H82">IF(G82="","",SUBSTITUTE(SUBSTITUTE(SUBSTITUTE(SUBSTITUTE(SUBSTITUTE(G82,"&lt;p&gt;",""),"&lt;/p&gt;",""),"&lt;ul&gt;",""),"&lt;/ul&gt;",""),"&lt;/strong&gt;",""))</f>
        <v>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v>
      </c>
      <c r="I82" s="14" cm="1" t="str">
        <f t="array" ref="I82">IF(C82="","",IF(OR(H82="",H82=0,H82=FALSE),"-",H82))</f>
        <v>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v>
      </c>
      <c r="J82" s="8">
</c>
      <c r="K82" s="8" t="s">
        <v>52</v>
      </c>
      <c r="L82" s="9" cm="1" t="str">
        <f t="array" ref="L82">IF(C82="","",IF(K82="Mort / Plus rien à faire","KO","OK"))</f>
        <v>OK</v>
      </c>
      <c r="M82" s="15">
        <v>46094.76366898148</v>
      </c>
      <c r="N82" s="15" cm="1" t="n">
        <f t="array" ref="N82">IF(OR(C82="",M82="",M82=0),"",M82)</f>
        <v>46094.76366898148</v>
      </c>
      <c r="O82" s="15">
</c>
      <c r="P82" s="15" cm="1" t="str">
        <f t="array" ref="P82">IF(C82="","",IF(OR(O82="",O82=0),"-",O82))</f>
        <v>-</v>
      </c>
      <c r="Q82" s="16">
        <v>0</v>
      </c>
      <c r="R82" s="16" cm="1" t="str">
        <f t="array" ref="R82">IF(C82="","",ROUND(Q82/1000000,3)&amp;" M€")</f>
        <v>0 M€</v>
      </c>
      <c r="S82" s="12" t="s">
        <v>192</v>
      </c>
      <c r="T82" s="9" cm="1" t="str">
        <f t="array" ref="T82">IF(C82="","",SUBSTITUTE(S82,"","")&amp;"%")</f>
        <v>10%</v>
      </c>
      <c r="U82" s="14" cm="1" t="str">
        <f t="array" ref="U82">IF(($N82="")*($P82=""),"",IF(($N82&lt;&gt;"")*($N82&gt;TODAY()-9)*($N82&lt;TODAY()+1)*($P82&lt;&gt;"")*($P82&gt;=TODAY())*($P82&lt;=TODAY()+13),"Semaine passée &amp; à venir",IF(($N82&lt;&gt;"")*($N82&gt;TODAY()-9)*($N82&lt;TODAY()+1),"Semaine passée",IF(($P82&lt;&gt;"")*($P82&gt;=TODAY())*($P82&lt;=TODAY()+13),"À venir","Autre"))))</f>
        <v>Autre</v>
      </c>
      <c r="V82" s="8" cm="1" t="n">
        <f t="array" ref="V82">IF(C82&lt;&gt;"",1,0)</f>
        <v>1</v>
      </c>
      <c r="W82" s="8">
</c>
      <c r="X82" s="8">
</c>
      <c r="Y82" s="8">
</c>
      <c r="Z82" s="8">
</c>
      <c r="AA82" s="8">
</c>
      <c r="AB82" s="8">
</c>
      <c r="AC82" s="8">
</c>
      <c r="AD82" s="8">
</c>
      <c r="AE82" s="8">
</c>
      <c r="AF82" s="8">
</c>
      <c r="AG82" s="8">
</c>
      <c r="AH82" s="8">
</c>
      <c r="AI82" s="8">
</c>
      <c r="AJ82" s="8">
</c>
      <c r="AK82" s="8">
</c>
    </row>
    <row r="83" ht="76.5" customHeight="1">
      <c r="A83" s="9" t="s">
        <v>23</v>
      </c>
      <c r="B83" s="9" t="s">
        <v>32</v>
      </c>
      <c r="C83" s="12" t="s">
        <v>312</v>
      </c>
      <c r="D83" s="12" t="s">
        <v>313</v>
      </c>
      <c r="E83" s="9" t="s">
        <v>27</v>
      </c>
      <c r="F83" s="8" t="s">
        <v>314</v>
      </c>
      <c r="G83" s="13" cm="1" t="str">
        <f t="array" ref="G83">IF(F83="","",SUBSTITUTE(SUBSTITUTE(SUBSTITUTE(SUBSTITUTE(F83,"&lt;li&gt;",CHAR(10)),"&lt;/li&gt;",""),"&lt;br&gt;",CHAR(10)),"&lt;strong&gt;",""))</f>
        <v>&lt;p&gt;13/01/2026 : deck envoyé, à alimenter en 2026. Lead créé pour équipe Ventes. Tentative d'enrichissement échouée (email non valide). Aucune activité ni échange prospect identifié depuis, pas de retour ni prochaine étape précisée. Suivi à relancer ou compléter.&lt;/p&gt;</v>
      </c>
      <c r="H83" s="13" cm="1" t="str">
        <f t="array" ref="H83">IF(G83="","",SUBSTITUTE(SUBSTITUTE(SUBSTITUTE(SUBSTITUTE(SUBSTITUTE(G83,"&lt;p&gt;",""),"&lt;/p&gt;",""),"&lt;ul&gt;",""),"&lt;/ul&gt;",""),"&lt;/strong&gt;",""))</f>
        <v>13/01/2026 : deck envoyé, à alimenter en 2026. Lead créé pour équipe Ventes. Tentative d'enrichissement échouée (email non valide). Aucune activité ni échange prospect identifié depuis, pas de retour ni prochaine étape précisée. Suivi à relancer ou compléter.</v>
      </c>
      <c r="I83" s="14" cm="1" t="str">
        <f t="array" ref="I83">IF(C83="","",IF(OR(H83="",H83=0,H83=FALSE),"-",H83))</f>
        <v>13/01/2026 : deck envoyé, à alimenter en 2026. Lead créé pour équipe Ventes. Tentative d'enrichissement échouée (email non valide). Aucune activité ni échange prospect identifié depuis, pas de retour ni prochaine étape précisée. Suivi à relancer ou compléter.</v>
      </c>
      <c r="J83" s="8">
</c>
      <c r="K83" s="8" t="s">
        <v>52</v>
      </c>
      <c r="L83" s="9" cm="1" t="str">
        <f t="array" ref="L83">IF(C83="","",IF(K83="Mort / Plus rien à faire","KO","OK"))</f>
        <v>OK</v>
      </c>
      <c r="M83" s="15">
        <v>46064.51675925926</v>
      </c>
      <c r="N83" s="15" cm="1" t="n">
        <f t="array" ref="N83">IF(OR(C83="",M83="",M83=0),"",M83)</f>
        <v>46064.51675925926</v>
      </c>
      <c r="O83" s="15">
</c>
      <c r="P83" s="15" cm="1" t="str">
        <f t="array" ref="P83">IF(C83="","",IF(OR(O83="",O83=0),"-",O83))</f>
        <v>-</v>
      </c>
      <c r="Q83" s="16">
        <v>2000000</v>
      </c>
      <c r="R83" s="16" cm="1" t="str">
        <f t="array" ref="R83">IF(C83="","",ROUND(Q83/1000000,3)&amp;" M€")</f>
        <v>2 M€</v>
      </c>
      <c r="S83" s="12" t="s">
        <v>192</v>
      </c>
      <c r="T83" s="9" cm="1" t="str">
        <f t="array" ref="T83">IF(C83="","",SUBSTITUTE(S83,"","")&amp;"%")</f>
        <v>10%</v>
      </c>
      <c r="U83" s="14" cm="1" t="str">
        <f t="array" ref="U83">IF(($N83="")*($P83=""),"",IF(($N83&lt;&gt;"")*($N83&gt;TODAY()-9)*($N83&lt;TODAY()+1)*($P83&lt;&gt;"")*($P83&gt;=TODAY())*($P83&lt;=TODAY()+13),"Semaine passée &amp; à venir",IF(($N83&lt;&gt;"")*($N83&gt;TODAY()-9)*($N83&lt;TODAY()+1),"Semaine passée",IF(($P83&lt;&gt;"")*($P83&gt;=TODAY())*($P83&lt;=TODAY()+13),"À venir","Autre"))))</f>
        <v>Autre</v>
      </c>
      <c r="V83" s="8" cm="1" t="n">
        <f t="array" ref="V83">IF(C83&lt;&gt;"",1,0)</f>
        <v>1</v>
      </c>
      <c r="W83" s="8">
</c>
      <c r="X83" s="8">
</c>
      <c r="Y83" s="8">
</c>
      <c r="Z83" s="8">
</c>
      <c r="AA83" s="8">
</c>
      <c r="AB83" s="8">
</c>
      <c r="AC83" s="8">
</c>
      <c r="AD83" s="8">
</c>
      <c r="AE83" s="8">
</c>
      <c r="AF83" s="8">
</c>
      <c r="AG83" s="8">
</c>
      <c r="AH83" s="8">
</c>
      <c r="AI83" s="8">
</c>
      <c r="AJ83" s="8">
</c>
      <c r="AK83" s="8">
</c>
    </row>
    <row r="84" ht="76.5" customHeight="1">
      <c r="A84" s="9" t="s">
        <v>23</v>
      </c>
      <c r="B84" s="9" t="s">
        <v>53</v>
      </c>
      <c r="C84" s="12" t="s">
        <v>315</v>
      </c>
      <c r="D84" s="12" t="s">
        <v>316</v>
      </c>
      <c r="E84" s="9" t="s">
        <v>55</v>
      </c>
      <c r="F84" s="8" t="s">
        <v>317</v>
      </c>
      <c r="G84" s="13" cm="1" t="str">
        <f t="array" ref="G84">IF(F84="","",SUBSTITUTE(SUBSTITUTE(SUBSTITUTE(SUBSTITUTE(F84,"&lt;li&gt;",CHAR(10)),"&lt;/li&gt;",""),"&lt;br&gt;",CHAR(10)),"&lt;strong&gt;",""))</f>
        <v>&lt;p&gt;Nouvelle piste créée pour équipe Ventes. Client évoque remploi possible Straton et géodésie, montant 450K. Pas d'autres actions ou retours prospect mentionnés. Prochaines étapes non précisées, aucune activité future planifiée à ce stade.&lt;/p&gt;</v>
      </c>
      <c r="H84" s="13" cm="1" t="str">
        <f t="array" ref="H84">IF(G84="","",SUBSTITUTE(SUBSTITUTE(SUBSTITUTE(SUBSTITUTE(SUBSTITUTE(G84,"&lt;p&gt;",""),"&lt;/p&gt;",""),"&lt;ul&gt;",""),"&lt;/ul&gt;",""),"&lt;/strong&gt;",""))</f>
        <v>Nouvelle piste créée pour équipe Ventes. Client évoque remploi possible Straton et géodésie, montant 450K. Pas d'autres actions ou retours prospect mentionnés. Prochaines étapes non précisées, aucune activité future planifiée à ce stade.</v>
      </c>
      <c r="I84" s="14" cm="1" t="str">
        <f t="array" ref="I84">IF(C84="","",IF(OR(H84="",H84=0,H84=FALSE),"-",H84))</f>
        <v>Nouvelle piste créée pour équipe Ventes. Client évoque remploi possible Straton et géodésie, montant 450K. Pas d'autres actions ou retours prospect mentionnés. Prochaines étapes non précisées, aucune activité future planifiée à ce stade.</v>
      </c>
      <c r="J84" s="8">
</c>
      <c r="K84" s="8" t="s">
        <v>52</v>
      </c>
      <c r="L84" s="9" cm="1" t="str">
        <f t="array" ref="L84">IF(C84="","",IF(K84="Mort / Plus rien à faire","KO","OK"))</f>
        <v>OK</v>
      </c>
      <c r="M84" s="15">
        <v>46129.708865740744</v>
      </c>
      <c r="N84" s="15" cm="1" t="n">
        <f t="array" ref="N84">IF(OR(C84="",M84="",M84=0),"",M84)</f>
        <v>46129.708865740744</v>
      </c>
      <c r="O84" s="15">
</c>
      <c r="P84" s="15" cm="1" t="str">
        <f t="array" ref="P84">IF(C84="","",IF(OR(O84="",O84=0),"-",O84))</f>
        <v>-</v>
      </c>
      <c r="Q84" s="16">
        <v>450000</v>
      </c>
      <c r="R84" s="16" cm="1" t="str">
        <f t="array" ref="R84">IF(C84="","",ROUND(Q84/1000000,3)&amp;" M€")</f>
        <v>0.45 M€</v>
      </c>
      <c r="S84" s="12" t="s">
        <v>192</v>
      </c>
      <c r="T84" s="9" cm="1" t="str">
        <f t="array" ref="T84">IF(C84="","",SUBSTITUTE(S84,"","")&amp;"%")</f>
        <v>10%</v>
      </c>
      <c r="U84" s="14" cm="1" t="str">
        <f t="array" ref="U84">IF(($N84="")*($P84=""),"",IF(($N84&lt;&gt;"")*($N84&gt;TODAY()-9)*($N84&lt;TODAY()+1)*($P84&lt;&gt;"")*($P84&gt;=TODAY())*($P84&lt;=TODAY()+13),"Semaine passée &amp; à venir",IF(($N84&lt;&gt;"")*($N84&gt;TODAY()-9)*($N84&lt;TODAY()+1),"Semaine passée",IF(($P84&lt;&gt;"")*($P84&gt;=TODAY())*($P84&lt;=TODAY()+13),"À venir","Autre"))))</f>
        <v>Autre</v>
      </c>
      <c r="V84" s="8" cm="1" t="n">
        <f t="array" ref="V84">IF(C84&lt;&gt;"",1,0)</f>
        <v>1</v>
      </c>
      <c r="W84" s="8">
</c>
      <c r="X84" s="8">
</c>
      <c r="Y84" s="8">
</c>
      <c r="Z84" s="8">
</c>
      <c r="AA84" s="8">
</c>
      <c r="AB84" s="8">
</c>
      <c r="AC84" s="8">
</c>
      <c r="AD84" s="8">
</c>
      <c r="AE84" s="8">
</c>
      <c r="AF84" s="8">
</c>
      <c r="AG84" s="8">
</c>
      <c r="AH84" s="8">
</c>
      <c r="AI84" s="8">
</c>
      <c r="AJ84" s="8">
</c>
      <c r="AK84" s="8">
</c>
    </row>
    <row r="85" ht="76.5" customHeight="1">
      <c r="A85" s="9" t="s">
        <v>23</v>
      </c>
      <c r="B85" s="9" t="s">
        <v>86</v>
      </c>
      <c r="C85" s="12" t="s">
        <v>318</v>
      </c>
      <c r="D85" s="12" t="s">
        <v>319</v>
      </c>
      <c r="E85" s="9" t="s">
        <v>27</v>
      </c>
      <c r="F85" s="8" t="s">
        <v>320</v>
      </c>
      <c r="G85" s="13" cm="1" t="str">
        <f t="array" ref="G85">IF(F85="","",SUBSTITUTE(SUBSTITUTE(SUBSTITUTE(SUBSTITUTE(F85,"&lt;li&gt;",CHAR(10)),"&lt;/li&gt;",""),"&lt;br&gt;",CHAR(10)),"&lt;strong&gt;",""))</f>
        <v>&lt;p&gt;Relances suite départ O. Groleau, contact établi avec successeur D. Tomi. Plusieurs relances mail en janv. 2026. RDV physique 24/03/2026 avec JY Mary : refus sur fonds non cotés, allocations PE saturées, aucun dossier examiné à ce stade. Attente évolution situation, pas d'action prévue.&lt;/p&gt;</v>
      </c>
      <c r="H85" s="13" cm="1" t="str">
        <f t="array" ref="H85">IF(G85="","",SUBSTITUTE(SUBSTITUTE(SUBSTITUTE(SUBSTITUTE(SUBSTITUTE(G85,"&lt;p&gt;",""),"&lt;/p&gt;",""),"&lt;ul&gt;",""),"&lt;/ul&gt;",""),"&lt;/strong&gt;",""))</f>
        <v>Relances suite départ O. Groleau, contact établi avec successeur D. Tomi. Plusieurs relances mail en janv. 2026. RDV physique 24/03/2026 avec JY Mary : refus sur fonds non cotés, allocations PE saturées, aucun dossier examiné à ce stade. Attente évolution situation, pas d'action prévue.</v>
      </c>
      <c r="I85" s="14" cm="1" t="str">
        <f t="array" ref="I85">IF(C85="","",IF(OR(H85="",H85=0,H85=FALSE),"-",H85))</f>
        <v>Relances suite départ O. Groleau, contact établi avec successeur D. Tomi. Plusieurs relances mail en janv. 2026. RDV physique 24/03/2026 avec JY Mary : refus sur fonds non cotés, allocations PE saturées, aucun dossier examiné à ce stade. Attente évolution situation, pas d'action prévue.</v>
      </c>
      <c r="J85" s="8" t="s">
        <v>321</v>
      </c>
      <c r="K85" s="8" t="s">
        <v>95</v>
      </c>
      <c r="L85" s="9" cm="1" t="str">
        <f t="array" ref="L85">IF(C85="","",IF(K85="Mort / Plus rien à faire","KO","OK"))</f>
        <v>OK</v>
      </c>
      <c r="M85" s="15">
        <v>46105.648726851854</v>
      </c>
      <c r="N85" s="15" cm="1" t="n">
        <f t="array" ref="N85">IF(OR(C85="",M85="",M85=0),"",M85)</f>
        <v>46105.648726851854</v>
      </c>
      <c r="O85" s="15">
        <v>46391.041666666664</v>
      </c>
      <c r="P85" s="15" cm="1" t="n">
        <f t="array" ref="P85">IF(C85="","",IF(OR(O85="",O85=0),"-",O85))</f>
        <v>46391.041666666664</v>
      </c>
      <c r="Q85" s="16">
        <v>0</v>
      </c>
      <c r="R85" s="16" cm="1" t="str">
        <f t="array" ref="R85">IF(C85="","",ROUND(Q85/1000000,3)&amp;" M€")</f>
        <v>0 M€</v>
      </c>
      <c r="S85" s="12" t="s">
        <v>192</v>
      </c>
      <c r="T85" s="9" cm="1" t="str">
        <f t="array" ref="T85">IF(C85="","",SUBSTITUTE(S85,"","")&amp;"%")</f>
        <v>10%</v>
      </c>
      <c r="U85" s="14" cm="1" t="str">
        <f t="array" ref="U85">IF(($N85="")*($P85=""),"",IF(($N85&lt;&gt;"")*($N85&gt;TODAY()-9)*($N85&lt;TODAY()+1)*($P85&lt;&gt;"")*($P85&gt;=TODAY())*($P85&lt;=TODAY()+13),"Semaine passée &amp; à venir",IF(($N85&lt;&gt;"")*($N85&gt;TODAY()-9)*($N85&lt;TODAY()+1),"Semaine passée",IF(($P85&lt;&gt;"")*($P85&gt;=TODAY())*($P85&lt;=TODAY()+13),"À venir","Autre"))))</f>
        <v>Autre</v>
      </c>
      <c r="V85" s="8" cm="1" t="n">
        <f t="array" ref="V85">IF(C85&lt;&gt;"",1,0)</f>
        <v>1</v>
      </c>
      <c r="W85" s="8">
</c>
      <c r="X85" s="8">
</c>
      <c r="Y85" s="8">
</c>
      <c r="Z85" s="8">
</c>
      <c r="AA85" s="8">
</c>
      <c r="AB85" s="8">
</c>
      <c r="AC85" s="8">
</c>
      <c r="AD85" s="8">
</c>
      <c r="AE85" s="8">
</c>
      <c r="AF85" s="8">
</c>
      <c r="AG85" s="8">
</c>
      <c r="AH85" s="8">
</c>
      <c r="AI85" s="8">
</c>
      <c r="AJ85" s="8">
</c>
      <c r="AK85" s="8">
</c>
    </row>
    <row r="86" ht="76.5" customHeight="1">
      <c r="A86" s="9" t="s">
        <v>23</v>
      </c>
      <c r="B86" s="9" t="s">
        <v>322</v>
      </c>
      <c r="C86" s="12" t="s">
        <v>323</v>
      </c>
      <c r="D86" s="12" t="s">
        <v>324</v>
      </c>
      <c r="E86" s="9" t="s">
        <v>27</v>
      </c>
      <c r="F86" s="8" t="s">
        <v>325</v>
      </c>
      <c r="G86" s="13" cm="1" t="str">
        <f t="array" ref="G86">IF(F86="","",SUBSTITUTE(SUBSTITUTE(SUBSTITUTE(SUBSTITUTE(F86,"&lt;li&gt;",CHAR(10)),"&lt;/li&gt;",""),"&lt;br&gt;",CHAR(10)),"&lt;strong&gt;",""))</f>
        <v>&lt;p&gt;Multiples RDV et relances avec Pierre Tessier, Louis Potvin, Danielle Filistin, Georges Mitchell. Désintérêt Desjardins pour fonds hors Québec, ouverture possible si gérant local. Mandat SIPAREX gagné, suivi sur deeptech/défense. Position Desjardins évolutive, attente retour. Prochaines étapes : échange à finaliser, relance prévue fin avril.&lt;/p&gt;</v>
      </c>
      <c r="H86" s="13" cm="1" t="str">
        <f t="array" ref="H86">IF(G86="","",SUBSTITUTE(SUBSTITUTE(SUBSTITUTE(SUBSTITUTE(SUBSTITUTE(G86,"&lt;p&gt;",""),"&lt;/p&gt;",""),"&lt;ul&gt;",""),"&lt;/ul&gt;",""),"&lt;/strong&gt;",""))</f>
        <v>Multiples RDV et relances avec Pierre Tessier, Louis Potvin, Danielle Filistin, Georges Mitchell. Désintérêt Desjardins pour fonds hors Québec, ouverture possible si gérant local. Mandat SIPAREX gagné, suivi sur deeptech/défense. Position Desjardins évolutive, attente retour. Prochaines étapes : échange à finaliser, relance prévue fin avril.</v>
      </c>
      <c r="I86" s="14" cm="1" t="str">
        <f t="array" ref="I86">IF(C86="","",IF(OR(H86="",H86=0,H86=FALSE),"-",H86))</f>
        <v>Multiples RDV et relances avec Pierre Tessier, Louis Potvin, Danielle Filistin, Georges Mitchell. Désintérêt Desjardins pour fonds hors Québec, ouverture possible si gérant local. Mandat SIPAREX gagné, suivi sur deeptech/défense. Position Desjardins évolutive, attente retour. Prochaines étapes : échange à finaliser, relance prévue fin avril.</v>
      </c>
      <c r="J86" s="8" t="s">
        <v>326</v>
      </c>
      <c r="K86" s="8" t="s">
        <v>52</v>
      </c>
      <c r="L86" s="9" cm="1" t="str">
        <f t="array" ref="L86">IF(C86="","",IF(K86="Mort / Plus rien à faire","KO","OK"))</f>
        <v>OK</v>
      </c>
      <c r="M86" s="15">
        <v>46129.75266203703</v>
      </c>
      <c r="N86" s="15" cm="1" t="n">
        <f t="array" ref="N86">IF(OR(C86="",M86="",M86=0),"",M86)</f>
        <v>46129.75266203703</v>
      </c>
      <c r="O86" s="15">
</c>
      <c r="P86" s="15" cm="1" t="str">
        <f t="array" ref="P86">IF(C86="","",IF(OR(O86="",O86=0),"-",O86))</f>
        <v>-</v>
      </c>
      <c r="Q86" s="16">
        <v>0</v>
      </c>
      <c r="R86" s="16" cm="1" t="str">
        <f t="array" ref="R86">IF(C86="","",ROUND(Q86/1000000,3)&amp;" M€")</f>
        <v>0 M€</v>
      </c>
      <c r="S86" s="12" t="s">
        <v>192</v>
      </c>
      <c r="T86" s="9" cm="1" t="str">
        <f t="array" ref="T86">IF(C86="","",SUBSTITUTE(S86,"","")&amp;"%")</f>
        <v>10%</v>
      </c>
      <c r="U86" s="14" cm="1" t="str">
        <f t="array" ref="U86">IF(($N86="")*($P86=""),"",IF(($N86&lt;&gt;"")*($N86&gt;TODAY()-9)*($N86&lt;TODAY()+1)*($P86&lt;&gt;"")*($P86&gt;=TODAY())*($P86&lt;=TODAY()+13),"Semaine passée &amp; à venir",IF(($N86&lt;&gt;"")*($N86&gt;TODAY()-9)*($N86&lt;TODAY()+1),"Semaine passée",IF(($P86&lt;&gt;"")*($P86&gt;=TODAY())*($P86&lt;=TODAY()+13),"À venir","Autre"))))</f>
        <v>Autre</v>
      </c>
      <c r="V86" s="8" cm="1" t="n">
        <f t="array" ref="V86">IF(C86&lt;&gt;"",1,0)</f>
        <v>1</v>
      </c>
      <c r="W86" s="8">
</c>
      <c r="X86" s="8">
</c>
      <c r="Y86" s="8">
</c>
      <c r="Z86" s="8">
</c>
      <c r="AA86" s="8">
</c>
      <c r="AB86" s="8">
</c>
      <c r="AC86" s="8">
</c>
      <c r="AD86" s="8">
</c>
      <c r="AE86" s="8">
</c>
      <c r="AF86" s="8">
</c>
      <c r="AG86" s="8">
</c>
      <c r="AH86" s="8">
</c>
      <c r="AI86" s="8">
</c>
      <c r="AJ86" s="8">
</c>
      <c r="AK86" s="8">
</c>
    </row>
    <row r="87" ht="76.5" customHeight="1">
      <c r="A87" s="9" t="s">
        <v>23</v>
      </c>
      <c r="B87" s="9" t="s">
        <v>113</v>
      </c>
      <c r="C87" s="12" t="s">
        <v>163</v>
      </c>
      <c r="D87" s="12" t="s">
        <v>327</v>
      </c>
      <c r="E87" s="9" t="s">
        <v>27</v>
      </c>
      <c r="F87" s="8" t="s">
        <v>328</v>
      </c>
      <c r="G87" s="13" cm="1" t="str">
        <f t="array" ref="G87">IF(F87="","",SUBSTITUTE(SUBSTITUTE(SUBSTITUTE(SUBSTITUTE(F87,"&lt;li&gt;",CHAR(10)),"&lt;/li&gt;",""),"&lt;br&gt;",CHAR(10)),"&lt;strong&gt;",""))</f>
        <v>&lt;p&gt;RDV physique 30/01/26 avec Olivia Laplane (BPCE SA) : animation CE/BP BITD, référent défense par caisse, prise de parole prévue mars 2026. Prospect connectée au webinar Straton, montée en gamme validée, cible témoignage Straton 9 avril. En attente de commande. Prochaine action : pousser offre retail HNWIO.&lt;/p&gt;</v>
      </c>
      <c r="H87" s="13" cm="1" t="str">
        <f t="array" ref="H87">IF(G87="","",SUBSTITUTE(SUBSTITUTE(SUBSTITUTE(SUBSTITUTE(SUBSTITUTE(G87,"&lt;p&gt;",""),"&lt;/p&gt;",""),"&lt;ul&gt;",""),"&lt;/ul&gt;",""),"&lt;/strong&gt;",""))</f>
        <v>RDV physique 30/01/26 avec Olivia Laplane (BPCE SA) : animation CE/BP BITD, référent défense par caisse, prise de parole prévue mars 2026. Prospect connectée au webinar Straton, montée en gamme validée, cible témoignage Straton 9 avril. En attente de commande. Prochaine action : pousser offre retail HNWIO.</v>
      </c>
      <c r="I87" s="14" cm="1" t="str">
        <f t="array" ref="I87">IF(C87="","",IF(OR(H87="",H87=0,H87=FALSE),"-",H87))</f>
        <v>RDV physique 30/01/26 avec Olivia Laplane (BPCE SA) : animation CE/BP BITD, référent défense par caisse, prise de parole prévue mars 2026. Prospect connectée au webinar Straton, montée en gamme validée, cible témoignage Straton 9 avril. En attente de commande. Prochaine action : pousser offre retail HNWIO.</v>
      </c>
      <c r="J87" s="8">
</c>
      <c r="K87" s="8" t="s">
        <v>52</v>
      </c>
      <c r="L87" s="9" cm="1" t="str">
        <f t="array" ref="L87">IF(C87="","",IF(K87="Mort / Plus rien à faire","KO","OK"))</f>
        <v>OK</v>
      </c>
      <c r="M87" s="15">
        <v>46063.697905092595</v>
      </c>
      <c r="N87" s="15" cm="1" t="n">
        <f t="array" ref="N87">IF(OR(C87="",M87="",M87=0),"",M87)</f>
        <v>46063.697905092595</v>
      </c>
      <c r="O87" s="15">
</c>
      <c r="P87" s="15" cm="1" t="str">
        <f t="array" ref="P87">IF(C87="","",IF(OR(O87="",O87=0),"-",O87))</f>
        <v>-</v>
      </c>
      <c r="Q87" s="16">
        <v>0</v>
      </c>
      <c r="R87" s="16" cm="1" t="str">
        <f t="array" ref="R87">IF(C87="","",ROUND(Q87/1000000,3)&amp;" M€")</f>
        <v>0 M€</v>
      </c>
      <c r="S87" s="12" t="s">
        <v>192</v>
      </c>
      <c r="T87" s="9" cm="1" t="str">
        <f t="array" ref="T87">IF(C87="","",SUBSTITUTE(S87,"","")&amp;"%")</f>
        <v>10%</v>
      </c>
      <c r="U87" s="14" cm="1" t="str">
        <f t="array" ref="U87">IF(($N87="")*($P87=""),"",IF(($N87&lt;&gt;"")*($N87&gt;TODAY()-9)*($N87&lt;TODAY()+1)*($P87&lt;&gt;"")*($P87&gt;=TODAY())*($P87&lt;=TODAY()+13),"Semaine passée &amp; à venir",IF(($N87&lt;&gt;"")*($N87&gt;TODAY()-9)*($N87&lt;TODAY()+1),"Semaine passée",IF(($P87&lt;&gt;"")*($P87&gt;=TODAY())*($P87&lt;=TODAY()+13),"À venir","Autre"))))</f>
        <v>Autre</v>
      </c>
      <c r="V87" s="8" cm="1" t="n">
        <f t="array" ref="V87">IF(C87&lt;&gt;"",1,0)</f>
        <v>1</v>
      </c>
      <c r="W87" s="8">
</c>
      <c r="X87" s="8">
</c>
      <c r="Y87" s="8">
</c>
      <c r="Z87" s="8">
</c>
      <c r="AA87" s="8">
</c>
      <c r="AB87" s="8">
</c>
      <c r="AC87" s="8">
</c>
      <c r="AD87" s="8">
</c>
      <c r="AE87" s="8">
</c>
      <c r="AF87" s="8">
</c>
      <c r="AG87" s="8">
</c>
      <c r="AH87" s="8">
</c>
      <c r="AI87" s="8">
</c>
      <c r="AJ87" s="8">
</c>
      <c r="AK87" s="8">
</c>
    </row>
    <row r="88" ht="76.5" customHeight="1">
      <c r="A88" s="9" t="s">
        <v>23</v>
      </c>
      <c r="B88" s="9" t="s">
        <v>322</v>
      </c>
      <c r="C88" s="12" t="s">
        <v>323</v>
      </c>
      <c r="D88" s="12" t="s">
        <v>329</v>
      </c>
      <c r="E88" s="9" t="s">
        <v>27</v>
      </c>
      <c r="F88" s="8" t="s">
        <v>330</v>
      </c>
      <c r="G88" s="13" cm="1" t="str">
        <f t="array" ref="G88">IF(F88="","",SUBSTITUTE(SUBSTITUTE(SUBSTITUTE(SUBSTITUTE(F88,"&lt;li&gt;",CHAR(10)),"&lt;/li&gt;",""),"&lt;br&gt;",CHAR(10)),"&lt;strong&gt;",""))</f>
        <v>&lt;p&gt;RDV physique réalisé, position du prospect en évolution mais non finalisée. Discussion à poursuivre une fois la décision communiquée. Louis Potvin ajouté en copie pour suivi. Prochaine étape : caler un RDV de suivi avec Pierre Teisser. Pas de retour définitif du prospect sur les fonds à ce stade.&lt;/p&gt;</v>
      </c>
      <c r="H88" s="13" cm="1" t="str">
        <f t="array" ref="H88">IF(G88="","",SUBSTITUTE(SUBSTITUTE(SUBSTITUTE(SUBSTITUTE(SUBSTITUTE(G88,"&lt;p&gt;",""),"&lt;/p&gt;",""),"&lt;ul&gt;",""),"&lt;/ul&gt;",""),"&lt;/strong&gt;",""))</f>
        <v>RDV physique réalisé, position du prospect en évolution mais non finalisée. Discussion à poursuivre une fois la décision communiquée. Louis Potvin ajouté en copie pour suivi. Prochaine étape : caler un RDV de suivi avec Pierre Teisser. Pas de retour définitif du prospect sur les fonds à ce stade.</v>
      </c>
      <c r="I88" s="14" cm="1" t="str">
        <f t="array" ref="I88">IF(C88="","",IF(OR(H88="",H88=0,H88=FALSE),"-",H88))</f>
        <v>RDV physique réalisé, position du prospect en évolution mais non finalisée. Discussion à poursuivre une fois la décision communiquée. Louis Potvin ajouté en copie pour suivi. Prochaine étape : caler un RDV de suivi avec Pierre Teisser. Pas de retour définitif du prospect sur les fonds à ce stade.</v>
      </c>
      <c r="J88" s="8">
</c>
      <c r="K88" s="8" t="s">
        <v>162</v>
      </c>
      <c r="L88" s="9" cm="1" t="str">
        <f t="array" ref="L88">IF(C88="","",IF(K88="Mort / Plus rien à faire","KO","OK"))</f>
        <v>OK</v>
      </c>
      <c r="M88" s="15">
        <v>46127.35114583333</v>
      </c>
      <c r="N88" s="15" cm="1" t="n">
        <f t="array" ref="N88">IF(OR(C88="",M88="",M88=0),"",M88)</f>
        <v>46127.35114583333</v>
      </c>
      <c r="O88" s="15">
</c>
      <c r="P88" s="15" cm="1" t="str">
        <f t="array" ref="P88">IF(C88="","",IF(OR(O88="",O88=0),"-",O88))</f>
        <v>-</v>
      </c>
      <c r="Q88" s="16">
        <v>0</v>
      </c>
      <c r="R88" s="16" cm="1" t="str">
        <f t="array" ref="R88">IF(C88="","",ROUND(Q88/1000000,3)&amp;" M€")</f>
        <v>0 M€</v>
      </c>
      <c r="S88" s="12" t="s">
        <v>192</v>
      </c>
      <c r="T88" s="9" cm="1" t="str">
        <f t="array" ref="T88">IF(C88="","",SUBSTITUTE(S88,"","")&amp;"%")</f>
        <v>10%</v>
      </c>
      <c r="U88" s="14" cm="1" t="str">
        <f t="array" ref="U88">IF(($N88="")*($P88=""),"",IF(($N88&lt;&gt;"")*($N88&gt;TODAY()-9)*($N88&lt;TODAY()+1)*($P88&lt;&gt;"")*($P88&gt;=TODAY())*($P88&lt;=TODAY()+13),"Semaine passée &amp; à venir",IF(($N88&lt;&gt;"")*($N88&gt;TODAY()-9)*($N88&lt;TODAY()+1),"Semaine passée",IF(($P88&lt;&gt;"")*($P88&gt;=TODAY())*($P88&lt;=TODAY()+13),"À venir","Autre"))))</f>
        <v>Autre</v>
      </c>
      <c r="V88" s="8" cm="1" t="n">
        <f t="array" ref="V88">IF(C88&lt;&gt;"",1,0)</f>
        <v>1</v>
      </c>
      <c r="W88" s="8">
</c>
      <c r="X88" s="8">
</c>
      <c r="Y88" s="8">
</c>
      <c r="Z88" s="8">
</c>
      <c r="AA88" s="8">
</c>
      <c r="AB88" s="8">
</c>
      <c r="AC88" s="8">
</c>
      <c r="AD88" s="8">
</c>
      <c r="AE88" s="8">
</c>
      <c r="AF88" s="8">
</c>
      <c r="AG88" s="8">
</c>
      <c r="AH88" s="8">
</c>
      <c r="AI88" s="8">
</c>
      <c r="AJ88" s="8">
</c>
      <c r="AK88" s="8">
</c>
    </row>
    <row r="89" ht="76.5" customHeight="1">
      <c r="A89" s="9" t="s">
        <v>23</v>
      </c>
      <c r="B89" s="9" t="s">
        <v>86</v>
      </c>
      <c r="C89" s="12" t="s">
        <v>331</v>
      </c>
      <c r="D89" s="12" t="s">
        <v>332</v>
      </c>
      <c r="E89" s="9" t="s">
        <v>27</v>
      </c>
      <c r="F89" s="8" t="s">
        <v>333</v>
      </c>
      <c r="G89" s="13" cm="1" t="str">
        <f t="array" ref="G89">IF(F89="","",SUBSTITUTE(SUBSTITUTE(SUBSTITUTE(SUBSTITUTE(F89,"&lt;li&gt;",CHAR(10)),"&lt;/li&gt;",""),"&lt;br&gt;",CHAR(10)),"&lt;strong&gt;",""))</f>
        <v>&lt;p&gt;Aucune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ferroviaires.&lt;/p&gt;</v>
      </c>
      <c r="H89" s="13" cm="1" t="str">
        <f t="array" ref="H89">IF(G89="","",SUBSTITUTE(SUBSTITUTE(SUBSTITUTE(SUBSTITUTE(SUBSTITUTE(G89,"&lt;p&gt;",""),"&lt;/p&gt;",""),"&lt;ul&gt;",""),"&lt;/ul&gt;",""),"&lt;/strong&gt;",""))</f>
        <v>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v>
      </c>
      <c r="I89" s="14" cm="1" t="str">
        <f t="array" ref="I89">IF(C89="","",IF(OR(H89="",H89=0,H89=FALSE),"-",H89))</f>
        <v>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v>
      </c>
      <c r="J89" s="8">
</c>
      <c r="K89" s="8" t="s">
        <v>162</v>
      </c>
      <c r="L89" s="9" cm="1" t="str">
        <f t="array" ref="L89">IF(C89="","",IF(K89="Mort / Plus rien à faire","KO","OK"))</f>
        <v>OK</v>
      </c>
      <c r="M89" s="15">
        <v>46028.566458333335</v>
      </c>
      <c r="N89" s="15" cm="1" t="n">
        <f t="array" ref="N89">IF(OR(C89="",M89="",M89=0),"",M89)</f>
        <v>46028.566458333335</v>
      </c>
      <c r="O89" s="15">
</c>
      <c r="P89" s="15" cm="1" t="str">
        <f t="array" ref="P89">IF(C89="","",IF(OR(O89="",O89=0),"-",O89))</f>
        <v>-</v>
      </c>
      <c r="Q89" s="16">
        <v>0</v>
      </c>
      <c r="R89" s="16" cm="1" t="str">
        <f t="array" ref="R89">IF(C89="","",ROUND(Q89/1000000,3)&amp;" M€")</f>
        <v>0 M€</v>
      </c>
      <c r="S89" s="12" t="s">
        <v>192</v>
      </c>
      <c r="T89" s="9" cm="1" t="str">
        <f t="array" ref="T89">IF(C89="","",SUBSTITUTE(S89,"","")&amp;"%")</f>
        <v>10%</v>
      </c>
      <c r="U89" s="14" cm="1" t="str">
        <f t="array" ref="U89">IF(($N89="")*($P89=""),"",IF(($N89&lt;&gt;"")*($N89&gt;TODAY()-9)*($N89&lt;TODAY()+1)*($P89&lt;&gt;"")*($P89&gt;=TODAY())*($P89&lt;=TODAY()+13),"Semaine passée &amp; à venir",IF(($N89&lt;&gt;"")*($N89&gt;TODAY()-9)*($N89&lt;TODAY()+1),"Semaine passée",IF(($P89&lt;&gt;"")*($P89&gt;=TODAY())*($P89&lt;=TODAY()+13),"À venir","Autre"))))</f>
        <v>Autre</v>
      </c>
      <c r="V89" s="8" cm="1" t="n">
        <f t="array" ref="V89">IF(C89&lt;&gt;"",1,0)</f>
        <v>1</v>
      </c>
      <c r="W89" s="8">
</c>
      <c r="X89" s="8">
</c>
      <c r="Y89" s="8">
</c>
      <c r="Z89" s="8">
</c>
      <c r="AA89" s="8">
</c>
      <c r="AB89" s="8">
</c>
      <c r="AC89" s="8">
</c>
      <c r="AD89" s="8">
</c>
      <c r="AE89" s="8">
</c>
      <c r="AF89" s="8">
</c>
      <c r="AG89" s="8">
</c>
      <c r="AH89" s="8">
</c>
      <c r="AI89" s="8">
</c>
      <c r="AJ89" s="8">
</c>
      <c r="AK89" s="8">
</c>
    </row>
    <row r="90" ht="76.5" customHeight="1">
      <c r="A90" s="9" t="s">
        <v>23</v>
      </c>
      <c r="B90" s="9" t="s">
        <v>24</v>
      </c>
      <c r="C90" s="12" t="s">
        <v>334</v>
      </c>
      <c r="D90" s="12" t="s">
        <v>335</v>
      </c>
      <c r="E90" s="9" t="s">
        <v>27</v>
      </c>
      <c r="F90" s="8" t="s">
        <v>336</v>
      </c>
      <c r="G90" s="13" cm="1" t="str">
        <f t="array" ref="G90">IF(F90="","",SUBSTITUTE(SUBSTITUTE(SUBSTITUTE(SUBSTITUTE(F90,"&lt;li&gt;",CHAR(10)),"&lt;/li&gt;",""),"&lt;br&gt;",CHAR(10)),"&lt;strong&gt;",""))</f>
        <v>&lt;p&gt;Déjeuner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Brevet.&lt;/p&gt;</v>
      </c>
      <c r="H90" s="13" cm="1" t="str">
        <f t="array" ref="H90">IF(G90="","",SUBSTITUTE(SUBSTITUTE(SUBSTITUTE(SUBSTITUTE(SUBSTITUTE(G90,"&lt;p&gt;",""),"&lt;/p&gt;",""),"&lt;ul&gt;",""),"&lt;/ul&gt;",""),"&lt;/strong&gt;",""))</f>
        <v>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v>
      </c>
      <c r="I90" s="14" cm="1" t="str">
        <f t="array" ref="I90">IF(C90="","",IF(OR(H90="",H90=0,H90=FALSE),"-",H90))</f>
        <v>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v>
      </c>
      <c r="J90" s="8" t="s">
        <v>337</v>
      </c>
      <c r="K90" s="8" t="s">
        <v>109</v>
      </c>
      <c r="L90" s="9" cm="1" t="str">
        <f t="array" ref="L90">IF(C90="","",IF(K90="Mort / Plus rien à faire","KO","OK"))</f>
        <v>OK</v>
      </c>
      <c r="M90" s="15">
        <v>46087.673622685186</v>
      </c>
      <c r="N90" s="15" cm="1" t="n">
        <f t="array" ref="N90">IF(OR(C90="",M90="",M90=0),"",M90)</f>
        <v>46087.673622685186</v>
      </c>
      <c r="O90" s="15">
        <v>46328.041666666664</v>
      </c>
      <c r="P90" s="15" cm="1" t="n">
        <f t="array" ref="P90">IF(C90="","",IF(OR(O90="",O90=0),"-",O90))</f>
        <v>46328.041666666664</v>
      </c>
      <c r="Q90" s="16">
        <v>2000000</v>
      </c>
      <c r="R90" s="16" cm="1" t="str">
        <f t="array" ref="R90">IF(C90="","",ROUND(Q90/1000000,3)&amp;" M€")</f>
        <v>2 M€</v>
      </c>
      <c r="S90" s="12" t="s">
        <v>192</v>
      </c>
      <c r="T90" s="9" cm="1" t="str">
        <f t="array" ref="T90">IF(C90="","",SUBSTITUTE(S90,"","")&amp;"%")</f>
        <v>10%</v>
      </c>
      <c r="U90" s="14" cm="1" t="str">
        <f t="array" ref="U90">IF(($N90="")*($P90=""),"",IF(($N90&lt;&gt;"")*($N90&gt;TODAY()-9)*($N90&lt;TODAY()+1)*($P90&lt;&gt;"")*($P90&gt;=TODAY())*($P90&lt;=TODAY()+13),"Semaine passée &amp; à venir",IF(($N90&lt;&gt;"")*($N90&gt;TODAY()-9)*($N90&lt;TODAY()+1),"Semaine passée",IF(($P90&lt;&gt;"")*($P90&gt;=TODAY())*($P90&lt;=TODAY()+13),"À venir","Autre"))))</f>
        <v>Autre</v>
      </c>
      <c r="V90" s="8" cm="1" t="n">
        <f t="array" ref="V90">IF(C90&lt;&gt;"",1,0)</f>
        <v>1</v>
      </c>
      <c r="W90" s="8">
</c>
      <c r="X90" s="8">
</c>
      <c r="Y90" s="8">
</c>
      <c r="Z90" s="8">
</c>
      <c r="AA90" s="8">
</c>
      <c r="AB90" s="8">
</c>
      <c r="AC90" s="8">
</c>
      <c r="AD90" s="8">
</c>
      <c r="AE90" s="8">
</c>
      <c r="AF90" s="8">
</c>
      <c r="AG90" s="8">
</c>
      <c r="AH90" s="8">
</c>
      <c r="AI90" s="8">
</c>
      <c r="AJ90" s="8">
</c>
      <c r="AK90" s="8">
</c>
    </row>
    <row r="91" ht="76.5" customHeight="1">
      <c r="A91" s="9" t="s">
        <v>23</v>
      </c>
      <c r="B91" s="9" t="s">
        <v>53</v>
      </c>
      <c r="C91" s="12" t="s">
        <v>338</v>
      </c>
      <c r="D91" s="12" t="s">
        <v>338</v>
      </c>
      <c r="E91" s="9" t="s">
        <v>27</v>
      </c>
      <c r="F91" s="8" t="s">
        <v>339</v>
      </c>
      <c r="G91" s="13" cm="1" t="str">
        <f t="array" ref="G91">IF(F91="","",SUBSTITUTE(SUBSTITUTE(SUBSTITUTE(SUBSTITUTE(F91,"&lt;li&gt;",CHAR(10)),"&lt;/li&gt;",""),"&lt;br&gt;",CHAR(10)),"&lt;strong&gt;",""))</f>
        <v>&lt;p&gt;Piste créée équipe Ventes. Pas d'enrichissement société via email. RDV physique prévu fin d'année après vente 300 ha à Reims (apple entrant STRATON). Aucun retour prospect sur fonds présenté. Prochaine étape : RDV 2 fin d'année. Pas d'autres actions ou retours notables à date.&lt;/p&gt;</v>
      </c>
      <c r="H91" s="13" cm="1" t="str">
        <f t="array" ref="H91">IF(G91="","",SUBSTITUTE(SUBSTITUTE(SUBSTITUTE(SUBSTITUTE(SUBSTITUTE(G91,"&lt;p&gt;",""),"&lt;/p&gt;",""),"&lt;ul&gt;",""),"&lt;/ul&gt;",""),"&lt;/strong&gt;",""))</f>
        <v>Piste créée équipe Ventes. Pas d'enrichissement société via email. RDV physique prévu fin d'année après vente 300 ha à Reims (apple entrant STRATON). Aucun retour prospect sur fonds présenté. Prochaine étape : RDV 2 fin d'année. Pas d'autres actions ou retours notables à date.</v>
      </c>
      <c r="I91" s="14" cm="1" t="str">
        <f t="array" ref="I91">IF(C91="","",IF(OR(H91="",H91=0,H91=FALSE),"-",H91))</f>
        <v>Piste créée équipe Ventes. Pas d'enrichissement société via email. RDV physique prévu fin d'année après vente 300 ha à Reims (apple entrant STRATON). Aucun retour prospect sur fonds présenté. Prochaine étape : RDV 2 fin d'année. Pas d'autres actions ou retours notables à date.</v>
      </c>
      <c r="J91" s="8" t="s">
        <v>340</v>
      </c>
      <c r="K91" s="8" t="s">
        <v>95</v>
      </c>
      <c r="L91" s="9" cm="1" t="str">
        <f t="array" ref="L91">IF(C91="","",IF(K91="Mort / Plus rien à faire","KO","OK"))</f>
        <v>OK</v>
      </c>
      <c r="M91" s="15">
        <v>46125.59150462963</v>
      </c>
      <c r="N91" s="15" cm="1" t="n">
        <f t="array" ref="N91">IF(OR(C91="",M91="",M91=0),"",M91)</f>
        <v>46125.59150462963</v>
      </c>
      <c r="O91" s="15">
        <v>46329.041666666664</v>
      </c>
      <c r="P91" s="15" cm="1" t="n">
        <f t="array" ref="P91">IF(C91="","",IF(OR(O91="",O91=0),"-",O91))</f>
        <v>46329.041666666664</v>
      </c>
      <c r="Q91" s="16">
        <v>100000</v>
      </c>
      <c r="R91" s="16" cm="1" t="str">
        <f t="array" ref="R91">IF(C91="","",ROUND(Q91/1000000,3)&amp;" M€")</f>
        <v>0.1 M€</v>
      </c>
      <c r="S91" s="12" t="s">
        <v>192</v>
      </c>
      <c r="T91" s="9" cm="1" t="str">
        <f t="array" ref="T91">IF(C91="","",SUBSTITUTE(S91,"","")&amp;"%")</f>
        <v>10%</v>
      </c>
      <c r="U91" s="14" cm="1" t="str">
        <f t="array" ref="U91">IF(($N91="")*($P91=""),"",IF(($N91&lt;&gt;"")*($N91&gt;TODAY()-9)*($N91&lt;TODAY()+1)*($P91&lt;&gt;"")*($P91&gt;=TODAY())*($P91&lt;=TODAY()+13),"Semaine passée &amp; à venir",IF(($N91&lt;&gt;"")*($N91&gt;TODAY()-9)*($N91&lt;TODAY()+1),"Semaine passée",IF(($P91&lt;&gt;"")*($P91&gt;=TODAY())*($P91&lt;=TODAY()+13),"À venir","Autre"))))</f>
        <v>Autre</v>
      </c>
      <c r="V91" s="8" cm="1" t="n">
        <f t="array" ref="V91">IF(C91&lt;&gt;"",1,0)</f>
        <v>1</v>
      </c>
      <c r="W91" s="8">
</c>
      <c r="X91" s="8">
</c>
      <c r="Y91" s="8">
</c>
      <c r="Z91" s="8">
</c>
      <c r="AA91" s="8">
</c>
      <c r="AB91" s="8">
</c>
      <c r="AC91" s="8">
</c>
      <c r="AD91" s="8">
</c>
      <c r="AE91" s="8">
</c>
      <c r="AF91" s="8">
</c>
      <c r="AG91" s="8">
</c>
      <c r="AH91" s="8">
</c>
      <c r="AI91" s="8">
</c>
      <c r="AJ91" s="8">
</c>
      <c r="AK91" s="8">
</c>
    </row>
    <row r="92" ht="76.5" customHeight="1">
      <c r="A92" s="9" t="s">
        <v>23</v>
      </c>
      <c r="B92" s="9" t="s">
        <v>32</v>
      </c>
      <c r="C92" s="12" t="s">
        <v>341</v>
      </c>
      <c r="D92" s="12" t="s">
        <v>342</v>
      </c>
      <c r="E92" s="9" t="s">
        <v>27</v>
      </c>
      <c r="F92" s="8" t="s">
        <v>343</v>
      </c>
      <c r="G92" s="13" cm="1" t="str">
        <f t="array" ref="G92">IF(F92="","",SUBSTITUTE(SUBSTITUTE(SUBSTITUTE(SUBSTITUTE(F92,"&lt;li&gt;",CHAR(10)),"&lt;/li&gt;",""),"&lt;br&gt;",CHAR(10)),"&lt;strong&gt;",""))</f>
        <v>&lt;p&gt;RDV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2026.&lt;/p&gt;</v>
      </c>
      <c r="H92" s="13" cm="1" t="str">
        <f t="array" ref="H92">IF(G92="","",SUBSTITUTE(SUBSTITUTE(SUBSTITUTE(SUBSTITUTE(SUBSTITUTE(G92,"&lt;p&gt;",""),"&lt;/p&gt;",""),"&lt;ul&gt;",""),"&lt;/ul&gt;",""),"&lt;/strong&gt;",""))</f>
        <v>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v>
      </c>
      <c r="I92" s="14" cm="1" t="str">
        <f t="array" ref="I92">IF(C92="","",IF(OR(H92="",H92=0,H92=FALSE),"-",H92))</f>
        <v>RDV physique 2/2 : Boris gère tout l'AUM hors CT/stratégique, 40Mds€. Défense SIENNA IM/100M€ (30M LFMWeinberg), 50M€ en signature. UNOFI : 15% en rachat par Malakoff, intégration probable 2026. Prochaines étapes : déjeuner fin juin, attente RDV N de Chatellus/OdP, Straton à revoir rentrée 2026.</v>
      </c>
      <c r="J92" s="8">
</c>
      <c r="K92" s="8" t="s">
        <v>162</v>
      </c>
      <c r="L92" s="9" cm="1" t="str">
        <f t="array" ref="L92">IF(C92="","",IF(K92="Mort / Plus rien à faire","KO","OK"))</f>
        <v>OK</v>
      </c>
      <c r="M92" s="15">
        <v>46055.764328703706</v>
      </c>
      <c r="N92" s="15" cm="1" t="n">
        <f t="array" ref="N92">IF(OR(C92="",M92="",M92=0),"",M92)</f>
        <v>46055.764328703706</v>
      </c>
      <c r="O92" s="15">
</c>
      <c r="P92" s="15" cm="1" t="str">
        <f t="array" ref="P92">IF(C92="","",IF(OR(O92="",O92=0),"-",O92))</f>
        <v>-</v>
      </c>
      <c r="Q92" s="16">
        <v>0</v>
      </c>
      <c r="R92" s="16" cm="1" t="str">
        <f t="array" ref="R92">IF(C92="","",ROUND(Q92/1000000,3)&amp;" M€")</f>
        <v>0 M€</v>
      </c>
      <c r="S92" s="12" t="s">
        <v>192</v>
      </c>
      <c r="T92" s="9" cm="1" t="str">
        <f t="array" ref="T92">IF(C92="","",SUBSTITUTE(S92,"","")&amp;"%")</f>
        <v>10%</v>
      </c>
      <c r="U92" s="14" cm="1" t="str">
        <f t="array" ref="U92">IF(($N92="")*($P92=""),"",IF(($N92&lt;&gt;"")*($N92&gt;TODAY()-9)*($N92&lt;TODAY()+1)*($P92&lt;&gt;"")*($P92&gt;=TODAY())*($P92&lt;=TODAY()+13),"Semaine passée &amp; à venir",IF(($N92&lt;&gt;"")*($N92&gt;TODAY()-9)*($N92&lt;TODAY()+1),"Semaine passée",IF(($P92&lt;&gt;"")*($P92&gt;=TODAY())*($P92&lt;=TODAY()+13),"À venir","Autre"))))</f>
        <v>Autre</v>
      </c>
      <c r="V92" s="8" cm="1" t="n">
        <f t="array" ref="V92">IF(C92&lt;&gt;"",1,0)</f>
        <v>1</v>
      </c>
      <c r="W92" s="8">
</c>
      <c r="X92" s="8">
</c>
      <c r="Y92" s="8">
</c>
      <c r="Z92" s="8">
</c>
      <c r="AA92" s="8">
</c>
      <c r="AB92" s="8">
</c>
      <c r="AC92" s="8">
</c>
      <c r="AD92" s="8">
</c>
      <c r="AE92" s="8">
</c>
      <c r="AF92" s="8">
</c>
      <c r="AG92" s="8">
</c>
      <c r="AH92" s="8">
</c>
      <c r="AI92" s="8">
</c>
      <c r="AJ92" s="8">
</c>
      <c r="AK92" s="8">
</c>
    </row>
    <row r="93" ht="76.5" customHeight="1">
      <c r="A93" s="9" t="s">
        <v>23</v>
      </c>
      <c r="B93" s="9" t="s">
        <v>113</v>
      </c>
      <c r="C93" s="12" t="s">
        <v>344</v>
      </c>
      <c r="D93" s="12" t="s">
        <v>345</v>
      </c>
      <c r="E93" s="9" t="s">
        <v>27</v>
      </c>
      <c r="F93" s="8" t="s">
        <v>346</v>
      </c>
      <c r="G93" s="13" cm="1" t="str">
        <f t="array" ref="G93">IF(F93="","",SUBSTITUTE(SUBSTITUTE(SUBSTITUTE(SUBSTITUTE(F93,"&lt;li&gt;",CHAR(10)),"&lt;/li&gt;",""),"&lt;br&gt;",CHAR(10)),"&lt;strong&gt;",""))</f>
        <v>&lt;p&gt;05/01/25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défense.&lt;/p&gt;</v>
      </c>
      <c r="H93" s="13" cm="1" t="str">
        <f t="array" ref="H93">IF(G93="","",SUBSTITUTE(SUBSTITUTE(SUBSTITUTE(SUBSTITUTE(SUBSTITUTE(G93,"&lt;p&gt;",""),"&lt;/p&gt;",""),"&lt;ul&gt;",""),"&lt;/ul&gt;",""),"&lt;/strong&gt;",""))</f>
        <v>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v>
      </c>
      <c r="I93" s="14" cm="1" t="str">
        <f t="array" ref="I93">IF(C93="","",IF(OR(H93="",H93=0,H93=FALSE),"-",H93))</f>
        <v>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v>
      </c>
      <c r="J93" s="8">
</c>
      <c r="K93" s="8" t="s">
        <v>162</v>
      </c>
      <c r="L93" s="9" cm="1" t="str">
        <f t="array" ref="L93">IF(C93="","",IF(K93="Mort / Plus rien à faire","KO","OK"))</f>
        <v>OK</v>
      </c>
      <c r="M93" s="15">
        <v>46028.55883101852</v>
      </c>
      <c r="N93" s="15" cm="1" t="n">
        <f t="array" ref="N93">IF(OR(C93="",M93="",M93=0),"",M93)</f>
        <v>46028.55883101852</v>
      </c>
      <c r="O93" s="15">
</c>
      <c r="P93" s="15" cm="1" t="str">
        <f t="array" ref="P93">IF(C93="","",IF(OR(O93="",O93=0),"-",O93))</f>
        <v>-</v>
      </c>
      <c r="Q93" s="16">
        <v>0</v>
      </c>
      <c r="R93" s="16" cm="1" t="str">
        <f t="array" ref="R93">IF(C93="","",ROUND(Q93/1000000,3)&amp;" M€")</f>
        <v>0 M€</v>
      </c>
      <c r="S93" s="12" t="s">
        <v>192</v>
      </c>
      <c r="T93" s="9" cm="1" t="str">
        <f t="array" ref="T93">IF(C93="","",SUBSTITUTE(S93,"","")&amp;"%")</f>
        <v>10%</v>
      </c>
      <c r="U93" s="14" cm="1" t="str">
        <f t="array" ref="U93">IF(($N93="")*($P93=""),"",IF(($N93&lt;&gt;"")*($N93&gt;TODAY()-9)*($N93&lt;TODAY()+1)*($P93&lt;&gt;"")*($P93&gt;=TODAY())*($P93&lt;=TODAY()+13),"Semaine passée &amp; à venir",IF(($N93&lt;&gt;"")*($N93&gt;TODAY()-9)*($N93&lt;TODAY()+1),"Semaine passée",IF(($P93&lt;&gt;"")*($P93&gt;=TODAY())*($P93&lt;=TODAY()+13),"À venir","Autre"))))</f>
        <v>Autre</v>
      </c>
      <c r="V93" s="8" cm="1" t="n">
        <f t="array" ref="V93">IF(C93&lt;&gt;"",1,0)</f>
        <v>1</v>
      </c>
      <c r="W93" s="8">
</c>
      <c r="X93" s="8">
</c>
      <c r="Y93" s="8">
</c>
      <c r="Z93" s="8">
</c>
      <c r="AA93" s="8">
</c>
      <c r="AB93" s="8">
</c>
      <c r="AC93" s="8">
</c>
      <c r="AD93" s="8">
</c>
      <c r="AE93" s="8">
</c>
      <c r="AF93" s="8">
</c>
      <c r="AG93" s="8">
</c>
      <c r="AH93" s="8">
</c>
      <c r="AI93" s="8">
</c>
      <c r="AJ93" s="8">
</c>
      <c r="AK93" s="8">
</c>
    </row>
    <row r="94" ht="76.5" customHeight="1">
      <c r="A94" s="9" t="s">
        <v>23</v>
      </c>
      <c r="B94" s="9" t="s">
        <v>53</v>
      </c>
      <c r="C94" s="12" t="s">
        <v>347</v>
      </c>
      <c r="D94" s="12" t="s">
        <v>347</v>
      </c>
      <c r="E94" s="9" t="s">
        <v>39</v>
      </c>
      <c r="F94" s="8" t="s">
        <v>348</v>
      </c>
      <c r="G94" s="13" cm="1" t="str">
        <f t="array" ref="G94">IF(F94="","",SUBSTITUTE(SUBSTITUTE(SUBSTITUTE(SUBSTITUTE(F94,"&lt;li&gt;",CHAR(10)),"&lt;/li&gt;",""),"&lt;br&gt;",CHAR(10)),"&lt;strong&gt;",""))</f>
        <v>&lt;p&gt;Intérêt initial pour diversification/remploi (ex-CEO SDG Matjys). Café le 24/02, ticket jugé trop important par prospect. Dernier échange : prospect se consacre à l'achat de son appartement, projet mis en pause. Prochaine action : prise de news prévue le 04/01/2027.&lt;/p&gt;</v>
      </c>
      <c r="H94" s="13" cm="1" t="str">
        <f t="array" ref="H94">IF(G94="","",SUBSTITUTE(SUBSTITUTE(SUBSTITUTE(SUBSTITUTE(SUBSTITUTE(G94,"&lt;p&gt;",""),"&lt;/p&gt;",""),"&lt;ul&gt;",""),"&lt;/ul&gt;",""),"&lt;/strong&gt;",""))</f>
        <v>Intérêt initial pour diversification/remploi (ex-CEO SDG Matjys). Café le 24/02, ticket jugé trop important par prospect. Dernier échange : prospect se consacre à l'achat de son appartement, projet mis en pause. Prochaine action : prise de news prévue le 04/01/2027.</v>
      </c>
      <c r="I94" s="14" cm="1" t="str">
        <f t="array" ref="I94">IF(C94="","",IF(OR(H94="",H94=0,H94=FALSE),"-",H94))</f>
        <v>Intérêt initial pour diversification/remploi (ex-CEO SDG Matjys). Café le 24/02, ticket jugé trop important par prospect. Dernier échange : prospect se consacre à l'achat de son appartement, projet mis en pause. Prochaine action : prise de news prévue le 04/01/2027.</v>
      </c>
      <c r="J94" s="8" t="s">
        <v>349</v>
      </c>
      <c r="K94" s="8" t="s">
        <v>95</v>
      </c>
      <c r="L94" s="9" cm="1" t="str">
        <f t="array" ref="L94">IF(C94="","",IF(K94="Mort / Plus rien à faire","KO","OK"))</f>
        <v>OK</v>
      </c>
      <c r="M94" s="15">
        <v>46087.70153935185</v>
      </c>
      <c r="N94" s="15" cm="1" t="n">
        <f t="array" ref="N94">IF(OR(C94="",M94="",M94=0),"",M94)</f>
        <v>46087.70153935185</v>
      </c>
      <c r="O94" s="15">
        <v>46391.041666666664</v>
      </c>
      <c r="P94" s="15" cm="1" t="n">
        <f t="array" ref="P94">IF(C94="","",IF(OR(O94="",O94=0),"-",O94))</f>
        <v>46391.041666666664</v>
      </c>
      <c r="Q94" s="16">
        <v>0</v>
      </c>
      <c r="R94" s="16" cm="1" t="str">
        <f t="array" ref="R94">IF(C94="","",ROUND(Q94/1000000,3)&amp;" M€")</f>
        <v>0 M€</v>
      </c>
      <c r="S94" s="12" t="s">
        <v>192</v>
      </c>
      <c r="T94" s="9" cm="1" t="str">
        <f t="array" ref="T94">IF(C94="","",SUBSTITUTE(S94,"","")&amp;"%")</f>
        <v>10%</v>
      </c>
      <c r="U94" s="14" cm="1" t="str">
        <f t="array" ref="U94">IF(($N94="")*($P94=""),"",IF(($N94&lt;&gt;"")*($N94&gt;TODAY()-9)*($N94&lt;TODAY()+1)*($P94&lt;&gt;"")*($P94&gt;=TODAY())*($P94&lt;=TODAY()+13),"Semaine passée &amp; à venir",IF(($N94&lt;&gt;"")*($N94&gt;TODAY()-9)*($N94&lt;TODAY()+1),"Semaine passée",IF(($P94&lt;&gt;"")*($P94&gt;=TODAY())*($P94&lt;=TODAY()+13),"À venir","Autre"))))</f>
        <v>Autre</v>
      </c>
      <c r="V94" s="8" cm="1" t="n">
        <f t="array" ref="V94">IF(C94&lt;&gt;"",1,0)</f>
        <v>1</v>
      </c>
      <c r="W94" s="8">
</c>
      <c r="X94" s="8">
</c>
      <c r="Y94" s="8">
</c>
      <c r="Z94" s="8">
</c>
      <c r="AA94" s="8">
</c>
      <c r="AB94" s="8">
</c>
      <c r="AC94" s="8">
</c>
      <c r="AD94" s="8">
</c>
      <c r="AE94" s="8">
</c>
      <c r="AF94" s="8">
</c>
      <c r="AG94" s="8">
</c>
      <c r="AH94" s="8">
</c>
      <c r="AI94" s="8">
</c>
      <c r="AJ94" s="8">
</c>
      <c r="AK94" s="8">
</c>
    </row>
    <row r="95" ht="76.5" customHeight="1">
      <c r="A95" s="9" t="s">
        <v>23</v>
      </c>
      <c r="B95" s="9">
</c>
      <c r="C95" s="12" t="s">
        <v>350</v>
      </c>
      <c r="D95" s="12" t="s">
        <v>351</v>
      </c>
      <c r="E95" s="9" t="s">
        <v>27</v>
      </c>
      <c r="F95" s="8" t="s">
        <v>352</v>
      </c>
      <c r="G95" s="13" cm="1" t="str">
        <f t="array" ref="G95">IF(F95="","",SUBSTITUTE(SUBSTITUTE(SUBSTITUTE(SUBSTITUTE(F95,"&lt;li&gt;",CHAR(10)),"&lt;/li&gt;",""),"&lt;br&gt;",CHAR(10)),"&lt;strong&gt;",""))</f>
        <v>&lt;p&gt;Mail prospect 20/04 : intérêt pour sujet Défense, proposition d'échange suite à publication LinkedIn, demande de créneaux. RDV physique planifié le 29/04. Dernier échange confirmé le 29/04. Prochaine étape : tenir le RDV et retour sur financement PME BITD. Pas de conclusion prospect sur fonds à ce stade.&lt;/p&gt;</v>
      </c>
      <c r="H95" s="13" cm="1" t="str">
        <f t="array" ref="H95">IF(G95="","",SUBSTITUTE(SUBSTITUTE(SUBSTITUTE(SUBSTITUTE(SUBSTITUTE(G95,"&lt;p&gt;",""),"&lt;/p&gt;",""),"&lt;ul&gt;",""),"&lt;/ul&gt;",""),"&lt;/strong&gt;",""))</f>
        <v>Mail prospect 20/04 : intérêt pour sujet Défense, proposition d'échange suite à publication LinkedIn, demande de créneaux. RDV physique planifié le 29/04. Dernier échange confirmé le 29/04. Prochaine étape : tenir le RDV et retour sur financement PME BITD. Pas de conclusion prospect sur fonds à ce stade.</v>
      </c>
      <c r="I95" s="14" cm="1" t="str">
        <f t="array" ref="I95">IF(C95="","",IF(OR(H95="",H95=0,H95=FALSE),"-",H95))</f>
        <v>Mail prospect 20/04 : intérêt pour sujet Défense, proposition d'échange suite à publication LinkedIn, demande de créneaux. RDV physique planifié le 29/04. Dernier échange confirmé le 29/04. Prochaine étape : tenir le RDV et retour sur financement PME BITD. Pas de conclusion prospect sur fonds à ce stade.</v>
      </c>
      <c r="J95" s="8" t="s">
        <v>353</v>
      </c>
      <c r="K95" s="8" t="s">
        <v>162</v>
      </c>
      <c r="L95" s="9" cm="1" t="str">
        <f t="array" ref="L95">IF(C95="","",IF(K95="Mort / Plus rien à faire","KO","OK"))</f>
        <v>OK</v>
      </c>
      <c r="M95" s="15">
        <v>46141.66297453704</v>
      </c>
      <c r="N95" s="15" cm="1" t="n">
        <f t="array" ref="N95">IF(OR(C95="",M95="",M95=0),"",M95)</f>
        <v>46141.66297453704</v>
      </c>
      <c r="O95" s="15">
        <v>46148.083333333336</v>
      </c>
      <c r="P95" s="15" cm="1" t="n">
        <f t="array" ref="P95">IF(C95="","",IF(OR(O95="",O95=0),"-",O95))</f>
        <v>46148.083333333336</v>
      </c>
      <c r="Q95" s="16">
        <v>0</v>
      </c>
      <c r="R95" s="16" cm="1" t="str">
        <f t="array" ref="R95">IF(C95="","",ROUND(Q95/1000000,3)&amp;" M€")</f>
        <v>0 M€</v>
      </c>
      <c r="S95" s="12" t="s">
        <v>192</v>
      </c>
      <c r="T95" s="9" cm="1" t="str">
        <f t="array" ref="T95">IF(C95="","",SUBSTITUTE(S95,"","")&amp;"%")</f>
        <v>10%</v>
      </c>
      <c r="U95" s="14" cm="1" t="str">
        <f t="array" ref="U95">IF(($N95="")*($P95=""),"",IF(($N95&lt;&gt;"")*($N95&gt;TODAY()-9)*($N95&lt;TODAY()+1)*($P95&lt;&gt;"")*($P95&gt;=TODAY())*($P95&lt;=TODAY()+13),"Semaine passée &amp; à venir",IF(($N95&lt;&gt;"")*($N95&gt;TODAY()-9)*($N95&lt;TODAY()+1),"Semaine passée",IF(($P95&lt;&gt;"")*($P95&gt;=TODAY())*($P95&lt;=TODAY()+13),"À venir","Autre"))))</f>
        <v>Semaine passée &amp; à venir</v>
      </c>
      <c r="V95" s="8" cm="1" t="n">
        <f t="array" ref="V95">IF(C95&lt;&gt;"",1,0)</f>
        <v>1</v>
      </c>
      <c r="W95" s="8">
</c>
      <c r="X95" s="8">
</c>
      <c r="Y95" s="8">
</c>
      <c r="Z95" s="8">
</c>
      <c r="AA95" s="8">
</c>
      <c r="AB95" s="8">
</c>
      <c r="AC95" s="8">
</c>
      <c r="AD95" s="8">
</c>
      <c r="AE95" s="8">
</c>
      <c r="AF95" s="8">
</c>
      <c r="AG95" s="8">
</c>
      <c r="AH95" s="8">
</c>
      <c r="AI95" s="8">
</c>
      <c r="AJ95" s="8">
</c>
      <c r="AK95" s="8">
</c>
    </row>
    <row r="96" ht="76.5" customHeight="1">
      <c r="A96" s="9" t="s">
        <v>23</v>
      </c>
      <c r="B96" s="9" t="s">
        <v>45</v>
      </c>
      <c r="C96" s="12" t="s">
        <v>354</v>
      </c>
      <c r="D96" s="12" t="s">
        <v>355</v>
      </c>
      <c r="E96" s="9" t="s">
        <v>93</v>
      </c>
      <c r="F96" s="8" t="s">
        <v>356</v>
      </c>
      <c r="G96" s="13" cm="1" t="str">
        <f t="array" ref="G96">IF(F96="","",SUBSTITUTE(SUBSTITUTE(SUBSTITUTE(SUBSTITUTE(F96,"&lt;li&gt;",CHAR(10)),"&lt;/li&gt;",""),"&lt;br&gt;",CHAR(10)),"&lt;strong&gt;",""))</f>
        <v>&lt;p&gt;Café Toulouse 24/03 : échanges sur fonds Audacia, intérêt pour Défense, questions sur valos/dealflow. Mise en contact avec Métagram/Patrinum. Relances mails 21/04 et 29/04 : pas d'intérêt client à date, recontact si besoin. Dernière action : relance prévue 19/05. Pas de VC pour l’instant.&lt;/p&gt;</v>
      </c>
      <c r="H96" s="13" cm="1" t="str">
        <f t="array" ref="H96">IF(G96="","",SUBSTITUTE(SUBSTITUTE(SUBSTITUTE(SUBSTITUTE(SUBSTITUTE(G96,"&lt;p&gt;",""),"&lt;/p&gt;",""),"&lt;ul&gt;",""),"&lt;/ul&gt;",""),"&lt;/strong&gt;",""))</f>
        <v>Café Toulouse 24/03 : échanges sur fonds Audacia, intérêt pour Défense, questions sur valos/dealflow. Mise en contact avec Métagram/Patrinum. Relances mails 21/04 et 29/04 : pas d'intérêt client à date, recontact si besoin. Dernière action : relance prévue 19/05. Pas de VC pour l’instant.</v>
      </c>
      <c r="I96" s="14" cm="1" t="str">
        <f t="array" ref="I96">IF(C96="","",IF(OR(H96="",H96=0,H96=FALSE),"-",H96))</f>
        <v>Café Toulouse 24/03 : échanges sur fonds Audacia, intérêt pour Défense, questions sur valos/dealflow. Mise en contact avec Métagram/Patrinum. Relances mails 21/04 et 29/04 : pas d'intérêt client à date, recontact si besoin. Dernière action : relance prévue 19/05. Pas de VC pour l’instant.</v>
      </c>
      <c r="J96" s="8">
</c>
      <c r="K96" s="8" t="s">
        <v>52</v>
      </c>
      <c r="L96" s="9" cm="1" t="str">
        <f t="array" ref="L96">IF(C96="","",IF(K96="Mort / Plus rien à faire","KO","OK"))</f>
        <v>OK</v>
      </c>
      <c r="M96" s="15">
        <v>46146.437581018516</v>
      </c>
      <c r="N96" s="15" cm="1" t="n">
        <f t="array" ref="N96">IF(OR(C96="",M96="",M96=0),"",M96)</f>
        <v>46146.437581018516</v>
      </c>
      <c r="O96" s="15">
        <v>46161.625</v>
      </c>
      <c r="P96" s="15" cm="1" t="n">
        <f t="array" ref="P96">IF(C96="","",IF(OR(O96="",O96=0),"-",O96))</f>
        <v>46161.625</v>
      </c>
      <c r="Q96" s="16">
        <v>0</v>
      </c>
      <c r="R96" s="16" cm="1" t="str">
        <f t="array" ref="R96">IF(C96="","",ROUND(Q96/1000000,3)&amp;" M€")</f>
        <v>0 M€</v>
      </c>
      <c r="S96" s="12" t="s">
        <v>192</v>
      </c>
      <c r="T96" s="9" cm="1" t="str">
        <f t="array" ref="T96">IF(C96="","",SUBSTITUTE(S96,"","")&amp;"%")</f>
        <v>10%</v>
      </c>
      <c r="U96" s="14" cm="1" t="str">
        <f t="array" ref="U96">IF(($N96="")*($P96=""),"",IF(($N96&lt;&gt;"")*($N96&gt;TODAY()-9)*($N96&lt;TODAY()+1)*($P96&lt;&gt;"")*($P96&gt;=TODAY())*($P96&lt;=TODAY()+13),"Semaine passée &amp; à venir",IF(($N96&lt;&gt;"")*($N96&gt;TODAY()-9)*($N96&lt;TODAY()+1),"Semaine passée",IF(($P96&lt;&gt;"")*($P96&gt;=TODAY())*($P96&lt;=TODAY()+13),"À venir","Autre"))))</f>
        <v>Semaine passée</v>
      </c>
      <c r="V96" s="8" cm="1" t="n">
        <f t="array" ref="V96">IF(C96&lt;&gt;"",1,0)</f>
        <v>1</v>
      </c>
      <c r="W96" s="8">
</c>
      <c r="X96" s="8">
</c>
      <c r="Y96" s="8">
</c>
      <c r="Z96" s="8">
</c>
      <c r="AA96" s="8">
</c>
      <c r="AB96" s="8">
</c>
      <c r="AC96" s="8">
</c>
      <c r="AD96" s="8">
</c>
      <c r="AE96" s="8">
</c>
      <c r="AF96" s="8">
</c>
      <c r="AG96" s="8">
</c>
      <c r="AH96" s="8">
</c>
      <c r="AI96" s="8">
</c>
      <c r="AJ96" s="8">
</c>
      <c r="AK96" s="8">
</c>
    </row>
    <row r="97" ht="76.5" customHeight="1">
      <c r="A97" s="9" t="s">
        <v>23</v>
      </c>
      <c r="B97" s="9" t="s">
        <v>53</v>
      </c>
      <c r="C97" s="12" t="s">
        <v>357</v>
      </c>
      <c r="D97" s="12" t="s">
        <v>357</v>
      </c>
      <c r="E97" s="9" t="s">
        <v>27</v>
      </c>
      <c r="F97" s="8" t="s">
        <v>358</v>
      </c>
      <c r="G97" s="13" cm="1" t="str">
        <f t="array" ref="G97">IF(F97="","",SUBSTITUTE(SUBSTITUTE(SUBSTITUTE(SUBSTITUTE(F97,"&lt;li&gt;",CHAR(10)),"&lt;/li&gt;",""),"&lt;br&gt;",CHAR(10)),"&lt;strong&gt;",""))</f>
        <v>&lt;p&gt;Nouvelle piste créée équipe Ventes. Présentation confidentielle All Strat reçue via GP New Alpha, objectif 1er closing 100 M€ été, Crédit Mutuel La Française aurait engagé 30 M€. Pas de données société via enrichissement email. Aucune activité future planifiée ni retour prospect sur fonds.&lt;/p&gt;</v>
      </c>
      <c r="H97" s="13" cm="1" t="str">
        <f t="array" ref="H97">IF(G97="","",SUBSTITUTE(SUBSTITUTE(SUBSTITUTE(SUBSTITUTE(SUBSTITUTE(G97,"&lt;p&gt;",""),"&lt;/p&gt;",""),"&lt;ul&gt;",""),"&lt;/ul&gt;",""),"&lt;/strong&gt;",""))</f>
        <v>Nouvelle piste créée équipe Ventes. Présentation confidentielle All Strat reçue via GP New Alpha, objectif 1er closing 100 M€ été, Crédit Mutuel La Française aurait engagé 30 M€. Pas de données société via enrichissement email. Aucune activité future planifiée ni retour prospect sur fonds.</v>
      </c>
      <c r="I97" s="14" cm="1" t="str">
        <f t="array" ref="I97">IF(C97="","",IF(OR(H97="",H97=0,H97=FALSE),"-",H97))</f>
        <v>Nouvelle piste créée équipe Ventes. Présentation confidentielle All Strat reçue via GP New Alpha, objectif 1er closing 100 M€ été, Crédit Mutuel La Française aurait engagé 30 M€. Pas de données société via enrichissement email. Aucune activité future planifiée ni retour prospect sur fonds.</v>
      </c>
      <c r="J97" s="8">
</c>
      <c r="K97" s="8" t="s">
        <v>162</v>
      </c>
      <c r="L97" s="9" cm="1" t="str">
        <f t="array" ref="L97">IF(C97="","",IF(K97="Mort / Plus rien à faire","KO","OK"))</f>
        <v>OK</v>
      </c>
      <c r="M97" s="15">
        <v>46125.640069444446</v>
      </c>
      <c r="N97" s="15" cm="1" t="n">
        <f t="array" ref="N97">IF(OR(C97="",M97="",M97=0),"",M97)</f>
        <v>46125.640069444446</v>
      </c>
      <c r="O97" s="15">
</c>
      <c r="P97" s="15" cm="1" t="str">
        <f t="array" ref="P97">IF(C97="","",IF(OR(O97="",O97=0),"-",O97))</f>
        <v>-</v>
      </c>
      <c r="Q97" s="16">
        <v>0</v>
      </c>
      <c r="R97" s="16" cm="1" t="str">
        <f t="array" ref="R97">IF(C97="","",ROUND(Q97/1000000,3)&amp;" M€")</f>
        <v>0 M€</v>
      </c>
      <c r="S97" s="12" t="s">
        <v>192</v>
      </c>
      <c r="T97" s="9" cm="1" t="str">
        <f t="array" ref="T97">IF(C97="","",SUBSTITUTE(S97,"","")&amp;"%")</f>
        <v>10%</v>
      </c>
      <c r="U97" s="14" cm="1" t="str">
        <f t="array" ref="U97">IF(($N97="")*($P97=""),"",IF(($N97&lt;&gt;"")*($N97&gt;TODAY()-9)*($N97&lt;TODAY()+1)*($P97&lt;&gt;"")*($P97&gt;=TODAY())*($P97&lt;=TODAY()+13),"Semaine passée &amp; à venir",IF(($N97&lt;&gt;"")*($N97&gt;TODAY()-9)*($N97&lt;TODAY()+1),"Semaine passée",IF(($P97&lt;&gt;"")*($P97&gt;=TODAY())*($P97&lt;=TODAY()+13),"À venir","Autre"))))</f>
        <v>Autre</v>
      </c>
      <c r="V97" s="8" cm="1" t="n">
        <f t="array" ref="V97">IF(C97&lt;&gt;"",1,0)</f>
        <v>1</v>
      </c>
      <c r="W97" s="8">
</c>
      <c r="X97" s="8">
</c>
      <c r="Y97" s="8">
</c>
      <c r="Z97" s="8">
</c>
      <c r="AA97" s="8">
</c>
      <c r="AB97" s="8">
</c>
      <c r="AC97" s="8">
</c>
      <c r="AD97" s="8">
</c>
      <c r="AE97" s="8">
</c>
      <c r="AF97" s="8">
</c>
      <c r="AG97" s="8">
</c>
      <c r="AH97" s="8">
</c>
      <c r="AI97" s="8">
</c>
      <c r="AJ97" s="8">
</c>
      <c r="AK97" s="8">
</c>
    </row>
    <row r="98" ht="76.5" customHeight="1">
      <c r="A98" s="9" t="s">
        <v>23</v>
      </c>
      <c r="B98" s="9" t="s">
        <v>36</v>
      </c>
      <c r="C98" s="12" t="s">
        <v>359</v>
      </c>
      <c r="D98" s="12" t="s">
        <v>360</v>
      </c>
      <c r="E98" s="9" t="s">
        <v>39</v>
      </c>
      <c r="F98" s="8" t="s">
        <v>361</v>
      </c>
      <c r="G98" s="13" cm="1" t="str">
        <f t="array" ref="G98">IF(F98="","",SUBSTITUTE(SUBSTITUTE(SUBSTITUTE(SUBSTITUTE(F98,"&lt;li&gt;",CHAR(10)),"&lt;/li&gt;",""),"&lt;br&gt;",CHAR(10)),"&lt;strong&gt;",""))</f>
        <v>&lt;p&gt;05/02/2026: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planifier.&lt;/p&gt;</v>
      </c>
      <c r="H98" s="13" cm="1" t="str">
        <f t="array" ref="H98">IF(G98="","",SUBSTITUTE(SUBSTITUTE(SUBSTITUTE(SUBSTITUTE(SUBSTITUTE(G98,"&lt;p&gt;",""),"&lt;/p&gt;",""),"&lt;ul&gt;",""),"&lt;/ul&gt;",""),"&lt;/strong&gt;",""))</f>
        <v>05/02/2026: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v>
      </c>
      <c r="I98" s="14" cm="1" t="str">
        <f t="array" ref="I98">IF(C98="","",IF(OR(H98="",H98=0,H98=FALSE),"-",H98))</f>
        <v>05/02/2026: Intérêt prospect pour solutions diversification, peu de dossiers remploi, prise de contact pour organiser RDV avec Charles. 13/03/2026: Appel avec Edouard Gaurier, proposition de dates pour rencontre gérant FCPI et Audacia, mail envoyé pour fixer RDV en avril. Prochaine étape : rencontre à planifier.</v>
      </c>
      <c r="J98" s="8">
</c>
      <c r="K98" s="8" t="s">
        <v>52</v>
      </c>
      <c r="L98" s="9" cm="1" t="str">
        <f t="array" ref="L98">IF(C98="","",IF(K98="Mort / Plus rien à faire","KO","OK"))</f>
        <v>OK</v>
      </c>
      <c r="M98" s="15">
        <v>46094.7534375</v>
      </c>
      <c r="N98" s="15" cm="1" t="n">
        <f t="array" ref="N98">IF(OR(C98="",M98="",M98=0),"",M98)</f>
        <v>46094.7534375</v>
      </c>
      <c r="O98" s="15">
</c>
      <c r="P98" s="15" cm="1" t="str">
        <f t="array" ref="P98">IF(C98="","",IF(OR(O98="",O98=0),"-",O98))</f>
        <v>-</v>
      </c>
      <c r="Q98" s="16">
        <v>0</v>
      </c>
      <c r="R98" s="16" cm="1" t="str">
        <f t="array" ref="R98">IF(C98="","",ROUND(Q98/1000000,3)&amp;" M€")</f>
        <v>0 M€</v>
      </c>
      <c r="S98" s="12" t="s">
        <v>192</v>
      </c>
      <c r="T98" s="9" cm="1" t="str">
        <f t="array" ref="T98">IF(C98="","",SUBSTITUTE(S98,"","")&amp;"%")</f>
        <v>10%</v>
      </c>
      <c r="U98" s="14" cm="1" t="str">
        <f t="array" ref="U98">IF(($N98="")*($P98=""),"",IF(($N98&lt;&gt;"")*($N98&gt;TODAY()-9)*($N98&lt;TODAY()+1)*($P98&lt;&gt;"")*($P98&gt;=TODAY())*($P98&lt;=TODAY()+13),"Semaine passée &amp; à venir",IF(($N98&lt;&gt;"")*($N98&gt;TODAY()-9)*($N98&lt;TODAY()+1),"Semaine passée",IF(($P98&lt;&gt;"")*($P98&gt;=TODAY())*($P98&lt;=TODAY()+13),"À venir","Autre"))))</f>
        <v>Autre</v>
      </c>
      <c r="V98" s="8" cm="1" t="n">
        <f t="array" ref="V98">IF(C98&lt;&gt;"",1,0)</f>
        <v>1</v>
      </c>
      <c r="W98" s="8">
</c>
      <c r="X98" s="8">
</c>
      <c r="Y98" s="8">
</c>
      <c r="Z98" s="8">
</c>
      <c r="AA98" s="8">
</c>
      <c r="AB98" s="8">
</c>
      <c r="AC98" s="8">
</c>
      <c r="AD98" s="8">
</c>
      <c r="AE98" s="8">
</c>
      <c r="AF98" s="8">
</c>
      <c r="AG98" s="8">
</c>
      <c r="AH98" s="8">
</c>
      <c r="AI98" s="8">
</c>
      <c r="AJ98" s="8">
</c>
      <c r="AK98" s="8">
</c>
    </row>
    <row r="99" ht="76.5" customHeight="1">
      <c r="A99" s="9" t="s">
        <v>23</v>
      </c>
      <c r="B99" s="9" t="s">
        <v>53</v>
      </c>
      <c r="C99" s="12" t="s">
        <v>362</v>
      </c>
      <c r="D99" s="12" t="s">
        <v>363</v>
      </c>
      <c r="E99" s="9" t="s">
        <v>27</v>
      </c>
      <c r="F99" s="8" t="s">
        <v>364</v>
      </c>
      <c r="G99" s="13" cm="1" t="str">
        <f t="array" ref="G99">IF(F99="","",SUBSTITUTE(SUBSTITUTE(SUBSTITUTE(SUBSTITUTE(F99,"&lt;li&gt;",CHAR(10)),"&lt;/li&gt;",""),"&lt;br&gt;",CHAR(10)),"&lt;strong&gt;",""))</f>
        <v>&lt;p&gt;Nouvelle piste créée pour équipe Ventes. Aucun échange, appel ou retour prospect enregistré. Dernière activité prévue : relance à effectuer avant le 30/03/2026, non réalisée à ce jour. Aucune conclusion ni retour prospect sur les fonds présentés. Prochaine étape : relancer le contact.&lt;/p&gt;</v>
      </c>
      <c r="H99" s="13" cm="1" t="str">
        <f t="array" ref="H99">IF(G99="","",SUBSTITUTE(SUBSTITUTE(SUBSTITUTE(SUBSTITUTE(SUBSTITUTE(G99,"&lt;p&gt;",""),"&lt;/p&gt;",""),"&lt;ul&gt;",""),"&lt;/ul&gt;",""),"&lt;/strong&gt;",""))</f>
        <v>Nouvelle piste créée pour équipe Ventes. Aucun échange, appel ou retour prospect enregistré. Dernière activité prévue : relance à effectuer avant le 30/03/2026, non réalisée à ce jour. Aucune conclusion ni retour prospect sur les fonds présentés. Prochaine étape : relancer le contact.</v>
      </c>
      <c r="I99" s="14" cm="1" t="str">
        <f t="array" ref="I99">IF(C99="","",IF(OR(H99="",H99=0,H99=FALSE),"-",H99))</f>
        <v>Nouvelle piste créée pour équipe Ventes. Aucun échange, appel ou retour prospect enregistré. Dernière activité prévue : relance à effectuer avant le 30/03/2026, non réalisée à ce jour. Aucune conclusion ni retour prospect sur les fonds présentés. Prochaine étape : relancer le contact.</v>
      </c>
      <c r="J99" s="8" t="s">
        <v>365</v>
      </c>
      <c r="K99" s="8" t="s">
        <v>162</v>
      </c>
      <c r="L99" s="9" cm="1" t="str">
        <f t="array" ref="L99">IF(C99="","",IF(K99="Mort / Plus rien à faire","KO","OK"))</f>
        <v>OK</v>
      </c>
      <c r="M99" s="15">
        <v>46106.639074074075</v>
      </c>
      <c r="N99" s="15" cm="1" t="n">
        <f t="array" ref="N99">IF(OR(C99="",M99="",M99=0),"",M99)</f>
        <v>46106.639074074075</v>
      </c>
      <c r="O99" s="15">
</c>
      <c r="P99" s="15" cm="1" t="str">
        <f t="array" ref="P99">IF(C99="","",IF(OR(O99="",O99=0),"-",O99))</f>
        <v>-</v>
      </c>
      <c r="Q99" s="16">
        <v>0</v>
      </c>
      <c r="R99" s="16" cm="1" t="str">
        <f t="array" ref="R99">IF(C99="","",ROUND(Q99/1000000,3)&amp;" M€")</f>
        <v>0 M€</v>
      </c>
      <c r="S99" s="12" t="s">
        <v>192</v>
      </c>
      <c r="T99" s="9" cm="1" t="str">
        <f t="array" ref="T99">IF(C99="","",SUBSTITUTE(S99,"","")&amp;"%")</f>
        <v>10%</v>
      </c>
      <c r="U99" s="14" cm="1" t="str">
        <f t="array" ref="U99">IF(($N99="")*($P99=""),"",IF(($N99&lt;&gt;"")*($N99&gt;TODAY()-9)*($N99&lt;TODAY()+1)*($P99&lt;&gt;"")*($P99&gt;=TODAY())*($P99&lt;=TODAY()+13),"Semaine passée &amp; à venir",IF(($N99&lt;&gt;"")*($N99&gt;TODAY()-9)*($N99&lt;TODAY()+1),"Semaine passée",IF(($P99&lt;&gt;"")*($P99&gt;=TODAY())*($P99&lt;=TODAY()+13),"À venir","Autre"))))</f>
        <v>Autre</v>
      </c>
      <c r="V99" s="8" cm="1" t="n">
        <f t="array" ref="V99">IF(C99&lt;&gt;"",1,0)</f>
        <v>1</v>
      </c>
      <c r="W99" s="8">
</c>
      <c r="X99" s="8">
</c>
      <c r="Y99" s="8">
</c>
      <c r="Z99" s="8">
</c>
      <c r="AA99" s="8">
</c>
      <c r="AB99" s="8">
</c>
      <c r="AC99" s="8">
</c>
      <c r="AD99" s="8">
</c>
      <c r="AE99" s="8">
</c>
      <c r="AF99" s="8">
</c>
      <c r="AG99" s="8">
</c>
      <c r="AH99" s="8">
</c>
      <c r="AI99" s="8">
</c>
      <c r="AJ99" s="8">
</c>
      <c r="AK99" s="8">
</c>
    </row>
    <row r="100" ht="76.5" customHeight="1">
      <c r="A100" s="9" t="s">
        <v>23</v>
      </c>
      <c r="B100" s="9" t="s">
        <v>57</v>
      </c>
      <c r="C100" s="12" t="s">
        <v>366</v>
      </c>
      <c r="D100" s="12" t="s">
        <v>367</v>
      </c>
      <c r="E100" s="9" t="s">
        <v>39</v>
      </c>
      <c r="F100" s="8" t="s">
        <v>368</v>
      </c>
      <c r="G100" s="13" cm="1" t="str">
        <f t="array" ref="G100">IF(F100="","",SUBSTITUTE(SUBSTITUTE(SUBSTITUTE(SUBSTITUTE(F100,"&lt;li&gt;",CHAR(10)),"&lt;/li&gt;",""),"&lt;br&gt;",CHAR(10)),"&lt;strong&gt;",""))</f>
        <v>&lt;p&gt;Point sur fonds deeptech, docs à envoyer pour alimenter. Enrichissement lead impossible (email non valide). Nouvelle piste créée pour équipe Ventes. Pas d'autres activités ni retours prospects. Prochaine étape : envoi de documentation, attente retour sur fonds présentés.&lt;/p&gt;</v>
      </c>
      <c r="H100" s="13" cm="1" t="str">
        <f t="array" ref="H100">IF(G100="","",SUBSTITUTE(SUBSTITUTE(SUBSTITUTE(SUBSTITUTE(SUBSTITUTE(G100,"&lt;p&gt;",""),"&lt;/p&gt;",""),"&lt;ul&gt;",""),"&lt;/ul&gt;",""),"&lt;/strong&gt;",""))</f>
        <v>Point sur fonds deeptech, docs à envoyer pour alimenter. Enrichissement lead impossible (email non valide). Nouvelle piste créée pour équipe Ventes. Pas d'autres activités ni retours prospects. Prochaine étape : envoi de documentation, attente retour sur fonds présentés.</v>
      </c>
      <c r="I100" s="14" cm="1" t="str">
        <f t="array" ref="I100">IF(C100="","",IF(OR(H100="",H100=0,H100=FALSE),"-",H100))</f>
        <v>Point sur fonds deeptech, docs à envoyer pour alimenter. Enrichissement lead impossible (email non valide). Nouvelle piste créée pour équipe Ventes. Pas d'autres activités ni retours prospects. Prochaine étape : envoi de documentation, attente retour sur fonds présentés.</v>
      </c>
      <c r="J100" s="8">
</c>
      <c r="K100" s="8" t="s">
        <v>52</v>
      </c>
      <c r="L100" s="9" cm="1" t="str">
        <f t="array" ref="L100">IF(C100="","",IF(K100="Mort / Plus rien à faire","KO","OK"))</f>
        <v>OK</v>
      </c>
      <c r="M100" s="15">
        <v>46050.69390046296</v>
      </c>
      <c r="N100" s="15" cm="1" t="n">
        <f t="array" ref="N100">IF(OR(C100="",M100="",M100=0),"",M100)</f>
        <v>46050.69390046296</v>
      </c>
      <c r="O100" s="15">
</c>
      <c r="P100" s="15" cm="1" t="str">
        <f t="array" ref="P100">IF(C100="","",IF(OR(O100="",O100=0),"-",O100))</f>
        <v>-</v>
      </c>
      <c r="Q100" s="16">
        <v>0</v>
      </c>
      <c r="R100" s="16" cm="1" t="str">
        <f t="array" ref="R100">IF(C100="","",ROUND(Q100/1000000,3)&amp;" M€")</f>
        <v>0 M€</v>
      </c>
      <c r="S100" s="12" t="s">
        <v>192</v>
      </c>
      <c r="T100" s="9" cm="1" t="str">
        <f t="array" ref="T100">IF(C100="","",SUBSTITUTE(S100,"","")&amp;"%")</f>
        <v>10%</v>
      </c>
      <c r="U100" s="14" cm="1" t="str">
        <f t="array" ref="U100">IF(($N100="")*($P100=""),"",IF(($N100&lt;&gt;"")*($N100&gt;TODAY()-9)*($N100&lt;TODAY()+1)*($P100&lt;&gt;"")*($P100&gt;=TODAY())*($P100&lt;=TODAY()+13),"Semaine passée &amp; à venir",IF(($N100&lt;&gt;"")*($N100&gt;TODAY()-9)*($N100&lt;TODAY()+1),"Semaine passée",IF(($P100&lt;&gt;"")*($P100&gt;=TODAY())*($P100&lt;=TODAY()+13),"À venir","Autre"))))</f>
        <v>Autre</v>
      </c>
      <c r="V100" s="8" cm="1" t="n">
        <f t="array" ref="V100">IF(C100&lt;&gt;"",1,0)</f>
        <v>1</v>
      </c>
      <c r="W100" s="8">
</c>
      <c r="X100" s="8">
</c>
      <c r="Y100" s="8">
</c>
      <c r="Z100" s="8">
</c>
      <c r="AA100" s="8">
</c>
      <c r="AB100" s="8">
</c>
      <c r="AC100" s="8">
</c>
      <c r="AD100" s="8">
</c>
      <c r="AE100" s="8">
</c>
      <c r="AF100" s="8">
</c>
      <c r="AG100" s="8">
</c>
      <c r="AH100" s="8">
</c>
      <c r="AI100" s="8">
</c>
      <c r="AJ100" s="8">
</c>
      <c r="AK100" s="8">
</c>
    </row>
    <row r="101" ht="76.5" customHeight="1">
      <c r="A101" s="9" t="s">
        <v>23</v>
      </c>
      <c r="B101" s="9" t="s">
        <v>45</v>
      </c>
      <c r="C101" s="12" t="s">
        <v>369</v>
      </c>
      <c r="D101" s="12" t="s">
        <v>370</v>
      </c>
      <c r="E101" s="9" t="s">
        <v>39</v>
      </c>
      <c r="F101" s="8" t="s">
        <v>371</v>
      </c>
      <c r="G101" s="13" cm="1" t="str">
        <f t="array" ref="G101">IF(F101="","",SUBSTITUTE(SUBSTITUTE(SUBSTITUTE(SUBSTITUTE(F101,"&lt;li&gt;",CHAR(10)),"&lt;/li&gt;",""),"&lt;br&gt;",CHAR(10)),"&lt;strong&gt;",""))</f>
        <v>&lt;p&gt;25/02/2026 café avec Directeur Cheval Blanc Patrimoine CGP, présentation offre globale, prospect intéressé mais pas de suite, préfère fonds de dette privés, réticent sur fonds fiscaux (mauvaise réputation). Call vœux 2026, collecte FCPI Wind évoquée. Pas d'action future prévue à ce stade.&lt;/p&gt;</v>
      </c>
      <c r="H101" s="13" cm="1" t="str">
        <f t="array" ref="H101">IF(G101="","",SUBSTITUTE(SUBSTITUTE(SUBSTITUTE(SUBSTITUTE(SUBSTITUTE(G101,"&lt;p&gt;",""),"&lt;/p&gt;",""),"&lt;ul&gt;",""),"&lt;/ul&gt;",""),"&lt;/strong&gt;",""))</f>
        <v>25/02/2026 café avec Directeur Cheval Blanc Patrimoine CGP, présentation offre globale, prospect intéressé mais pas de suite, préfère fonds de dette privés, réticent sur fonds fiscaux (mauvaise réputation). Call vœux 2026, collecte FCPI Wind évoquée. Pas d'action future prévue à ce stade.</v>
      </c>
      <c r="I101" s="14" cm="1" t="str">
        <f t="array" ref="I101">IF(C101="","",IF(OR(H101="",H101=0,H101=FALSE),"-",H101))</f>
        <v>25/02/2026 café avec Directeur Cheval Blanc Patrimoine CGP, présentation offre globale, prospect intéressé mais pas de suite, préfère fonds de dette privés, réticent sur fonds fiscaux (mauvaise réputation). Call vœux 2026, collecte FCPI Wind évoquée. Pas d'action future prévue à ce stade.</v>
      </c>
      <c r="J101" s="8">
</c>
      <c r="K101" s="8" t="s">
        <v>95</v>
      </c>
      <c r="L101" s="9" cm="1" t="str">
        <f t="array" ref="L101">IF(C101="","",IF(K101="Mort / Plus rien à faire","KO","OK"))</f>
        <v>OK</v>
      </c>
      <c r="M101" s="15">
        <v>46132.63866898148</v>
      </c>
      <c r="N101" s="15" cm="1" t="n">
        <f t="array" ref="N101">IF(OR(C101="",M101="",M101=0),"",M101)</f>
        <v>46132.63866898148</v>
      </c>
      <c r="O101" s="15">
</c>
      <c r="P101" s="15" cm="1" t="str">
        <f t="array" ref="P101">IF(C101="","",IF(OR(O101="",O101=0),"-",O101))</f>
        <v>-</v>
      </c>
      <c r="Q101" s="16">
        <v>0</v>
      </c>
      <c r="R101" s="16" cm="1" t="str">
        <f t="array" ref="R101">IF(C101="","",ROUND(Q101/1000000,3)&amp;" M€")</f>
        <v>0 M€</v>
      </c>
      <c r="S101" s="12" t="s">
        <v>192</v>
      </c>
      <c r="T101" s="9" cm="1" t="str">
        <f t="array" ref="T101">IF(C101="","",SUBSTITUTE(S101,"","")&amp;"%")</f>
        <v>10%</v>
      </c>
      <c r="U101" s="14" cm="1" t="str">
        <f t="array" ref="U101">IF(($N101="")*($P101=""),"",IF(($N101&lt;&gt;"")*($N101&gt;TODAY()-9)*($N101&lt;TODAY()+1)*($P101&lt;&gt;"")*($P101&gt;=TODAY())*($P101&lt;=TODAY()+13),"Semaine passée &amp; à venir",IF(($N101&lt;&gt;"")*($N101&gt;TODAY()-9)*($N101&lt;TODAY()+1),"Semaine passée",IF(($P101&lt;&gt;"")*($P101&gt;=TODAY())*($P101&lt;=TODAY()+13),"À venir","Autre"))))</f>
        <v>Autre</v>
      </c>
      <c r="V101" s="8" cm="1" t="n">
        <f t="array" ref="V101">IF(C101&lt;&gt;"",1,0)</f>
        <v>1</v>
      </c>
      <c r="W101" s="8">
</c>
      <c r="X101" s="8">
</c>
      <c r="Y101" s="8">
</c>
      <c r="Z101" s="8">
</c>
      <c r="AA101" s="8">
</c>
      <c r="AB101" s="8">
</c>
      <c r="AC101" s="8">
</c>
      <c r="AD101" s="8">
</c>
      <c r="AE101" s="8">
</c>
      <c r="AF101" s="8">
</c>
      <c r="AG101" s="8">
</c>
      <c r="AH101" s="8">
</c>
      <c r="AI101" s="8">
</c>
      <c r="AJ101" s="8">
</c>
      <c r="AK101" s="8">
</c>
    </row>
    <row r="102" ht="76.5" customHeight="1">
      <c r="A102" s="9" t="s">
        <v>23</v>
      </c>
      <c r="B102" s="9" t="s">
        <v>372</v>
      </c>
      <c r="C102" s="12" t="s">
        <v>373</v>
      </c>
      <c r="D102" s="12" t="s">
        <v>374</v>
      </c>
      <c r="E102" s="9" t="s">
        <v>27</v>
      </c>
      <c r="F102" s="8" t="s">
        <v>375</v>
      </c>
      <c r="G102" s="13" cm="1" t="str">
        <f t="array" ref="G102">IF(F102="","",SUBSTITUTE(SUBSTITUTE(SUBSTITUTE(SUBSTITUTE(F102,"&lt;li&gt;",CHAR(10)),"&lt;/li&gt;",""),"&lt;br&gt;",CHAR(10)),"&lt;strong&gt;",""))</f>
        <v>&lt;p&gt;Rdv en cours de calage avec CAVP/Arnaud le Romain pour Idico Forteresse (dette défense, co-invest retraite). Gros clients français à l'étranger. Fonds min 100M€, ticket min 10M€. Gestion collégiale, 3 décideurs. Relance faite, attente retour pour fixer rdv. Pas de feedback prospect sur fonds.&lt;/p&gt;</v>
      </c>
      <c r="H102" s="13" cm="1" t="str">
        <f t="array" ref="H102">IF(G102="","",SUBSTITUTE(SUBSTITUTE(SUBSTITUTE(SUBSTITUTE(SUBSTITUTE(G102,"&lt;p&gt;",""),"&lt;/p&gt;",""),"&lt;ul&gt;",""),"&lt;/ul&gt;",""),"&lt;/strong&gt;",""))</f>
        <v>Rdv en cours de calage avec CAVP/Arnaud le Romain pour Idico Forteresse (dette défense, co-invest retraite). Gros clients français à l'étranger. Fonds min 100M€, ticket min 10M€. Gestion collégiale, 3 décideurs. Relance faite, attente retour pour fixer rdv. Pas de feedback prospect sur fonds.</v>
      </c>
      <c r="I102" s="14" cm="1" t="str">
        <f t="array" ref="I102">IF(C102="","",IF(OR(H102="",H102=0,H102=FALSE),"-",H102))</f>
        <v>Rdv en cours de calage avec CAVP/Arnaud le Romain pour Idico Forteresse (dette défense, co-invest retraite). Gros clients français à l'étranger. Fonds min 100M€, ticket min 10M€. Gestion collégiale, 3 décideurs. Relance faite, attente retour pour fixer rdv. Pas de feedback prospect sur fonds.</v>
      </c>
      <c r="J102" s="8" t="s">
        <v>376</v>
      </c>
      <c r="K102" s="8" t="s">
        <v>52</v>
      </c>
      <c r="L102" s="9" cm="1" t="str">
        <f t="array" ref="L102">IF(C102="","",IF(K102="Mort / Plus rien à faire","KO","OK"))</f>
        <v>OK</v>
      </c>
      <c r="M102" s="15">
        <v>46135.79072916666</v>
      </c>
      <c r="N102" s="15" cm="1" t="n">
        <f t="array" ref="N102">IF(OR(C102="",M102="",M102=0),"",M102)</f>
        <v>46135.79072916666</v>
      </c>
      <c r="O102" s="15">
</c>
      <c r="P102" s="15" cm="1" t="str">
        <f t="array" ref="P102">IF(C102="","",IF(OR(O102="",O102=0),"-",O102))</f>
        <v>-</v>
      </c>
      <c r="Q102" s="16">
        <v>10000000</v>
      </c>
      <c r="R102" s="16" cm="1" t="str">
        <f t="array" ref="R102">IF(C102="","",ROUND(Q102/1000000,3)&amp;" M€")</f>
        <v>10 M€</v>
      </c>
      <c r="S102" s="12" t="s">
        <v>192</v>
      </c>
      <c r="T102" s="9" cm="1" t="str">
        <f t="array" ref="T102">IF(C102="","",SUBSTITUTE(S102,"","")&amp;"%")</f>
        <v>10%</v>
      </c>
      <c r="U102" s="14" cm="1" t="str">
        <f t="array" ref="U102">IF(($N102="")*($P102=""),"",IF(($N102&lt;&gt;"")*($N102&gt;TODAY()-9)*($N102&lt;TODAY()+1)*($P102&lt;&gt;"")*($P102&gt;=TODAY())*($P102&lt;=TODAY()+13),"Semaine passée &amp; à venir",IF(($N102&lt;&gt;"")*($N102&gt;TODAY()-9)*($N102&lt;TODAY()+1),"Semaine passée",IF(($P102&lt;&gt;"")*($P102&gt;=TODAY())*($P102&lt;=TODAY()+13),"À venir","Autre"))))</f>
        <v>Autre</v>
      </c>
      <c r="V102" s="8" cm="1" t="n">
        <f t="array" ref="V102">IF(C102&lt;&gt;"",1,0)</f>
        <v>1</v>
      </c>
      <c r="W102" s="8">
</c>
      <c r="X102" s="8">
</c>
      <c r="Y102" s="8">
</c>
      <c r="Z102" s="8">
</c>
      <c r="AA102" s="8">
</c>
      <c r="AB102" s="8">
</c>
      <c r="AC102" s="8">
</c>
      <c r="AD102" s="8">
</c>
      <c r="AE102" s="8">
</c>
      <c r="AF102" s="8">
</c>
      <c r="AG102" s="8">
</c>
      <c r="AH102" s="8">
</c>
      <c r="AI102" s="8">
</c>
      <c r="AJ102" s="8">
</c>
      <c r="AK102" s="8">
</c>
    </row>
    <row r="103" ht="76.5" customHeight="1">
      <c r="A103" s="9" t="s">
        <v>23</v>
      </c>
      <c r="B103" s="9" t="s">
        <v>257</v>
      </c>
      <c r="C103" s="12" t="s">
        <v>377</v>
      </c>
      <c r="D103" s="12" t="s">
        <v>378</v>
      </c>
      <c r="E103" s="9" t="s">
        <v>39</v>
      </c>
      <c r="F103" s="8" t="s">
        <v>379</v>
      </c>
      <c r="G103" s="13" cm="1" t="str">
        <f t="array" ref="G103">IF(F103="","",SUBSTITUTE(SUBSTITUTE(SUBSTITUTE(SUBSTITUTE(F103,"&lt;li&gt;",CHAR(10)),"&lt;/li&gt;",""),"&lt;br&gt;",CHAR(10)),"&lt;strong&gt;",""))</f>
        <v>&lt;p&gt;03/02/2026: Point offre remploi. 28/01: Préparation petit déjeuner sur fonds remploi et deeptech. Enrichissement lead impossible (email invalide). Nouvelle piste créée équipe Ventes. Prochaine étape: organiser petit déjeuner thématique. Pas d'autres actions ou retours prospects notés.&lt;/p&gt;</v>
      </c>
      <c r="H103" s="13" cm="1" t="str">
        <f t="array" ref="H103">IF(G103="","",SUBSTITUTE(SUBSTITUTE(SUBSTITUTE(SUBSTITUTE(SUBSTITUTE(G103,"&lt;p&gt;",""),"&lt;/p&gt;",""),"&lt;ul&gt;",""),"&lt;/ul&gt;",""),"&lt;/strong&gt;",""))</f>
        <v>03/02/2026: Point offre remploi. 28/01: Préparation petit déjeuner sur fonds remploi et deeptech. Enrichissement lead impossible (email invalide). Nouvelle piste créée équipe Ventes. Prochaine étape: organiser petit déjeuner thématique. Pas d'autres actions ou retours prospects notés.</v>
      </c>
      <c r="I103" s="14" cm="1" t="str">
        <f t="array" ref="I103">IF(C103="","",IF(OR(H103="",H103=0,H103=FALSE),"-",H103))</f>
        <v>03/02/2026: Point offre remploi. 28/01: Préparation petit déjeuner sur fonds remploi et deeptech. Enrichissement lead impossible (email invalide). Nouvelle piste créée équipe Ventes. Prochaine étape: organiser petit déjeuner thématique. Pas d'autres actions ou retours prospects notés.</v>
      </c>
      <c r="J103" s="8">
</c>
      <c r="K103" s="8" t="s">
        <v>52</v>
      </c>
      <c r="L103" s="9" cm="1" t="str">
        <f t="array" ref="L103">IF(C103="","",IF(K103="Mort / Plus rien à faire","KO","OK"))</f>
        <v>OK</v>
      </c>
      <c r="M103" s="15">
        <v>46063.47023148148</v>
      </c>
      <c r="N103" s="15" cm="1" t="n">
        <f t="array" ref="N103">IF(OR(C103="",M103="",M103=0),"",M103)</f>
        <v>46063.47023148148</v>
      </c>
      <c r="O103" s="15">
</c>
      <c r="P103" s="15" cm="1" t="str">
        <f t="array" ref="P103">IF(C103="","",IF(OR(O103="",O103=0),"-",O103))</f>
        <v>-</v>
      </c>
      <c r="Q103" s="16">
        <v>0</v>
      </c>
      <c r="R103" s="16" cm="1" t="str">
        <f t="array" ref="R103">IF(C103="","",ROUND(Q103/1000000,3)&amp;" M€")</f>
        <v>0 M€</v>
      </c>
      <c r="S103" s="12" t="s">
        <v>192</v>
      </c>
      <c r="T103" s="9" cm="1" t="str">
        <f t="array" ref="T103">IF(C103="","",SUBSTITUTE(S103,"","")&amp;"%")</f>
        <v>10%</v>
      </c>
      <c r="U103" s="14" cm="1" t="str">
        <f t="array" ref="U103">IF(($N103="")*($P103=""),"",IF(($N103&lt;&gt;"")*($N103&gt;TODAY()-9)*($N103&lt;TODAY()+1)*($P103&lt;&gt;"")*($P103&gt;=TODAY())*($P103&lt;=TODAY()+13),"Semaine passée &amp; à venir",IF(($N103&lt;&gt;"")*($N103&gt;TODAY()-9)*($N103&lt;TODAY()+1),"Semaine passée",IF(($P103&lt;&gt;"")*($P103&gt;=TODAY())*($P103&lt;=TODAY()+13),"À venir","Autre"))))</f>
        <v>Autre</v>
      </c>
      <c r="V103" s="8" cm="1" t="n">
        <f t="array" ref="V103">IF(C103&lt;&gt;"",1,0)</f>
        <v>1</v>
      </c>
      <c r="W103" s="8">
</c>
      <c r="X103" s="8">
</c>
      <c r="Y103" s="8">
</c>
      <c r="Z103" s="8">
</c>
      <c r="AA103" s="8">
</c>
      <c r="AB103" s="8">
</c>
      <c r="AC103" s="8">
</c>
      <c r="AD103" s="8">
</c>
      <c r="AE103" s="8">
</c>
      <c r="AF103" s="8">
</c>
      <c r="AG103" s="8">
</c>
      <c r="AH103" s="8">
</c>
      <c r="AI103" s="8">
</c>
      <c r="AJ103" s="8">
</c>
      <c r="AK103" s="8">
</c>
    </row>
    <row r="104" ht="76.5" customHeight="1">
      <c r="A104" s="9" t="s">
        <v>23</v>
      </c>
      <c r="B104" s="9" t="s">
        <v>45</v>
      </c>
      <c r="C104" s="12" t="s">
        <v>380</v>
      </c>
      <c r="D104" s="12" t="s">
        <v>381</v>
      </c>
      <c r="E104" s="9" t="s">
        <v>39</v>
      </c>
      <c r="F104" s="8" t="s">
        <v>382</v>
      </c>
      <c r="G104" s="13" cm="1" t="str">
        <f t="array" ref="G104">IF(F104="","",SUBSTITUTE(SUBSTITUTE(SUBSTITUTE(SUBSTITUTE(F104,"&lt;li&gt;",CHAR(10)),"&lt;/li&gt;",""),"&lt;br&gt;",CHAR(10)),"&lt;strong&gt;",""))</f>
        <v>&lt;p&gt;Intérêt souverain noté le 28/01, création piste pour équipe Ventes. Tentative d'enrichissement lead échouée (email invalide). Aucune activité ou action supplémentaire enregistrée, pas de prochaine étape identifiée à ce jour.&lt;/p&gt;</v>
      </c>
      <c r="H104" s="13" cm="1" t="str">
        <f t="array" ref="H104">IF(G104="","",SUBSTITUTE(SUBSTITUTE(SUBSTITUTE(SUBSTITUTE(SUBSTITUTE(G104,"&lt;p&gt;",""),"&lt;/p&gt;",""),"&lt;ul&gt;",""),"&lt;/ul&gt;",""),"&lt;/strong&gt;",""))</f>
        <v>Intérêt souverain noté le 28/01, création piste pour équipe Ventes. Tentative d'enrichissement lead échouée (email invalide). Aucune activité ou action supplémentaire enregistrée, pas de prochaine étape identifiée à ce jour.</v>
      </c>
      <c r="I104" s="14" cm="1" t="str">
        <f t="array" ref="I104">IF(C104="","",IF(OR(H104="",H104=0,H104=FALSE),"-",H104))</f>
        <v>Intérêt souverain noté le 28/01, création piste pour équipe Ventes. Tentative d'enrichissement lead échouée (email invalide). Aucune activité ou action supplémentaire enregistrée, pas de prochaine étape identifiée à ce jour.</v>
      </c>
      <c r="J104" s="8">
</c>
      <c r="K104" s="8" t="s">
        <v>52</v>
      </c>
      <c r="L104" s="9" cm="1" t="str">
        <f t="array" ref="L104">IF(C104="","",IF(K104="Mort / Plus rien à faire","KO","OK"))</f>
        <v>OK</v>
      </c>
      <c r="M104" s="15">
        <v>46050.68548611111</v>
      </c>
      <c r="N104" s="15" cm="1" t="n">
        <f t="array" ref="N104">IF(OR(C104="",M104="",M104=0),"",M104)</f>
        <v>46050.68548611111</v>
      </c>
      <c r="O104" s="15">
</c>
      <c r="P104" s="15" cm="1" t="str">
        <f t="array" ref="P104">IF(C104="","",IF(OR(O104="",O104=0),"-",O104))</f>
        <v>-</v>
      </c>
      <c r="Q104" s="16">
        <v>0</v>
      </c>
      <c r="R104" s="16" cm="1" t="str">
        <f t="array" ref="R104">IF(C104="","",ROUND(Q104/1000000,3)&amp;" M€")</f>
        <v>0 M€</v>
      </c>
      <c r="S104" s="12" t="s">
        <v>192</v>
      </c>
      <c r="T104" s="9" cm="1" t="str">
        <f t="array" ref="T104">IF(C104="","",SUBSTITUTE(S104,"","")&amp;"%")</f>
        <v>10%</v>
      </c>
      <c r="U104" s="14" cm="1" t="str">
        <f t="array" ref="U104">IF(($N104="")*($P104=""),"",IF(($N104&lt;&gt;"")*($N104&gt;TODAY()-9)*($N104&lt;TODAY()+1)*($P104&lt;&gt;"")*($P104&gt;=TODAY())*($P104&lt;=TODAY()+13),"Semaine passée &amp; à venir",IF(($N104&lt;&gt;"")*($N104&gt;TODAY()-9)*($N104&lt;TODAY()+1),"Semaine passée",IF(($P104&lt;&gt;"")*($P104&gt;=TODAY())*($P104&lt;=TODAY()+13),"À venir","Autre"))))</f>
        <v>Autre</v>
      </c>
      <c r="V104" s="8" cm="1" t="n">
        <f t="array" ref="V104">IF(C104&lt;&gt;"",1,0)</f>
        <v>1</v>
      </c>
      <c r="W104" s="8">
</c>
      <c r="X104" s="8">
</c>
      <c r="Y104" s="8">
</c>
      <c r="Z104" s="8">
</c>
      <c r="AA104" s="8">
</c>
      <c r="AB104" s="8">
</c>
      <c r="AC104" s="8">
</c>
      <c r="AD104" s="8">
</c>
      <c r="AE104" s="8">
</c>
      <c r="AF104" s="8">
</c>
      <c r="AG104" s="8">
</c>
      <c r="AH104" s="8">
</c>
      <c r="AI104" s="8">
</c>
      <c r="AJ104" s="8">
</c>
      <c r="AK104" s="8">
</c>
    </row>
    <row r="105" ht="76.5" customHeight="1">
      <c r="A105" s="9" t="s">
        <v>23</v>
      </c>
      <c r="B105" s="9" t="s">
        <v>53</v>
      </c>
      <c r="C105" s="12" t="s">
        <v>383</v>
      </c>
      <c r="D105" s="12" t="s">
        <v>383</v>
      </c>
      <c r="E105" s="9" t="s">
        <v>39</v>
      </c>
      <c r="F105" s="8" t="s">
        <v>384</v>
      </c>
      <c r="G105" s="13" cm="1" t="str">
        <f t="array" ref="G105">IF(F105="","",SUBSTITUTE(SUBSTITUTE(SUBSTITUTE(SUBSTITUTE(F105,"&lt;li&gt;",CHAR(10)),"&lt;/li&gt;",""),"&lt;br&gt;",CHAR(10)),"&lt;strong&gt;",""))</f>
        <v>&lt;p&gt;RDV 02/02/2026 CB, EG, CP pour investir 400K tréso. Visio terminée, décision d'investir évoquée. Relance et proposition RDV gérant pour diversification sur Straton le 30/03/2026. Pas de retour prospect sur fonds présentés. Prochaines étapes : attendre réponse à la relance RDV gérant.&lt;/p&gt;</v>
      </c>
      <c r="H105" s="13" cm="1" t="str">
        <f t="array" ref="H105">IF(G105="","",SUBSTITUTE(SUBSTITUTE(SUBSTITUTE(SUBSTITUTE(SUBSTITUTE(G105,"&lt;p&gt;",""),"&lt;/p&gt;",""),"&lt;ul&gt;",""),"&lt;/ul&gt;",""),"&lt;/strong&gt;",""))</f>
        <v>RDV 02/02/2026 CB, EG, CP pour investir 400K tréso. Visio terminée, décision d'investir évoquée. Relance et proposition RDV gérant pour diversification sur Straton le 30/03/2026. Pas de retour prospect sur fonds présentés. Prochaines étapes : attendre réponse à la relance RDV gérant.</v>
      </c>
      <c r="I105" s="14" cm="1" t="str">
        <f t="array" ref="I105">IF(C105="","",IF(OR(H105="",H105=0,H105=FALSE),"-",H105))</f>
        <v>RDV 02/02/2026 CB, EG, CP pour investir 400K tréso. Visio terminée, décision d'investir évoquée. Relance et proposition RDV gérant pour diversification sur Straton le 30/03/2026. Pas de retour prospect sur fonds présentés. Prochaines étapes : attendre réponse à la relance RDV gérant.</v>
      </c>
      <c r="J105" s="8">
</c>
      <c r="K105" s="8" t="s">
        <v>109</v>
      </c>
      <c r="L105" s="9" cm="1" t="str">
        <f t="array" ref="L105">IF(C105="","",IF(K105="Mort / Plus rien à faire","KO","OK"))</f>
        <v>OK</v>
      </c>
      <c r="M105" s="15">
        <v>46126.527280092596</v>
      </c>
      <c r="N105" s="15" cm="1" t="n">
        <f t="array" ref="N105">IF(OR(C105="",M105="",M105=0),"",M105)</f>
        <v>46126.527280092596</v>
      </c>
      <c r="O105" s="15">
</c>
      <c r="P105" s="15" cm="1" t="str">
        <f t="array" ref="P105">IF(C105="","",IF(OR(O105="",O105=0),"-",O105))</f>
        <v>-</v>
      </c>
      <c r="Q105" s="16">
        <v>150000</v>
      </c>
      <c r="R105" s="16" cm="1" t="str">
        <f t="array" ref="R105">IF(C105="","",ROUND(Q105/1000000,3)&amp;" M€")</f>
        <v>0.15 M€</v>
      </c>
      <c r="S105" s="12" t="s">
        <v>192</v>
      </c>
      <c r="T105" s="9" cm="1" t="str">
        <f t="array" ref="T105">IF(C105="","",SUBSTITUTE(S105,"","")&amp;"%")</f>
        <v>10%</v>
      </c>
      <c r="U105" s="14" cm="1" t="str">
        <f t="array" ref="U105">IF(($N105="")*($P105=""),"",IF(($N105&lt;&gt;"")*($N105&gt;TODAY()-9)*($N105&lt;TODAY()+1)*($P105&lt;&gt;"")*($P105&gt;=TODAY())*($P105&lt;=TODAY()+13),"Semaine passée &amp; à venir",IF(($N105&lt;&gt;"")*($N105&gt;TODAY()-9)*($N105&lt;TODAY()+1),"Semaine passée",IF(($P105&lt;&gt;"")*($P105&gt;=TODAY())*($P105&lt;=TODAY()+13),"À venir","Autre"))))</f>
        <v>Autre</v>
      </c>
      <c r="V105" s="8" cm="1" t="n">
        <f t="array" ref="V105">IF(C105&lt;&gt;"",1,0)</f>
        <v>1</v>
      </c>
      <c r="W105" s="8">
</c>
      <c r="X105" s="8">
</c>
      <c r="Y105" s="8">
</c>
      <c r="Z105" s="8">
</c>
      <c r="AA105" s="8">
</c>
      <c r="AB105" s="8">
</c>
      <c r="AC105" s="8">
</c>
      <c r="AD105" s="8">
</c>
      <c r="AE105" s="8">
</c>
      <c r="AF105" s="8">
</c>
      <c r="AG105" s="8">
</c>
      <c r="AH105" s="8">
</c>
      <c r="AI105" s="8">
</c>
      <c r="AJ105" s="8">
</c>
      <c r="AK105" s="8">
</c>
    </row>
    <row r="106" ht="76.5" customHeight="1">
      <c r="A106" s="9" t="s">
        <v>23</v>
      </c>
      <c r="B106" s="9" t="s">
        <v>57</v>
      </c>
      <c r="C106" s="12" t="s">
        <v>385</v>
      </c>
      <c r="D106" s="12" t="s">
        <v>385</v>
      </c>
      <c r="E106" s="9" t="s">
        <v>27</v>
      </c>
      <c r="F106" s="8" t="s">
        <v>386</v>
      </c>
      <c r="G106" s="13" cm="1" t="str">
        <f t="array" ref="G106">IF(F106="","",SUBSTITUTE(SUBSTITUTE(SUBSTITUTE(SUBSTITUTE(F106,"&lt;li&gt;",CHAR(10)),"&lt;/li&gt;",""),"&lt;br&gt;",CHAR(10)),"&lt;strong&gt;",""))</f>
        <v>&lt;p&gt;Aucune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prospect.&lt;/p&gt;</v>
      </c>
      <c r="H106" s="13" cm="1" t="str">
        <f t="array" ref="H106">IF(G106="","",SUBSTITUTE(SUBSTITUTE(SUBSTITUTE(SUBSTITUTE(SUBSTITUTE(G106,"&lt;p&gt;",""),"&lt;/p&gt;",""),"&lt;ul&gt;",""),"&lt;/ul&gt;",""),"&lt;/strong&gt;",""))</f>
        <v>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v>
      </c>
      <c r="I106" s="14" cm="1" t="str">
        <f t="array" ref="I106">IF(C106="","",IF(OR(H106="",H106=0,H106=FALSE),"-",H106))</f>
        <v>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v>
      </c>
      <c r="J106" s="8">
</c>
      <c r="K106" s="8" t="s">
        <v>162</v>
      </c>
      <c r="L106" s="9" cm="1" t="str">
        <f t="array" ref="L106">IF(C106="","",IF(K106="Mort / Plus rien à faire","KO","OK"))</f>
        <v>OK</v>
      </c>
      <c r="M106" s="15">
        <v>46028.549733796295</v>
      </c>
      <c r="N106" s="15" cm="1" t="n">
        <f t="array" ref="N106">IF(OR(C106="",M106="",M106=0),"",M106)</f>
        <v>46028.549733796295</v>
      </c>
      <c r="O106" s="15">
</c>
      <c r="P106" s="15" cm="1" t="str">
        <f t="array" ref="P106">IF(C106="","",IF(OR(O106="",O106=0),"-",O106))</f>
        <v>-</v>
      </c>
      <c r="Q106" s="16">
        <v>100000</v>
      </c>
      <c r="R106" s="16" cm="1" t="str">
        <f t="array" ref="R106">IF(C106="","",ROUND(Q106/1000000,3)&amp;" M€")</f>
        <v>0.1 M€</v>
      </c>
      <c r="S106" s="12" t="s">
        <v>192</v>
      </c>
      <c r="T106" s="9" cm="1" t="str">
        <f t="array" ref="T106">IF(C106="","",SUBSTITUTE(S106,"","")&amp;"%")</f>
        <v>10%</v>
      </c>
      <c r="U106" s="14" cm="1" t="str">
        <f t="array" ref="U106">IF(($N106="")*($P106=""),"",IF(($N106&lt;&gt;"")*($N106&gt;TODAY()-9)*($N106&lt;TODAY()+1)*($P106&lt;&gt;"")*($P106&gt;=TODAY())*($P106&lt;=TODAY()+13),"Semaine passée &amp; à venir",IF(($N106&lt;&gt;"")*($N106&gt;TODAY()-9)*($N106&lt;TODAY()+1),"Semaine passée",IF(($P106&lt;&gt;"")*($P106&gt;=TODAY())*($P106&lt;=TODAY()+13),"À venir","Autre"))))</f>
        <v>Autre</v>
      </c>
      <c r="V106" s="8" cm="1" t="n">
        <f t="array" ref="V106">IF(C106&lt;&gt;"",1,0)</f>
        <v>1</v>
      </c>
      <c r="W106" s="8">
</c>
      <c r="X106" s="8">
</c>
      <c r="Y106" s="8">
</c>
      <c r="Z106" s="8">
</c>
      <c r="AA106" s="8">
</c>
      <c r="AB106" s="8">
</c>
      <c r="AC106" s="8">
</c>
      <c r="AD106" s="8">
</c>
      <c r="AE106" s="8">
</c>
      <c r="AF106" s="8">
</c>
      <c r="AG106" s="8">
</c>
      <c r="AH106" s="8">
</c>
      <c r="AI106" s="8">
</c>
      <c r="AJ106" s="8">
</c>
      <c r="AK106" s="8">
</c>
    </row>
    <row r="107" ht="76.5" customHeight="1">
      <c r="A107" s="9" t="s">
        <v>23</v>
      </c>
      <c r="B107" s="9" t="s">
        <v>200</v>
      </c>
      <c r="C107" s="12" t="s">
        <v>387</v>
      </c>
      <c r="D107" s="12" t="s">
        <v>388</v>
      </c>
      <c r="E107" s="9" t="s">
        <v>27</v>
      </c>
      <c r="F107" s="8" t="s">
        <v>389</v>
      </c>
      <c r="G107" s="13" cm="1" t="str">
        <f t="array" ref="G107">IF(F107="","",SUBSTITUTE(SUBSTITUTE(SUBSTITUTE(SUBSTITUTE(F107,"&lt;li&gt;",CHAR(10)),"&lt;/li&gt;",""),"&lt;br&gt;",CHAR(10)),"&lt;strong&gt;",""))</f>
        <v>&lt;p&gt;RDV 12/02/26 CRR Florence Dourdet&amp;nbsp;: UNOFI n’investit qu’en immobilier direct via SCPI Notapierre et SCI Unofimmo, focus bureaux, pas de fonds tiers. Pas d’enveloppe non-coté pour 2026, veille suspendue. Relance prévue fin septembre pour perspectives 2027. Ouverture à présentation d’opérations très core.&lt;/p&gt;</v>
      </c>
      <c r="H107" s="13" cm="1" t="str">
        <f t="array" ref="H107">IF(G107="","",SUBSTITUTE(SUBSTITUTE(SUBSTITUTE(SUBSTITUTE(SUBSTITUTE(G107,"&lt;p&gt;",""),"&lt;/p&gt;",""),"&lt;ul&gt;",""),"&lt;/ul&gt;",""),"&lt;/strong&gt;",""))</f>
        <v>RDV 12/02/26 CRR Florence Dourdet&amp;nbsp;: UNOFI n’investit qu’en immobilier direct via SCPI Notapierre et SCI Unofimmo, focus bureaux, pas de fonds tiers. Pas d’enveloppe non-coté pour 2026, veille suspendue. Relance prévue fin septembre pour perspectives 2027. Ouverture à présentation d’opérations très core.</v>
      </c>
      <c r="I107" s="14" cm="1" t="str">
        <f t="array" ref="I107">IF(C107="","",IF(OR(H107="",H107=0,H107=FALSE),"-",H107))</f>
        <v>RDV 12/02/26 CRR Florence Dourdet&amp;nbsp;: UNOFI n’investit qu’en immobilier direct via SCPI Notapierre et SCI Unofimmo, focus bureaux, pas de fonds tiers. Pas d’enveloppe non-coté pour 2026, veille suspendue. Relance prévue fin septembre pour perspectives 2027. Ouverture à présentation d’opérations très core.</v>
      </c>
      <c r="J107" s="8" t="s">
        <v>390</v>
      </c>
      <c r="K107" s="8" t="s">
        <v>95</v>
      </c>
      <c r="L107" s="9" cm="1" t="str">
        <f t="array" ref="L107">IF(C107="","",IF(K107="Mort / Plus rien à faire","KO","OK"))</f>
        <v>OK</v>
      </c>
      <c r="M107" s="15">
        <v>46125.78155092592</v>
      </c>
      <c r="N107" s="15" cm="1" t="n">
        <f t="array" ref="N107">IF(OR(C107="",M107="",M107=0),"",M107)</f>
        <v>46125.78155092592</v>
      </c>
      <c r="O107" s="15">
        <v>46290.083333333336</v>
      </c>
      <c r="P107" s="15" cm="1" t="n">
        <f t="array" ref="P107">IF(C107="","",IF(OR(O107="",O107=0),"-",O107))</f>
        <v>46290.083333333336</v>
      </c>
      <c r="Q107" s="16">
        <v>0</v>
      </c>
      <c r="R107" s="16" cm="1" t="str">
        <f t="array" ref="R107">IF(C107="","",ROUND(Q107/1000000,3)&amp;" M€")</f>
        <v>0 M€</v>
      </c>
      <c r="S107" s="12" t="s">
        <v>192</v>
      </c>
      <c r="T107" s="9" cm="1" t="str">
        <f t="array" ref="T107">IF(C107="","",SUBSTITUTE(S107,"","")&amp;"%")</f>
        <v>10%</v>
      </c>
      <c r="U107" s="14" cm="1" t="str">
        <f t="array" ref="U107">IF(($N107="")*($P107=""),"",IF(($N107&lt;&gt;"")*($N107&gt;TODAY()-9)*($N107&lt;TODAY()+1)*($P107&lt;&gt;"")*($P107&gt;=TODAY())*($P107&lt;=TODAY()+13),"Semaine passée &amp; à venir",IF(($N107&lt;&gt;"")*($N107&gt;TODAY()-9)*($N107&lt;TODAY()+1),"Semaine passée",IF(($P107&lt;&gt;"")*($P107&gt;=TODAY())*($P107&lt;=TODAY()+13),"À venir","Autre"))))</f>
        <v>Autre</v>
      </c>
      <c r="V107" s="8" cm="1" t="n">
        <f t="array" ref="V107">IF(C107&lt;&gt;"",1,0)</f>
        <v>1</v>
      </c>
      <c r="W107" s="8">
</c>
      <c r="X107" s="8">
</c>
      <c r="Y107" s="8">
</c>
      <c r="Z107" s="8">
</c>
      <c r="AA107" s="8">
</c>
      <c r="AB107" s="8">
</c>
      <c r="AC107" s="8">
</c>
      <c r="AD107" s="8">
</c>
      <c r="AE107" s="8">
</c>
      <c r="AF107" s="8">
</c>
      <c r="AG107" s="8">
</c>
      <c r="AH107" s="8">
</c>
      <c r="AI107" s="8">
</c>
      <c r="AJ107" s="8">
</c>
      <c r="AK107" s="8">
</c>
    </row>
    <row r="108" ht="76.5" customHeight="1">
      <c r="A108" s="9" t="s">
        <v>23</v>
      </c>
      <c r="B108" s="9" t="s">
        <v>113</v>
      </c>
      <c r="C108" s="12" t="s">
        <v>391</v>
      </c>
      <c r="D108" s="12" t="s">
        <v>392</v>
      </c>
      <c r="E108" s="9" t="s">
        <v>27</v>
      </c>
      <c r="F108" s="8" t="s">
        <v>393</v>
      </c>
      <c r="G108" s="13" cm="1" t="str">
        <f t="array" ref="G108">IF(F108="","",SUBSTITUTE(SUBSTITUTE(SUBSTITUTE(SUBSTITUTE(F108,"&lt;li&gt;",CHAR(10)),"&lt;/li&gt;",""),"&lt;br&gt;",CHAR(10)),"&lt;strong&gt;",""))</f>
        <v>&lt;p&gt;Aucune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disponibles.&lt;/p&gt;</v>
      </c>
      <c r="H108" s="13" cm="1" t="str">
        <f t="array" ref="H108">IF(G108="","",SUBSTITUTE(SUBSTITUTE(SUBSTITUTE(SUBSTITUTE(SUBSTITUTE(G108,"&lt;p&gt;",""),"&lt;/p&gt;",""),"&lt;ul&gt;",""),"&lt;/ul&gt;",""),"&lt;/strong&gt;",""))</f>
        <v>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v>
      </c>
      <c r="I108" s="14" cm="1" t="str">
        <f t="array" ref="I108">IF(C108="","",IF(OR(H108="",H108=0,H108=FALSE),"-",H108))</f>
        <v>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v>
      </c>
      <c r="J108" s="8">
</c>
      <c r="K108" s="8" t="s">
        <v>162</v>
      </c>
      <c r="L108" s="9" cm="1" t="str">
        <f t="array" ref="L108">IF(C108="","",IF(K108="Mort / Plus rien à faire","KO","OK"))</f>
        <v>OK</v>
      </c>
      <c r="M108" s="15">
        <v>45992.44721064815</v>
      </c>
      <c r="N108" s="15" cm="1" t="n">
        <f t="array" ref="N108">IF(OR(C108="",M108="",M108=0),"",M108)</f>
        <v>45992.44721064815</v>
      </c>
      <c r="O108" s="15">
</c>
      <c r="P108" s="15" cm="1" t="str">
        <f t="array" ref="P108">IF(C108="","",IF(OR(O108="",O108=0),"-",O108))</f>
        <v>-</v>
      </c>
      <c r="Q108" s="16">
        <v>0</v>
      </c>
      <c r="R108" s="16" cm="1" t="str">
        <f t="array" ref="R108">IF(C108="","",ROUND(Q108/1000000,3)&amp;" M€")</f>
        <v>0 M€</v>
      </c>
      <c r="S108" s="12" t="s">
        <v>192</v>
      </c>
      <c r="T108" s="9" cm="1" t="str">
        <f t="array" ref="T108">IF(C108="","",SUBSTITUTE(S108,"","")&amp;"%")</f>
        <v>10%</v>
      </c>
      <c r="U108" s="14" cm="1" t="str">
        <f t="array" ref="U108">IF(($N108="")*($P108=""),"",IF(($N108&lt;&gt;"")*($N108&gt;TODAY()-9)*($N108&lt;TODAY()+1)*($P108&lt;&gt;"")*($P108&gt;=TODAY())*($P108&lt;=TODAY()+13),"Semaine passée &amp; à venir",IF(($N108&lt;&gt;"")*($N108&gt;TODAY()-9)*($N108&lt;TODAY()+1),"Semaine passée",IF(($P108&lt;&gt;"")*($P108&gt;=TODAY())*($P108&lt;=TODAY()+13),"À venir","Autre"))))</f>
        <v>Autre</v>
      </c>
      <c r="V108" s="8" cm="1" t="n">
        <f t="array" ref="V108">IF(C108&lt;&gt;"",1,0)</f>
        <v>1</v>
      </c>
      <c r="W108" s="8">
</c>
      <c r="X108" s="8">
</c>
      <c r="Y108" s="8">
</c>
      <c r="Z108" s="8">
</c>
      <c r="AA108" s="8">
</c>
      <c r="AB108" s="8">
</c>
      <c r="AC108" s="8">
</c>
      <c r="AD108" s="8">
</c>
      <c r="AE108" s="8">
</c>
      <c r="AF108" s="8">
</c>
      <c r="AG108" s="8">
</c>
      <c r="AH108" s="8">
</c>
      <c r="AI108" s="8">
</c>
      <c r="AJ108" s="8">
</c>
      <c r="AK108" s="8">
</c>
    </row>
    <row r="109" ht="76.5" customHeight="1">
      <c r="A109" s="9" t="s">
        <v>23</v>
      </c>
      <c r="B109" s="9" t="s">
        <v>113</v>
      </c>
      <c r="C109" s="12" t="s">
        <v>394</v>
      </c>
      <c r="D109" s="12" t="s">
        <v>395</v>
      </c>
      <c r="E109" s="9" t="s">
        <v>27</v>
      </c>
      <c r="F109" s="8" t="s">
        <v>396</v>
      </c>
      <c r="G109" s="13" cm="1" t="str">
        <f t="array" ref="G109">IF(F109="","",SUBSTITUTE(SUBSTITUTE(SUBSTITUTE(SUBSTITUTE(F109,"&lt;li&gt;",CHAR(10)),"&lt;/li&gt;",""),"&lt;br&gt;",CHAR(10)),"&lt;strong&gt;",""))</f>
        <v>&lt;p&gt;RDV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2027.&lt;/p&gt;</v>
      </c>
      <c r="H109" s="13" cm="1" t="str">
        <f t="array" ref="H109">IF(G109="","",SUBSTITUTE(SUBSTITUTE(SUBSTITUTE(SUBSTITUTE(SUBSTITUTE(G109,"&lt;p&gt;",""),"&lt;/p&gt;",""),"&lt;ul&gt;",""),"&lt;/ul&gt;",""),"&lt;/strong&gt;",""))</f>
        <v>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v>
      </c>
      <c r="I109" s="14" cm="1" t="str">
        <f t="array" ref="I109">IF(C109="","",IF(OR(H109="",H109=0,H109=FALSE),"-",H109))</f>
        <v>RDV physique 06/01/2026&amp;nbsp;: intérêt OK pour STRATON sous réserve dealflow co-invest, 10% Robin Lefleve, suivi SGP AUDACIA/QUANTO, besoins bancaires identifiés, centralisation fonds de fonds (Anh→Mélanie), focus PE direct, pas de first time team, prochaine relance juin 2026 pour instruction 2027.</v>
      </c>
      <c r="J109" s="8" t="s">
        <v>397</v>
      </c>
      <c r="K109" s="8" t="s">
        <v>95</v>
      </c>
      <c r="L109" s="9" cm="1" t="str">
        <f t="array" ref="L109">IF(C109="","",IF(K109="Mort / Plus rien à faire","KO","OK"))</f>
        <v>OK</v>
      </c>
      <c r="M109" s="15">
        <v>46028.52925925926</v>
      </c>
      <c r="N109" s="15" cm="1" t="n">
        <f t="array" ref="N109">IF(OR(C109="",M109="",M109=0),"",M109)</f>
        <v>46028.52925925926</v>
      </c>
      <c r="O109" s="15">
        <v>46203.083333333336</v>
      </c>
      <c r="P109" s="15" cm="1" t="n">
        <f t="array" ref="P109">IF(C109="","",IF(OR(O109="",O109=0),"-",O109))</f>
        <v>46203.083333333336</v>
      </c>
      <c r="Q109" s="16">
        <v>0</v>
      </c>
      <c r="R109" s="16" cm="1" t="str">
        <f t="array" ref="R109">IF(C109="","",ROUND(Q109/1000000,3)&amp;" M€")</f>
        <v>0 M€</v>
      </c>
      <c r="S109" s="12" t="s">
        <v>192</v>
      </c>
      <c r="T109" s="9" cm="1" t="str">
        <f t="array" ref="T109">IF(C109="","",SUBSTITUTE(S109,"","")&amp;"%")</f>
        <v>10%</v>
      </c>
      <c r="U109" s="14" cm="1" t="str">
        <f t="array" ref="U109">IF(($N109="")*($P109=""),"",IF(($N109&lt;&gt;"")*($N109&gt;TODAY()-9)*($N109&lt;TODAY()+1)*($P109&lt;&gt;"")*($P109&gt;=TODAY())*($P109&lt;=TODAY()+13),"Semaine passée &amp; à venir",IF(($N109&lt;&gt;"")*($N109&gt;TODAY()-9)*($N109&lt;TODAY()+1),"Semaine passée",IF(($P109&lt;&gt;"")*($P109&gt;=TODAY())*($P109&lt;=TODAY()+13),"À venir","Autre"))))</f>
        <v>Autre</v>
      </c>
      <c r="V109" s="8" cm="1" t="n">
        <f t="array" ref="V109">IF(C109&lt;&gt;"",1,0)</f>
        <v>1</v>
      </c>
      <c r="W109" s="8">
</c>
      <c r="X109" s="8">
</c>
      <c r="Y109" s="8">
</c>
      <c r="Z109" s="8">
</c>
      <c r="AA109" s="8">
</c>
      <c r="AB109" s="8">
</c>
      <c r="AC109" s="8">
</c>
      <c r="AD109" s="8">
</c>
      <c r="AE109" s="8">
</c>
      <c r="AF109" s="8">
</c>
      <c r="AG109" s="8">
</c>
      <c r="AH109" s="8">
</c>
      <c r="AI109" s="8">
</c>
      <c r="AJ109" s="8">
</c>
      <c r="AK109" s="8">
</c>
    </row>
    <row r="110" ht="76.5" customHeight="1">
      <c r="A110" s="9" t="s">
        <v>23</v>
      </c>
      <c r="B110" s="9" t="s">
        <v>170</v>
      </c>
      <c r="C110" s="12" t="s">
        <v>398</v>
      </c>
      <c r="D110" s="12" t="s">
        <v>399</v>
      </c>
      <c r="E110" s="9" t="s">
        <v>27</v>
      </c>
      <c r="F110" s="8" t="s">
        <v>400</v>
      </c>
      <c r="G110" s="13" cm="1" t="str">
        <f t="array" ref="G110">IF(F110="","",SUBSTITUTE(SUBSTITUTE(SUBSTITUTE(SUBSTITUTE(F110,"&lt;li&gt;",CHAR(10)),"&lt;/li&gt;",""),"&lt;br&gt;",CHAR(10)),"&lt;strong&gt;",""))</f>
        <v>&lt;p&gt;RDV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prospect.&lt;/p&gt;</v>
      </c>
      <c r="H110" s="13" cm="1" t="str">
        <f t="array" ref="H110">IF(G110="","",SUBSTITUTE(SUBSTITUTE(SUBSTITUTE(SUBSTITUTE(SUBSTITUTE(G110,"&lt;p&gt;",""),"&lt;/p&gt;",""),"&lt;ul&gt;",""),"&lt;/ul&gt;",""),"&lt;/strong&gt;",""))</f>
        <v>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v>
      </c>
      <c r="I110" s="14" cm="1" t="str">
        <f t="array" ref="I110">IF(C110="","",IF(OR(H110="",H110=0,H110=FALSE),"-",H110))</f>
        <v>RDV qualification 22/01/26, offre axée Luxembourg, mise en relation Charlotte Donahue, action : contacter assureurs luxembourgeois, envoyer doc fonds PE. Présentation CAPDEV, Straton, Geodesic faite. Déjeuner Strat&amp;amp;Fi 03/03/26. Relance prévue fin mars 2026, proposition faite, attente retour prospect.</v>
      </c>
      <c r="J110" s="8" t="s">
        <v>401</v>
      </c>
      <c r="K110" s="8" t="s">
        <v>52</v>
      </c>
      <c r="L110" s="9" cm="1" t="str">
        <f t="array" ref="L110">IF(C110="","",IF(K110="Mort / Plus rien à faire","KO","OK"))</f>
        <v>OK</v>
      </c>
      <c r="M110" s="15">
        <v>46092.77395833333</v>
      </c>
      <c r="N110" s="15" cm="1" t="n">
        <f t="array" ref="N110">IF(OR(C110="",M110="",M110=0),"",M110)</f>
        <v>46092.77395833333</v>
      </c>
      <c r="O110" s="15">
</c>
      <c r="P110" s="15" cm="1" t="str">
        <f t="array" ref="P110">IF(C110="","",IF(OR(O110="",O110=0),"-",O110))</f>
        <v>-</v>
      </c>
      <c r="Q110" s="16">
        <v>0</v>
      </c>
      <c r="R110" s="16" cm="1" t="str">
        <f t="array" ref="R110">IF(C110="","",ROUND(Q110/1000000,3)&amp;" M€")</f>
        <v>0 M€</v>
      </c>
      <c r="S110" s="12" t="s">
        <v>192</v>
      </c>
      <c r="T110" s="9" cm="1" t="str">
        <f t="array" ref="T110">IF(C110="","",SUBSTITUTE(S110,"","")&amp;"%")</f>
        <v>10%</v>
      </c>
      <c r="U110" s="14" cm="1" t="str">
        <f t="array" ref="U110">IF(($N110="")*($P110=""),"",IF(($N110&lt;&gt;"")*($N110&gt;TODAY()-9)*($N110&lt;TODAY()+1)*($P110&lt;&gt;"")*($P110&gt;=TODAY())*($P110&lt;=TODAY()+13),"Semaine passée &amp; à venir",IF(($N110&lt;&gt;"")*($N110&gt;TODAY()-9)*($N110&lt;TODAY()+1),"Semaine passée",IF(($P110&lt;&gt;"")*($P110&gt;=TODAY())*($P110&lt;=TODAY()+13),"À venir","Autre"))))</f>
        <v>Autre</v>
      </c>
      <c r="V110" s="8" cm="1" t="n">
        <f t="array" ref="V110">IF(C110&lt;&gt;"",1,0)</f>
        <v>1</v>
      </c>
      <c r="W110" s="8">
</c>
      <c r="X110" s="8">
</c>
      <c r="Y110" s="8">
</c>
      <c r="Z110" s="8">
</c>
      <c r="AA110" s="8">
</c>
      <c r="AB110" s="8">
</c>
      <c r="AC110" s="8">
</c>
      <c r="AD110" s="8">
</c>
      <c r="AE110" s="8">
</c>
      <c r="AF110" s="8">
</c>
      <c r="AG110" s="8">
</c>
      <c r="AH110" s="8">
</c>
      <c r="AI110" s="8">
</c>
      <c r="AJ110" s="8">
</c>
      <c r="AK110" s="8">
</c>
    </row>
    <row r="111" ht="76.5" customHeight="1">
      <c r="A111" s="9" t="s">
        <v>23</v>
      </c>
      <c r="B111" s="9" t="s">
        <v>257</v>
      </c>
      <c r="C111" s="12" t="s">
        <v>402</v>
      </c>
      <c r="D111" s="12" t="s">
        <v>403</v>
      </c>
      <c r="E111" s="9" t="s">
        <v>27</v>
      </c>
      <c r="F111" s="8" t="s">
        <v>404</v>
      </c>
      <c r="G111" s="13" cm="1" t="str">
        <f t="array" ref="G111">IF(F111="","",SUBSTITUTE(SUBSTITUTE(SUBSTITUTE(SUBSTITUTE(F111,"&lt;li&gt;",CHAR(10)),"&lt;/li&gt;",""),"&lt;br&gt;",CHAR(10)),"&lt;strong&gt;",""))</f>
        <v>&lt;p&gt;Mail présentation Straton envoyé 10/02, attribution initiale Romain Andrieu. Enrichissement lead impossible (email non valide). Nouvelle piste créée pour équipe Ventes. Pas d'activité ou retour prospect, prochaines étapes non définies. Suivi à relancer si besoin.&lt;/p&gt;</v>
      </c>
      <c r="H111" s="13" cm="1" t="str">
        <f t="array" ref="H111">IF(G111="","",SUBSTITUTE(SUBSTITUTE(SUBSTITUTE(SUBSTITUTE(SUBSTITUTE(G111,"&lt;p&gt;",""),"&lt;/p&gt;",""),"&lt;ul&gt;",""),"&lt;/ul&gt;",""),"&lt;/strong&gt;",""))</f>
        <v>Mail présentation Straton envoyé 10/02, attribution initiale Romain Andrieu. Enrichissement lead impossible (email non valide). Nouvelle piste créée pour équipe Ventes. Pas d'activité ou retour prospect, prochaines étapes non définies. Suivi à relancer si besoin.</v>
      </c>
      <c r="I111" s="14" cm="1" t="str">
        <f t="array" ref="I111">IF(C111="","",IF(OR(H111="",H111=0,H111=FALSE),"-",H111))</f>
        <v>Mail présentation Straton envoyé 10/02, attribution initiale Romain Andrieu. Enrichissement lead impossible (email non valide). Nouvelle piste créée pour équipe Ventes. Pas d'activité ou retour prospect, prochaines étapes non définies. Suivi à relancer si besoin.</v>
      </c>
      <c r="J111" s="8">
</c>
      <c r="K111" s="8" t="s">
        <v>162</v>
      </c>
      <c r="L111" s="9" cm="1" t="str">
        <f t="array" ref="L111">IF(C111="","",IF(K111="Mort / Plus rien à faire","KO","OK"))</f>
        <v>OK</v>
      </c>
      <c r="M111" s="15">
        <v>46063.629016203704</v>
      </c>
      <c r="N111" s="15" cm="1" t="n">
        <f t="array" ref="N111">IF(OR(C111="",M111="",M111=0),"",M111)</f>
        <v>46063.629016203704</v>
      </c>
      <c r="O111" s="15">
</c>
      <c r="P111" s="15" cm="1" t="str">
        <f t="array" ref="P111">IF(C111="","",IF(OR(O111="",O111=0),"-",O111))</f>
        <v>-</v>
      </c>
      <c r="Q111" s="16">
        <v>0</v>
      </c>
      <c r="R111" s="16" cm="1" t="str">
        <f t="array" ref="R111">IF(C111="","",ROUND(Q111/1000000,3)&amp;" M€")</f>
        <v>0 M€</v>
      </c>
      <c r="S111" s="12" t="s">
        <v>192</v>
      </c>
      <c r="T111" s="9" cm="1" t="str">
        <f t="array" ref="T111">IF(C111="","",SUBSTITUTE(S111,"","")&amp;"%")</f>
        <v>10%</v>
      </c>
      <c r="U111" s="14" cm="1" t="str">
        <f t="array" ref="U111">IF(($N111="")*($P111=""),"",IF(($N111&lt;&gt;"")*($N111&gt;TODAY()-9)*($N111&lt;TODAY()+1)*($P111&lt;&gt;"")*($P111&gt;=TODAY())*($P111&lt;=TODAY()+13),"Semaine passée &amp; à venir",IF(($N111&lt;&gt;"")*($N111&gt;TODAY()-9)*($N111&lt;TODAY()+1),"Semaine passée",IF(($P111&lt;&gt;"")*($P111&gt;=TODAY())*($P111&lt;=TODAY()+13),"À venir","Autre"))))</f>
        <v>Autre</v>
      </c>
      <c r="V111" s="8" cm="1" t="n">
        <f t="array" ref="V111">IF(C111&lt;&gt;"",1,0)</f>
        <v>1</v>
      </c>
      <c r="W111" s="8">
</c>
      <c r="X111" s="8">
</c>
      <c r="Y111" s="8">
</c>
      <c r="Z111" s="8">
</c>
      <c r="AA111" s="8">
</c>
      <c r="AB111" s="8">
</c>
      <c r="AC111" s="8">
</c>
      <c r="AD111" s="8">
</c>
      <c r="AE111" s="8">
</c>
      <c r="AF111" s="8">
</c>
      <c r="AG111" s="8">
</c>
      <c r="AH111" s="8">
</c>
      <c r="AI111" s="8">
</c>
      <c r="AJ111" s="8">
</c>
      <c r="AK111" s="8">
</c>
    </row>
    <row r="112" ht="76.5" customHeight="1">
      <c r="A112" s="9" t="s">
        <v>23</v>
      </c>
      <c r="B112" s="9" t="s">
        <v>32</v>
      </c>
      <c r="C112" s="12" t="s">
        <v>405</v>
      </c>
      <c r="D112" s="12" t="s">
        <v>406</v>
      </c>
      <c r="E112" s="9" t="s">
        <v>27</v>
      </c>
      <c r="F112" s="8" t="s">
        <v>407</v>
      </c>
      <c r="G112" s="13" cm="1" t="str">
        <f t="array" ref="G112">IF(F112="","",SUBSTITUTE(SUBSTITUTE(SUBSTITUTE(SUBSTITUTE(F112,"&lt;li&gt;",CHAR(10)),"&lt;/li&gt;",""),"&lt;br&gt;",CHAR(10)),"&lt;strong&gt;",""))</f>
        <v>&lt;p&gt;RDV physique réalisé, prospect pas intéressé par le fonds coté à ce stade (taux jugés peu attractifs). Allocation en réflexion, suivi à alimenter. Relance prévue pour un déjeuner, pas de retour sur évolution depuis. Prochaine étape&amp;nbsp;: relancer pour déjeuner, pas d'autres actions planifiées.&lt;/p&gt;</v>
      </c>
      <c r="H112" s="13" cm="1" t="str">
        <f t="array" ref="H112">IF(G112="","",SUBSTITUTE(SUBSTITUTE(SUBSTITUTE(SUBSTITUTE(SUBSTITUTE(G112,"&lt;p&gt;",""),"&lt;/p&gt;",""),"&lt;ul&gt;",""),"&lt;/ul&gt;",""),"&lt;/strong&gt;",""))</f>
        <v>RDV physique réalisé, prospect pas intéressé par le fonds coté à ce stade (taux jugés peu attractifs). Allocation en réflexion, suivi à alimenter. Relance prévue pour un déjeuner, pas de retour sur évolution depuis. Prochaine étape&amp;nbsp;: relancer pour déjeuner, pas d'autres actions planifiées.</v>
      </c>
      <c r="I112" s="14" cm="1" t="str">
        <f t="array" ref="I112">IF(C112="","",IF(OR(H112="",H112=0,H112=FALSE),"-",H112))</f>
        <v>RDV physique réalisé, prospect pas intéressé par le fonds coté à ce stade (taux jugés peu attractifs). Allocation en réflexion, suivi à alimenter. Relance prévue pour un déjeuner, pas de retour sur évolution depuis. Prochaine étape&amp;nbsp;: relancer pour déjeuner, pas d'autres actions planifiées.</v>
      </c>
      <c r="J112" s="8" t="s">
        <v>408</v>
      </c>
      <c r="K112" s="8" t="s">
        <v>95</v>
      </c>
      <c r="L112" s="9" cm="1" t="str">
        <f t="array" ref="L112">IF(C112="","",IF(K112="Mort / Plus rien à faire","KO","OK"))</f>
        <v>OK</v>
      </c>
      <c r="M112" s="15">
        <v>46114.68157407407</v>
      </c>
      <c r="N112" s="15" cm="1" t="n">
        <f t="array" ref="N112">IF(OR(C112="",M112="",M112=0),"",M112)</f>
        <v>46114.68157407407</v>
      </c>
      <c r="O112" s="15">
        <v>46149.083333333336</v>
      </c>
      <c r="P112" s="15" cm="1" t="n">
        <f t="array" ref="P112">IF(C112="","",IF(OR(O112="",O112=0),"-",O112))</f>
        <v>46149.083333333336</v>
      </c>
      <c r="Q112" s="16">
        <v>5000000</v>
      </c>
      <c r="R112" s="16" cm="1" t="str">
        <f t="array" ref="R112">IF(C112="","",ROUND(Q112/1000000,3)&amp;" M€")</f>
        <v>5 M€</v>
      </c>
      <c r="S112" s="12" t="s">
        <v>192</v>
      </c>
      <c r="T112" s="9" cm="1" t="str">
        <f t="array" ref="T112">IF(C112="","",SUBSTITUTE(S112,"","")&amp;"%")</f>
        <v>10%</v>
      </c>
      <c r="U112" s="14" cm="1" t="str">
        <f t="array" ref="U112">IF(($N112="")*($P112=""),"",IF(($N112&lt;&gt;"")*($N112&gt;TODAY()-9)*($N112&lt;TODAY()+1)*($P112&lt;&gt;"")*($P112&gt;=TODAY())*($P112&lt;=TODAY()+13),"Semaine passée &amp; à venir",IF(($N112&lt;&gt;"")*($N112&gt;TODAY()-9)*($N112&lt;TODAY()+1),"Semaine passée",IF(($P112&lt;&gt;"")*($P112&gt;=TODAY())*($P112&lt;=TODAY()+13),"À venir","Autre"))))</f>
        <v>À venir</v>
      </c>
      <c r="V112" s="8" cm="1" t="n">
        <f t="array" ref="V112">IF(C112&lt;&gt;"",1,0)</f>
        <v>1</v>
      </c>
      <c r="W112" s="8">
</c>
      <c r="X112" s="8">
</c>
      <c r="Y112" s="8">
</c>
      <c r="Z112" s="8">
</c>
      <c r="AA112" s="8">
</c>
      <c r="AB112" s="8">
</c>
      <c r="AC112" s="8">
</c>
      <c r="AD112" s="8">
</c>
      <c r="AE112" s="8">
</c>
      <c r="AF112" s="8">
</c>
      <c r="AG112" s="8">
</c>
      <c r="AH112" s="8">
</c>
      <c r="AI112" s="8">
</c>
      <c r="AJ112" s="8">
</c>
      <c r="AK112" s="8">
</c>
    </row>
    <row r="113" ht="76.5" customHeight="1">
      <c r="A113" s="9" t="s">
        <v>23</v>
      </c>
      <c r="B113" s="9" t="s">
        <v>45</v>
      </c>
      <c r="C113" s="12" t="s">
        <v>409</v>
      </c>
      <c r="D113" s="12" t="s">
        <v>410</v>
      </c>
      <c r="E113" s="9" t="s">
        <v>39</v>
      </c>
      <c r="F113" s="8" t="s">
        <v>411</v>
      </c>
      <c r="G113" s="13" cm="1" t="str">
        <f t="array" ref="G113">IF(F113="","",SUBSTITUTE(SUBSTITUTE(SUBSTITUTE(SUBSTITUTE(F113,"&lt;li&gt;",CHAR(10)),"&lt;/li&gt;",""),"&lt;br&gt;",CHAR(10)),"&lt;strong&gt;",""))</f>
        <v>&lt;p&gt;Présentation fonds Audacia au prospect pour étudier un partenariat et envoi de dossiers. Aucun retour du prospect sur l'intérêt ou les suites à donner. Tentative d'enrichissement lead échouée (email invalide). Pas d'autres actions ou activités planifiées à ce jour.&lt;/p&gt;</v>
      </c>
      <c r="H113" s="13" cm="1" t="str">
        <f t="array" ref="H113">IF(G113="","",SUBSTITUTE(SUBSTITUTE(SUBSTITUTE(SUBSTITUTE(SUBSTITUTE(G113,"&lt;p&gt;",""),"&lt;/p&gt;",""),"&lt;ul&gt;",""),"&lt;/ul&gt;",""),"&lt;/strong&gt;",""))</f>
        <v>Présentation fonds Audacia au prospect pour étudier un partenariat et envoi de dossiers. Aucun retour du prospect sur l'intérêt ou les suites à donner. Tentative d'enrichissement lead échouée (email invalide). Pas d'autres actions ou activités planifiées à ce jour.</v>
      </c>
      <c r="I113" s="14" cm="1" t="str">
        <f t="array" ref="I113">IF(C113="","",IF(OR(H113="",H113=0,H113=FALSE),"-",H113))</f>
        <v>Présentation fonds Audacia au prospect pour étudier un partenariat et envoi de dossiers. Aucun retour du prospect sur l'intérêt ou les suites à donner. Tentative d'enrichissement lead échouée (email invalide). Pas d'autres actions ou activités planifiées à ce jour.</v>
      </c>
      <c r="J113" s="8">
</c>
      <c r="K113" s="8" t="s">
        <v>52</v>
      </c>
      <c r="L113" s="9" cm="1" t="str">
        <f t="array" ref="L113">IF(C113="","",IF(K113="Mort / Plus rien à faire","KO","OK"))</f>
        <v>OK</v>
      </c>
      <c r="M113" s="15">
        <v>46050.736030092594</v>
      </c>
      <c r="N113" s="15" cm="1" t="n">
        <f t="array" ref="N113">IF(OR(C113="",M113="",M113=0),"",M113)</f>
        <v>46050.736030092594</v>
      </c>
      <c r="O113" s="15">
</c>
      <c r="P113" s="15" cm="1" t="str">
        <f t="array" ref="P113">IF(C113="","",IF(OR(O113="",O113=0),"-",O113))</f>
        <v>-</v>
      </c>
      <c r="Q113" s="16">
        <v>0</v>
      </c>
      <c r="R113" s="16" cm="1" t="str">
        <f t="array" ref="R113">IF(C113="","",ROUND(Q113/1000000,3)&amp;" M€")</f>
        <v>0 M€</v>
      </c>
      <c r="S113" s="12" t="s">
        <v>192</v>
      </c>
      <c r="T113" s="9" cm="1" t="str">
        <f t="array" ref="T113">IF(C113="","",SUBSTITUTE(S113,"","")&amp;"%")</f>
        <v>10%</v>
      </c>
      <c r="U113" s="14" cm="1" t="str">
        <f t="array" ref="U113">IF(($N113="")*($P113=""),"",IF(($N113&lt;&gt;"")*($N113&gt;TODAY()-9)*($N113&lt;TODAY()+1)*($P113&lt;&gt;"")*($P113&gt;=TODAY())*($P113&lt;=TODAY()+13),"Semaine passée &amp; à venir",IF(($N113&lt;&gt;"")*($N113&gt;TODAY()-9)*($N113&lt;TODAY()+1),"Semaine passée",IF(($P113&lt;&gt;"")*($P113&gt;=TODAY())*($P113&lt;=TODAY()+13),"À venir","Autre"))))</f>
        <v>Autre</v>
      </c>
      <c r="V113" s="8" cm="1" t="n">
        <f t="array" ref="V113">IF(C113&lt;&gt;"",1,0)</f>
        <v>1</v>
      </c>
      <c r="W113" s="8">
</c>
      <c r="X113" s="8">
</c>
      <c r="Y113" s="8">
</c>
      <c r="Z113" s="8">
</c>
      <c r="AA113" s="8">
</c>
      <c r="AB113" s="8">
</c>
      <c r="AC113" s="8">
</c>
      <c r="AD113" s="8">
</c>
      <c r="AE113" s="8">
</c>
      <c r="AF113" s="8">
</c>
      <c r="AG113" s="8">
</c>
      <c r="AH113" s="8">
</c>
      <c r="AI113" s="8">
</c>
      <c r="AJ113" s="8">
</c>
      <c r="AK113" s="8">
</c>
    </row>
    <row r="114" ht="76.5" customHeight="1">
      <c r="A114" s="9" t="s">
        <v>23</v>
      </c>
      <c r="B114" s="9" t="s">
        <v>86</v>
      </c>
      <c r="C114" s="12" t="s">
        <v>412</v>
      </c>
      <c r="D114" s="12" t="s">
        <v>413</v>
      </c>
      <c r="E114" s="9" t="s">
        <v>27</v>
      </c>
      <c r="F114" s="8" t="s">
        <v>414</v>
      </c>
      <c r="G114" s="13" cm="1" t="str">
        <f t="array" ref="G114">IF(F114="","",SUBSTITUTE(SUBSTITUTE(SUBSTITUTE(SUBSTITUTE(F114,"&lt;li&gt;",CHAR(10)),"&lt;/li&gt;",""),"&lt;br&gt;",CHAR(10)),"&lt;strong&gt;",""))</f>
        <v>&lt;p&gt;RDV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commission.&lt;/p&gt;</v>
      </c>
      <c r="H114" s="13" cm="1" t="str">
        <f t="array" ref="H114">IF(G114="","",SUBSTITUTE(SUBSTITUTE(SUBSTITUTE(SUBSTITUTE(SUBSTITUTE(G114,"&lt;p&gt;",""),"&lt;/p&gt;",""),"&lt;ul&gt;",""),"&lt;/ul&gt;",""),"&lt;/strong&gt;",""))</f>
        <v>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v>
      </c>
      <c r="I114" s="14" cm="1" t="str">
        <f t="array" ref="I114">IF(C114="","",IF(OR(H114="",H114=0,H114=FALSE),"-",H114))</f>
        <v>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v>
      </c>
      <c r="J114" s="8" t="s">
        <v>415</v>
      </c>
      <c r="K114" s="8" t="s">
        <v>52</v>
      </c>
      <c r="L114" s="9" cm="1" t="str">
        <f t="array" ref="L114">IF(C114="","",IF(K114="Mort / Plus rien à faire","KO","OK"))</f>
        <v>OK</v>
      </c>
      <c r="M114" s="15">
        <v>46114.70804398148</v>
      </c>
      <c r="N114" s="15" cm="1" t="n">
        <f t="array" ref="N114">IF(OR(C114="",M114="",M114=0),"",M114)</f>
        <v>46114.70804398148</v>
      </c>
      <c r="O114" s="15">
</c>
      <c r="P114" s="15" cm="1" t="str">
        <f t="array" ref="P114">IF(C114="","",IF(OR(O114="",O114=0),"-",O114))</f>
        <v>-</v>
      </c>
      <c r="Q114" s="16">
        <v>0</v>
      </c>
      <c r="R114" s="16" cm="1" t="str">
        <f t="array" ref="R114">IF(C114="","",ROUND(Q114/1000000,3)&amp;" M€")</f>
        <v>0 M€</v>
      </c>
      <c r="S114" s="12" t="s">
        <v>192</v>
      </c>
      <c r="T114" s="9" cm="1" t="str">
        <f t="array" ref="T114">IF(C114="","",SUBSTITUTE(S114,"","")&amp;"%")</f>
        <v>10%</v>
      </c>
      <c r="U114" s="14" cm="1" t="str">
        <f t="array" ref="U114">IF(($N114="")*($P114=""),"",IF(($N114&lt;&gt;"")*($N114&gt;TODAY()-9)*($N114&lt;TODAY()+1)*($P114&lt;&gt;"")*($P114&gt;=TODAY())*($P114&lt;=TODAY()+13),"Semaine passée &amp; à venir",IF(($N114&lt;&gt;"")*($N114&gt;TODAY()-9)*($N114&lt;TODAY()+1),"Semaine passée",IF(($P114&lt;&gt;"")*($P114&gt;=TODAY())*($P114&lt;=TODAY()+13),"À venir","Autre"))))</f>
        <v>Autre</v>
      </c>
      <c r="V114" s="8" cm="1" t="n">
        <f t="array" ref="V114">IF(C114&lt;&gt;"",1,0)</f>
        <v>1</v>
      </c>
      <c r="W114" s="8">
</c>
      <c r="X114" s="8">
</c>
      <c r="Y114" s="8">
</c>
      <c r="Z114" s="8">
</c>
      <c r="AA114" s="8">
</c>
      <c r="AB114" s="8">
</c>
      <c r="AC114" s="8">
</c>
      <c r="AD114" s="8">
</c>
      <c r="AE114" s="8">
</c>
      <c r="AF114" s="8">
</c>
      <c r="AG114" s="8">
</c>
      <c r="AH114" s="8">
</c>
      <c r="AI114" s="8">
</c>
      <c r="AJ114" s="8">
</c>
      <c r="AK114" s="8">
</c>
    </row>
    <row r="115" ht="76.5" customHeight="1">
      <c r="A115" s="9" t="s">
        <v>23</v>
      </c>
      <c r="B115" s="9" t="s">
        <v>416</v>
      </c>
      <c r="C115" s="12" t="s">
        <v>417</v>
      </c>
      <c r="D115" s="12" t="s">
        <v>418</v>
      </c>
      <c r="E115" s="9" t="s">
        <v>39</v>
      </c>
      <c r="F115" s="8" t="s">
        <v>419</v>
      </c>
      <c r="G115" s="13" cm="1" t="str">
        <f t="array" ref="G115">IF(F115="","",SUBSTITUTE(SUBSTITUTE(SUBSTITUTE(SUBSTITUTE(F115,"&lt;li&gt;",CHAR(10)),"&lt;/li&gt;",""),"&lt;br&gt;",CHAR(10)),"&lt;strong&gt;",""))</f>
        <v>&lt;p&gt;25/02/26 relance Arkwood Avocats pour dossier remploi, contact tél. Présentation Audacia fonds remploi, prospect doit envoyer dossiers mais très occupé par études expatriation. 06/03/26 relance, prospect toujours très pris. Prochaine action&amp;nbsp;: prise de news, deadline 18/03/26.&lt;/p&gt;</v>
      </c>
      <c r="H115" s="13" cm="1" t="str">
        <f t="array" ref="H115">IF(G115="","",SUBSTITUTE(SUBSTITUTE(SUBSTITUTE(SUBSTITUTE(SUBSTITUTE(G115,"&lt;p&gt;",""),"&lt;/p&gt;",""),"&lt;ul&gt;",""),"&lt;/ul&gt;",""),"&lt;/strong&gt;",""))</f>
        <v>25/02/26 relance Arkwood Avocats pour dossier remploi, contact tél. Présentation Audacia fonds remploi, prospect doit envoyer dossiers mais très occupé par études expatriation. 06/03/26 relance, prospect toujours très pris. Prochaine action&amp;nbsp;: prise de news, deadline 18/03/26.</v>
      </c>
      <c r="I115" s="14" cm="1" t="str">
        <f t="array" ref="I115">IF(C115="","",IF(OR(H115="",H115=0,H115=FALSE),"-",H115))</f>
        <v>25/02/26 relance Arkwood Avocats pour dossier remploi, contact tél. Présentation Audacia fonds remploi, prospect doit envoyer dossiers mais très occupé par études expatriation. 06/03/26 relance, prospect toujours très pris. Prochaine action&amp;nbsp;: prise de news, deadline 18/03/26.</v>
      </c>
      <c r="J115" s="8" t="s">
        <v>420</v>
      </c>
      <c r="K115" s="8" t="s">
        <v>52</v>
      </c>
      <c r="L115" s="9" cm="1" t="str">
        <f t="array" ref="L115">IF(C115="","",IF(K115="Mort / Plus rien à faire","KO","OK"))</f>
        <v>OK</v>
      </c>
      <c r="M115" s="15">
        <v>46086.70446759259</v>
      </c>
      <c r="N115" s="15" cm="1" t="n">
        <f t="array" ref="N115">IF(OR(C115="",M115="",M115=0),"",M115)</f>
        <v>46086.70446759259</v>
      </c>
      <c r="O115" s="15">
</c>
      <c r="P115" s="15" cm="1" t="str">
        <f t="array" ref="P115">IF(C115="","",IF(OR(O115="",O115=0),"-",O115))</f>
        <v>-</v>
      </c>
      <c r="Q115" s="16">
        <v>0</v>
      </c>
      <c r="R115" s="16" cm="1" t="str">
        <f t="array" ref="R115">IF(C115="","",ROUND(Q115/1000000,3)&amp;" M€")</f>
        <v>0 M€</v>
      </c>
      <c r="S115" s="12" t="s">
        <v>192</v>
      </c>
      <c r="T115" s="9" cm="1" t="str">
        <f t="array" ref="T115">IF(C115="","",SUBSTITUTE(S115,"","")&amp;"%")</f>
        <v>10%</v>
      </c>
      <c r="U115" s="14" cm="1" t="str">
        <f t="array" ref="U115">IF(($N115="")*($P115=""),"",IF(($N115&lt;&gt;"")*($N115&gt;TODAY()-9)*($N115&lt;TODAY()+1)*($P115&lt;&gt;"")*($P115&gt;=TODAY())*($P115&lt;=TODAY()+13),"Semaine passée &amp; à venir",IF(($N115&lt;&gt;"")*($N115&gt;TODAY()-9)*($N115&lt;TODAY()+1),"Semaine passée",IF(($P115&lt;&gt;"")*($P115&gt;=TODAY())*($P115&lt;=TODAY()+13),"À venir","Autre"))))</f>
        <v>Autre</v>
      </c>
      <c r="V115" s="8" cm="1" t="n">
        <f t="array" ref="V115">IF(C115&lt;&gt;"",1,0)</f>
        <v>1</v>
      </c>
      <c r="W115" s="8">
</c>
      <c r="X115" s="8">
</c>
      <c r="Y115" s="8">
</c>
      <c r="Z115" s="8">
</c>
      <c r="AA115" s="8">
</c>
      <c r="AB115" s="8">
</c>
      <c r="AC115" s="8">
</c>
      <c r="AD115" s="8">
</c>
      <c r="AE115" s="8">
</c>
      <c r="AF115" s="8">
</c>
      <c r="AG115" s="8">
</c>
      <c r="AH115" s="8">
</c>
      <c r="AI115" s="8">
</c>
      <c r="AJ115" s="8">
</c>
      <c r="AK115" s="8">
</c>
    </row>
    <row r="116" ht="76.5" customHeight="1">
      <c r="A116" s="9" t="s">
        <v>23</v>
      </c>
      <c r="B116" s="9" t="s">
        <v>57</v>
      </c>
      <c r="C116" s="12" t="s">
        <v>421</v>
      </c>
      <c r="D116" s="12" t="s">
        <v>422</v>
      </c>
      <c r="E116" s="9" t="s">
        <v>93</v>
      </c>
      <c r="F116" s="8" t="s">
        <v>423</v>
      </c>
      <c r="G116" s="13" cm="1" t="str">
        <f t="array" ref="G116">IF(F116="","",SUBSTITUTE(SUBSTITUTE(SUBSTITUTE(SUBSTITUTE(F116,"&lt;li&gt;",CHAR(10)),"&lt;/li&gt;",""),"&lt;br&gt;",CHAR(10)),"&lt;strong&gt;",""))</f>
        <v>&lt;p&gt;Café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invitation.&lt;/p&gt;</v>
      </c>
      <c r="H116" s="13" cm="1" t="str">
        <f t="array" ref="H116">IF(G116="","",SUBSTITUTE(SUBSTITUTE(SUBSTITUTE(SUBSTITUTE(SUBSTITUTE(G116,"&lt;p&gt;",""),"&lt;/p&gt;",""),"&lt;ul&gt;",""),"&lt;/ul&gt;",""),"&lt;/strong&gt;",""))</f>
        <v>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v>
      </c>
      <c r="I116" s="14" cm="1" t="str">
        <f t="array" ref="I116">IF(C116="","",IF(OR(H116="",H116=0,H116=FALSE),"-",H116))</f>
        <v>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v>
      </c>
      <c r="J116" s="8">
</c>
      <c r="K116" s="8" t="s">
        <v>95</v>
      </c>
      <c r="L116" s="9" cm="1" t="str">
        <f t="array" ref="L116">IF(C116="","",IF(K116="Mort / Plus rien à faire","KO","OK"))</f>
        <v>OK</v>
      </c>
      <c r="M116" s="15">
        <v>46112.48369212963</v>
      </c>
      <c r="N116" s="15" cm="1" t="n">
        <f t="array" ref="N116">IF(OR(C116="",M116="",M116=0),"",M116)</f>
        <v>46112.48369212963</v>
      </c>
      <c r="O116" s="15">
</c>
      <c r="P116" s="15" cm="1" t="str">
        <f t="array" ref="P116">IF(C116="","",IF(OR(O116="",O116=0),"-",O116))</f>
        <v>-</v>
      </c>
      <c r="Q116" s="16">
        <v>0</v>
      </c>
      <c r="R116" s="16" cm="1" t="str">
        <f t="array" ref="R116">IF(C116="","",ROUND(Q116/1000000,3)&amp;" M€")</f>
        <v>0 M€</v>
      </c>
      <c r="S116" s="12" t="s">
        <v>192</v>
      </c>
      <c r="T116" s="9" cm="1" t="str">
        <f t="array" ref="T116">IF(C116="","",SUBSTITUTE(S116,"","")&amp;"%")</f>
        <v>10%</v>
      </c>
      <c r="U116" s="14" cm="1" t="str">
        <f t="array" ref="U116">IF(($N116="")*($P116=""),"",IF(($N116&lt;&gt;"")*($N116&gt;TODAY()-9)*($N116&lt;TODAY()+1)*($P116&lt;&gt;"")*($P116&gt;=TODAY())*($P116&lt;=TODAY()+13),"Semaine passée &amp; à venir",IF(($N116&lt;&gt;"")*($N116&gt;TODAY()-9)*($N116&lt;TODAY()+1),"Semaine passée",IF(($P116&lt;&gt;"")*($P116&gt;=TODAY())*($P116&lt;=TODAY()+13),"À venir","Autre"))))</f>
        <v>Autre</v>
      </c>
      <c r="V116" s="8" cm="1" t="n">
        <f t="array" ref="V116">IF(C116&lt;&gt;"",1,0)</f>
        <v>1</v>
      </c>
      <c r="W116" s="8">
</c>
      <c r="X116" s="8">
</c>
      <c r="Y116" s="8">
</c>
      <c r="Z116" s="8">
</c>
      <c r="AA116" s="8">
</c>
      <c r="AB116" s="8">
</c>
      <c r="AC116" s="8">
</c>
      <c r="AD116" s="8">
</c>
      <c r="AE116" s="8">
</c>
      <c r="AF116" s="8">
</c>
      <c r="AG116" s="8">
</c>
      <c r="AH116" s="8">
</c>
      <c r="AI116" s="8">
</c>
      <c r="AJ116" s="8">
</c>
      <c r="AK116" s="8">
</c>
    </row>
    <row r="117" ht="76.5" customHeight="1">
      <c r="A117" s="9" t="s">
        <v>23</v>
      </c>
      <c r="B117" s="9" t="s">
        <v>86</v>
      </c>
      <c r="C117" s="12" t="s">
        <v>424</v>
      </c>
      <c r="D117" s="12" t="s">
        <v>425</v>
      </c>
      <c r="E117" s="9" t="s">
        <v>27</v>
      </c>
      <c r="F117" s="8" t="s">
        <v>426</v>
      </c>
      <c r="G117" s="13" cm="1" t="str">
        <f t="array" ref="G117">IF(F117="","",SUBSTITUTE(SUBSTITUTE(SUBSTITUTE(SUBSTITUTE(F117,"&lt;li&gt;",CHAR(10)),"&lt;/li&gt;",""),"&lt;br&gt;",CHAR(10)),"&lt;strong&gt;",""))</f>
        <v>&lt;p&gt;Aucune activité menée sur le prospect. Infos : CARCDSF, caisse de retraite obligatoire pour chirurgiens-dentistes en France, structure reconnue, gère la retraite de milliers de professionnels de santé. Nouvelle piste créée pour équipe Ventes, pas d'autres actions ou retours notés.&lt;/p&gt;</v>
      </c>
      <c r="H117" s="13" cm="1" t="str">
        <f t="array" ref="H117">IF(G117="","",SUBSTITUTE(SUBSTITUTE(SUBSTITUTE(SUBSTITUTE(SUBSTITUTE(G117,"&lt;p&gt;",""),"&lt;/p&gt;",""),"&lt;ul&gt;",""),"&lt;/ul&gt;",""),"&lt;/strong&gt;",""))</f>
        <v>Aucune activité menée sur le prospect. Infos : CARCDSF, caisse de retraite obligatoire pour chirurgiens-dentistes en France, structure reconnue, gère la retraite de milliers de professionnels de santé. Nouvelle piste créée pour équipe Ventes, pas d'autres actions ou retours notés.</v>
      </c>
      <c r="I117" s="14" cm="1" t="str">
        <f t="array" ref="I117">IF(C117="","",IF(OR(H117="",H117=0,H117=FALSE),"-",H117))</f>
        <v>Aucune activité menée sur le prospect. Infos : CARCDSF, caisse de retraite obligatoire pour chirurgiens-dentistes en France, structure reconnue, gère la retraite de milliers de professionnels de santé. Nouvelle piste créée pour équipe Ventes, pas d'autres actions ou retours notés.</v>
      </c>
      <c r="J117" s="8">
</c>
      <c r="K117" s="8" t="s">
        <v>162</v>
      </c>
      <c r="L117" s="9" cm="1" t="str">
        <f t="array" ref="L117">IF(C117="","",IF(K117="Mort / Plus rien à faire","KO","OK"))</f>
        <v>OK</v>
      </c>
      <c r="M117" s="15">
        <v>46090.85857638889</v>
      </c>
      <c r="N117" s="15" cm="1" t="n">
        <f t="array" ref="N117">IF(OR(C117="",M117="",M117=0),"",M117)</f>
        <v>46090.85857638889</v>
      </c>
      <c r="O117" s="15">
</c>
      <c r="P117" s="15" cm="1" t="str">
        <f t="array" ref="P117">IF(C117="","",IF(OR(O117="",O117=0),"-",O117))</f>
        <v>-</v>
      </c>
      <c r="Q117" s="16">
        <v>0</v>
      </c>
      <c r="R117" s="16" cm="1" t="str">
        <f t="array" ref="R117">IF(C117="","",ROUND(Q117/1000000,3)&amp;" M€")</f>
        <v>0 M€</v>
      </c>
      <c r="S117" s="12" t="s">
        <v>192</v>
      </c>
      <c r="T117" s="9" cm="1" t="str">
        <f t="array" ref="T117">IF(C117="","",SUBSTITUTE(S117,"","")&amp;"%")</f>
        <v>10%</v>
      </c>
      <c r="U117" s="14" cm="1" t="str">
        <f t="array" ref="U117">IF(($N117="")*($P117=""),"",IF(($N117&lt;&gt;"")*($N117&gt;TODAY()-9)*($N117&lt;TODAY()+1)*($P117&lt;&gt;"")*($P117&gt;=TODAY())*($P117&lt;=TODAY()+13),"Semaine passée &amp; à venir",IF(($N117&lt;&gt;"")*($N117&gt;TODAY()-9)*($N117&lt;TODAY()+1),"Semaine passée",IF(($P117&lt;&gt;"")*($P117&gt;=TODAY())*($P117&lt;=TODAY()+13),"À venir","Autre"))))</f>
        <v>Autre</v>
      </c>
      <c r="V117" s="8" cm="1" t="n">
        <f t="array" ref="V117">IF(C117&lt;&gt;"",1,0)</f>
        <v>1</v>
      </c>
      <c r="W117" s="8">
</c>
      <c r="X117" s="8">
</c>
      <c r="Y117" s="8">
</c>
      <c r="Z117" s="8">
</c>
      <c r="AA117" s="8">
</c>
      <c r="AB117" s="8">
</c>
      <c r="AC117" s="8">
</c>
      <c r="AD117" s="8">
</c>
      <c r="AE117" s="8">
</c>
      <c r="AF117" s="8">
</c>
      <c r="AG117" s="8">
</c>
      <c r="AH117" s="8">
</c>
      <c r="AI117" s="8">
</c>
      <c r="AJ117" s="8">
</c>
      <c r="AK117" s="8">
</c>
    </row>
    <row r="118" ht="76.5" customHeight="1">
      <c r="A118" s="9" t="s">
        <v>23</v>
      </c>
      <c r="B118" s="9" t="s">
        <v>57</v>
      </c>
      <c r="C118" s="12" t="s">
        <v>427</v>
      </c>
      <c r="D118" s="12" t="s">
        <v>428</v>
      </c>
      <c r="E118" s="9" t="s">
        <v>27</v>
      </c>
      <c r="F118" s="8" t="s">
        <v>429</v>
      </c>
      <c r="G118" s="13" cm="1" t="str">
        <f t="array" ref="G118">IF(F118="","",SUBSTITUTE(SUBSTITUTE(SUBSTITUTE(SUBSTITUTE(F118,"&lt;li&gt;",CHAR(10)),"&lt;/li&gt;",""),"&lt;br&gt;",CHAR(10)),"&lt;strong&gt;",""))</f>
        <v>&lt;p&gt;Nouvelle piste créée pour équipe Ventes. Tentative d'enrichissement lead sans données société trouvées (email générique). Dernier contact mentionné : "Conrtact TS". Aucune activité ou prochaine étape renseignée. Pas de retour prospect ni d'avis sur fonds présentés. Pas d'action future planifiée.&lt;/p&gt;</v>
      </c>
      <c r="H118" s="13" cm="1" t="str">
        <f t="array" ref="H118">IF(G118="","",SUBSTITUTE(SUBSTITUTE(SUBSTITUTE(SUBSTITUTE(SUBSTITUTE(G118,"&lt;p&gt;",""),"&lt;/p&gt;",""),"&lt;ul&gt;",""),"&lt;/ul&gt;",""),"&lt;/strong&gt;",""))</f>
        <v>Nouvelle piste créée pour équipe Ventes. Tentative d'enrichissement lead sans données société trouvées (email générique). Dernier contact mentionné : "Conrtact TS". Aucune activité ou prochaine étape renseignée. Pas de retour prospect ni d'avis sur fonds présentés. Pas d'action future planifiée.</v>
      </c>
      <c r="I118" s="14" cm="1" t="str">
        <f t="array" ref="I118">IF(C118="","",IF(OR(H118="",H118=0,H118=FALSE),"-",H118))</f>
        <v>Nouvelle piste créée pour équipe Ventes. Tentative d'enrichissement lead sans données société trouvées (email générique). Dernier contact mentionné : "Conrtact TS". Aucune activité ou prochaine étape renseignée. Pas de retour prospect ni d'avis sur fonds présentés. Pas d'action future planifiée.</v>
      </c>
      <c r="J118" s="8">
</c>
      <c r="K118" s="8" t="s">
        <v>162</v>
      </c>
      <c r="L118" s="9" cm="1" t="str">
        <f t="array" ref="L118">IF(C118="","",IF(K118="Mort / Plus rien à faire","KO","OK"))</f>
        <v>OK</v>
      </c>
      <c r="M118" s="15">
        <v>46139.67938657408</v>
      </c>
      <c r="N118" s="15" cm="1" t="n">
        <f t="array" ref="N118">IF(OR(C118="",M118="",M118=0),"",M118)</f>
        <v>46139.67938657408</v>
      </c>
      <c r="O118" s="15">
</c>
      <c r="P118" s="15" cm="1" t="str">
        <f t="array" ref="P118">IF(C118="","",IF(OR(O118="",O118=0),"-",O118))</f>
        <v>-</v>
      </c>
      <c r="Q118" s="16">
        <v>0</v>
      </c>
      <c r="R118" s="16" cm="1" t="str">
        <f t="array" ref="R118">IF(C118="","",ROUND(Q118/1000000,3)&amp;" M€")</f>
        <v>0 M€</v>
      </c>
      <c r="S118" s="12" t="s">
        <v>192</v>
      </c>
      <c r="T118" s="9" cm="1" t="str">
        <f t="array" ref="T118">IF(C118="","",SUBSTITUTE(S118,"","")&amp;"%")</f>
        <v>10%</v>
      </c>
      <c r="U118" s="14" cm="1" t="str">
        <f t="array" ref="U118">IF(($N118="")*($P118=""),"",IF(($N118&lt;&gt;"")*($N118&gt;TODAY()-9)*($N118&lt;TODAY()+1)*($P118&lt;&gt;"")*($P118&gt;=TODAY())*($P118&lt;=TODAY()+13),"Semaine passée &amp; à venir",IF(($N118&lt;&gt;"")*($N118&gt;TODAY()-9)*($N118&lt;TODAY()+1),"Semaine passée",IF(($P118&lt;&gt;"")*($P118&gt;=TODAY())*($P118&lt;=TODAY()+13),"À venir","Autre"))))</f>
        <v>Semaine passée</v>
      </c>
      <c r="V118" s="8" cm="1" t="n">
        <f t="array" ref="V118">IF(C118&lt;&gt;"",1,0)</f>
        <v>1</v>
      </c>
      <c r="W118" s="8">
</c>
      <c r="X118" s="8">
</c>
      <c r="Y118" s="8">
</c>
      <c r="Z118" s="8">
</c>
      <c r="AA118" s="8">
</c>
      <c r="AB118" s="8">
</c>
      <c r="AC118" s="8">
</c>
      <c r="AD118" s="8">
</c>
      <c r="AE118" s="8">
</c>
      <c r="AF118" s="8">
</c>
      <c r="AG118" s="8">
</c>
      <c r="AH118" s="8">
</c>
      <c r="AI118" s="8">
</c>
      <c r="AJ118" s="8">
</c>
      <c r="AK118" s="8">
</c>
    </row>
    <row r="119" ht="76.5" customHeight="1">
      <c r="A119" s="9" t="s">
        <v>23</v>
      </c>
      <c r="B119" s="9" t="s">
        <v>86</v>
      </c>
      <c r="C119" s="12" t="s">
        <v>430</v>
      </c>
      <c r="D119" s="12" t="s">
        <v>431</v>
      </c>
      <c r="E119" s="9" t="s">
        <v>27</v>
      </c>
      <c r="F119" s="8" t="s">
        <v>432</v>
      </c>
      <c r="G119" s="13" cm="1" t="str">
        <f t="array" ref="G119">IF(F119="","",SUBSTITUTE(SUBSTITUTE(SUBSTITUTE(SUBSTITUTE(F119,"&lt;li&gt;",CHAR(10)),"&lt;/li&gt;",""),"&lt;br&gt;",CHAR(10)),"&lt;strong&gt;",""))</f>
        <v>&lt;p&gt;21/01/2026 : Bleuet de France intéressé par BITD mais allocation PE non coté saturée, rien avant 2 ans sauf distribution. Ticket 5M€ habituel, déçus par intervention de l'État sur sorties fonds. Ouverts à fonds de dette défense si rendement &amp;gt;8%. Déjeuner prévu 17/04 avec David Boyer pour avancer.&lt;/p&gt;</v>
      </c>
      <c r="H119" s="13" cm="1" t="str">
        <f t="array" ref="H119">IF(G119="","",SUBSTITUTE(SUBSTITUTE(SUBSTITUTE(SUBSTITUTE(SUBSTITUTE(G119,"&lt;p&gt;",""),"&lt;/p&gt;",""),"&lt;ul&gt;",""),"&lt;/ul&gt;",""),"&lt;/strong&gt;",""))</f>
        <v>21/01/2026 : Bleuet de France intéressé par BITD mais allocation PE non coté saturée, rien avant 2 ans sauf distribution. Ticket 5M€ habituel, déçus par intervention de l'État sur sorties fonds. Ouverts à fonds de dette défense si rendement &amp;gt;8%. Déjeuner prévu 17/04 avec David Boyer pour avancer.</v>
      </c>
      <c r="I119" s="14" cm="1" t="str">
        <f t="array" ref="I119">IF(C119="","",IF(OR(H119="",H119=0,H119=FALSE),"-",H119))</f>
        <v>21/01/2026 : Bleuet de France intéressé par BITD mais allocation PE non coté saturée, rien avant 2 ans sauf distribution. Ticket 5M€ habituel, déçus par intervention de l'État sur sorties fonds. Ouverts à fonds de dette défense si rendement &amp;gt;8%. Déjeuner prévu 17/04 avec David Boyer pour avancer.</v>
      </c>
      <c r="J119" s="8" t="s">
        <v>433</v>
      </c>
      <c r="K119" s="8" t="s">
        <v>52</v>
      </c>
      <c r="L119" s="9" cm="1" t="str">
        <f t="array" ref="L119">IF(C119="","",IF(K119="Mort / Plus rien à faire","KO","OK"))</f>
        <v>OK</v>
      </c>
      <c r="M119" s="15">
        <v>46064.51865740741</v>
      </c>
      <c r="N119" s="15" cm="1" t="n">
        <f t="array" ref="N119">IF(OR(C119="",M119="",M119=0),"",M119)</f>
        <v>46064.51865740741</v>
      </c>
      <c r="O119" s="15">
        <v>46147.083333333336</v>
      </c>
      <c r="P119" s="15" cm="1" t="n">
        <f t="array" ref="P119">IF(C119="","",IF(OR(O119="",O119=0),"-",O119))</f>
        <v>46147.083333333336</v>
      </c>
      <c r="Q119" s="16">
        <v>2000000</v>
      </c>
      <c r="R119" s="16" cm="1" t="str">
        <f t="array" ref="R119">IF(C119="","",ROUND(Q119/1000000,3)&amp;" M€")</f>
        <v>2 M€</v>
      </c>
      <c r="S119" s="12" t="s">
        <v>192</v>
      </c>
      <c r="T119" s="9" cm="1" t="str">
        <f t="array" ref="T119">IF(C119="","",SUBSTITUTE(S119,"","")&amp;"%")</f>
        <v>10%</v>
      </c>
      <c r="U119" s="14" cm="1" t="str">
        <f t="array" ref="U119">IF(($N119="")*($P119=""),"",IF(($N119&lt;&gt;"")*($N119&gt;TODAY()-9)*($N119&lt;TODAY()+1)*($P119&lt;&gt;"")*($P119&gt;=TODAY())*($P119&lt;=TODAY()+13),"Semaine passée &amp; à venir",IF(($N119&lt;&gt;"")*($N119&gt;TODAY()-9)*($N119&lt;TODAY()+1),"Semaine passée",IF(($P119&lt;&gt;"")*($P119&gt;=TODAY())*($P119&lt;=TODAY()+13),"À venir","Autre"))))</f>
        <v>À venir</v>
      </c>
      <c r="V119" s="8" cm="1" t="n">
        <f t="array" ref="V119">IF(C119&lt;&gt;"",1,0)</f>
        <v>1</v>
      </c>
      <c r="W119" s="8">
</c>
      <c r="X119" s="8">
</c>
      <c r="Y119" s="8">
</c>
      <c r="Z119" s="8">
</c>
      <c r="AA119" s="8">
</c>
      <c r="AB119" s="8">
</c>
      <c r="AC119" s="8">
</c>
      <c r="AD119" s="8">
</c>
      <c r="AE119" s="8">
</c>
      <c r="AF119" s="8">
</c>
      <c r="AG119" s="8">
</c>
      <c r="AH119" s="8">
</c>
      <c r="AI119" s="8">
</c>
      <c r="AJ119" s="8">
</c>
      <c r="AK119" s="8">
</c>
    </row>
    <row r="120" ht="76.5" customHeight="1">
      <c r="A120" s="9" t="s">
        <v>23</v>
      </c>
      <c r="B120" s="9" t="s">
        <v>322</v>
      </c>
      <c r="C120" s="12" t="s">
        <v>434</v>
      </c>
      <c r="D120" s="12" t="s">
        <v>435</v>
      </c>
      <c r="E120" s="9" t="s">
        <v>27</v>
      </c>
      <c r="F120" s="8" t="s">
        <v>436</v>
      </c>
      <c r="G120" s="13" cm="1" t="str">
        <f t="array" ref="G120">IF(F120="","",SUBSTITUTE(SUBSTITUTE(SUBSTITUTE(SUBSTITUTE(F120,"&lt;li&gt;",CHAR(10)),"&lt;/li&gt;",""),"&lt;br&gt;",CHAR(10)),"&lt;strong&gt;",""))</f>
        <v>&lt;p&gt;Prospect SPVM suivi activement, échanges récents sur projet Straton. Dernière action : relance prévue avant comité janvier 2026 (échéance 29/11/2025). Activité : appel à passer. Lead créé pour équipe Ventes. Enrichissement email impossible. Prochaine étape : relancer sur Straton.&lt;/p&gt;</v>
      </c>
      <c r="H120" s="13" cm="1" t="str">
        <f t="array" ref="H120">IF(G120="","",SUBSTITUTE(SUBSTITUTE(SUBSTITUTE(SUBSTITUTE(SUBSTITUTE(G120,"&lt;p&gt;",""),"&lt;/p&gt;",""),"&lt;ul&gt;",""),"&lt;/ul&gt;",""),"&lt;/strong&gt;",""))</f>
        <v>Prospect SPVM suivi activement, échanges récents sur projet Straton. Dernière action : relance prévue avant comité janvier 2026 (échéance 29/11/2025). Activité : appel à passer. Lead créé pour équipe Ventes. Enrichissement email impossible. Prochaine étape : relancer sur Straton.</v>
      </c>
      <c r="I120" s="14" cm="1" t="str">
        <f t="array" ref="I120">IF(C120="","",IF(OR(H120="",H120=0,H120=FALSE),"-",H120))</f>
        <v>Prospect SPVM suivi activement, échanges récents sur projet Straton. Dernière action : relance prévue avant comité janvier 2026 (échéance 29/11/2025). Activité : appel à passer. Lead créé pour équipe Ventes. Enrichissement email impossible. Prochaine étape : relancer sur Straton.</v>
      </c>
      <c r="J120" s="8">
</c>
      <c r="K120" s="8" t="s">
        <v>52</v>
      </c>
      <c r="L120" s="9" cm="1" t="str">
        <f t="array" ref="L120">IF(C120="","",IF(K120="Mort / Plus rien à faire","KO","OK"))</f>
        <v>OK</v>
      </c>
      <c r="M120" s="15">
        <v>46090.555081018516</v>
      </c>
      <c r="N120" s="15" cm="1" t="n">
        <f t="array" ref="N120">IF(OR(C120="",M120="",M120=0),"",M120)</f>
        <v>46090.555081018516</v>
      </c>
      <c r="O120" s="15">
</c>
      <c r="P120" s="15" cm="1" t="str">
        <f t="array" ref="P120">IF(C120="","",IF(OR(O120="",O120=0),"-",O120))</f>
        <v>-</v>
      </c>
      <c r="Q120" s="16">
        <v>1000000</v>
      </c>
      <c r="R120" s="16" cm="1" t="str">
        <f t="array" ref="R120">IF(C120="","",ROUND(Q120/1000000,3)&amp;" M€")</f>
        <v>1 M€</v>
      </c>
      <c r="S120" s="12" t="s">
        <v>192</v>
      </c>
      <c r="T120" s="9" cm="1" t="str">
        <f t="array" ref="T120">IF(C120="","",SUBSTITUTE(S120,"","")&amp;"%")</f>
        <v>10%</v>
      </c>
      <c r="U120" s="14" cm="1" t="str">
        <f t="array" ref="U120">IF(($N120="")*($P120=""),"",IF(($N120&lt;&gt;"")*($N120&gt;TODAY()-9)*($N120&lt;TODAY()+1)*($P120&lt;&gt;"")*($P120&gt;=TODAY())*($P120&lt;=TODAY()+13),"Semaine passée &amp; à venir",IF(($N120&lt;&gt;"")*($N120&gt;TODAY()-9)*($N120&lt;TODAY()+1),"Semaine passée",IF(($P120&lt;&gt;"")*($P120&gt;=TODAY())*($P120&lt;=TODAY()+13),"À venir","Autre"))))</f>
        <v>Autre</v>
      </c>
      <c r="V120" s="8" cm="1" t="n">
        <f t="array" ref="V120">IF(C120&lt;&gt;"",1,0)</f>
        <v>1</v>
      </c>
      <c r="W120" s="8">
</c>
      <c r="X120" s="8">
</c>
      <c r="Y120" s="8">
</c>
      <c r="Z120" s="8">
</c>
      <c r="AA120" s="8">
</c>
      <c r="AB120" s="8">
</c>
      <c r="AC120" s="8">
</c>
      <c r="AD120" s="8">
</c>
      <c r="AE120" s="8">
</c>
      <c r="AF120" s="8">
</c>
      <c r="AG120" s="8">
</c>
      <c r="AH120" s="8">
</c>
      <c r="AI120" s="8">
</c>
      <c r="AJ120" s="8">
</c>
      <c r="AK120" s="8">
</c>
    </row>
    <row r="121" ht="76.5" customHeight="1">
      <c r="A121" s="9" t="s">
        <v>23</v>
      </c>
      <c r="B121" s="9" t="s">
        <v>32</v>
      </c>
      <c r="C121" s="12" t="s">
        <v>437</v>
      </c>
      <c r="D121" s="12" t="s">
        <v>438</v>
      </c>
      <c r="E121" s="9" t="s">
        <v>27</v>
      </c>
      <c r="F121" s="8" t="s">
        <v>439</v>
      </c>
      <c r="G121" s="13" cm="1" t="str">
        <f t="array" ref="G121">IF(F121="","",SUBSTITUTE(SUBSTITUTE(SUBSTITUTE(SUBSTITUTE(F121,"&lt;li&gt;",CHAR(10)),"&lt;/li&gt;",""),"&lt;br&gt;",CHAR(10)),"&lt;strong&gt;",""))</f>
        <v>&lt;p&gt;15M investis dans Weinberg, satisfaction sur la gestion mais inquiétude sur l'exit, intérêt pour la thèse européenne. COVEA : focus 2026 PE, 80% re-up, 20% nouvelles stratégies, arrêt des autres. Attente validation allocation PE Straton, ouverture possible sur le non coté. Prochaine étape : suivi validation allocation.&lt;/p&gt;</v>
      </c>
      <c r="H121" s="13" cm="1" t="str">
        <f t="array" ref="H121">IF(G121="","",SUBSTITUTE(SUBSTITUTE(SUBSTITUTE(SUBSTITUTE(SUBSTITUTE(G121,"&lt;p&gt;",""),"&lt;/p&gt;",""),"&lt;ul&gt;",""),"&lt;/ul&gt;",""),"&lt;/strong&gt;",""))</f>
        <v>15M investis dans Weinberg, satisfaction sur la gestion mais inquiétude sur l'exit, intérêt pour la thèse européenne. COVEA : focus 2026 PE, 80% re-up, 20% nouvelles stratégies, arrêt des autres. Attente validation allocation PE Straton, ouverture possible sur le non coté. Prochaine étape : suivi validation allocation.</v>
      </c>
      <c r="I121" s="14" cm="1" t="str">
        <f t="array" ref="I121">IF(C121="","",IF(OR(H121="",H121=0,H121=FALSE),"-",H121))</f>
        <v>15M investis dans Weinberg, satisfaction sur la gestion mais inquiétude sur l'exit, intérêt pour la thèse européenne. COVEA : focus 2026 PE, 80% re-up, 20% nouvelles stratégies, arrêt des autres. Attente validation allocation PE Straton, ouverture possible sur le non coté. Prochaine étape : suivi validation allocation.</v>
      </c>
      <c r="J121" s="8">
</c>
      <c r="K121" s="8" t="s">
        <v>52</v>
      </c>
      <c r="L121" s="9" cm="1" t="str">
        <f t="array" ref="L121">IF(C121="","",IF(K121="Mort / Plus rien à faire","KO","OK"))</f>
        <v>OK</v>
      </c>
      <c r="M121" s="15">
        <v>46132.7316087963</v>
      </c>
      <c r="N121" s="15" cm="1" t="n">
        <f t="array" ref="N121">IF(OR(C121="",M121="",M121=0),"",M121)</f>
        <v>46132.7316087963</v>
      </c>
      <c r="O121" s="15">
</c>
      <c r="P121" s="15" cm="1" t="str">
        <f t="array" ref="P121">IF(C121="","",IF(OR(O121="",O121=0),"-",O121))</f>
        <v>-</v>
      </c>
      <c r="Q121" s="16">
        <v>5000000</v>
      </c>
      <c r="R121" s="16" cm="1" t="str">
        <f t="array" ref="R121">IF(C121="","",ROUND(Q121/1000000,3)&amp;" M€")</f>
        <v>5 M€</v>
      </c>
      <c r="S121" s="12" t="s">
        <v>192</v>
      </c>
      <c r="T121" s="9" cm="1" t="str">
        <f t="array" ref="T121">IF(C121="","",SUBSTITUTE(S121,"","")&amp;"%")</f>
        <v>10%</v>
      </c>
      <c r="U121" s="14" cm="1" t="str">
        <f t="array" ref="U121">IF(($N121="")*($P121=""),"",IF(($N121&lt;&gt;"")*($N121&gt;TODAY()-9)*($N121&lt;TODAY()+1)*($P121&lt;&gt;"")*($P121&gt;=TODAY())*($P121&lt;=TODAY()+13),"Semaine passée &amp; à venir",IF(($N121&lt;&gt;"")*($N121&gt;TODAY()-9)*($N121&lt;TODAY()+1),"Semaine passée",IF(($P121&lt;&gt;"")*($P121&gt;=TODAY())*($P121&lt;=TODAY()+13),"À venir","Autre"))))</f>
        <v>Autre</v>
      </c>
      <c r="V121" s="8" cm="1" t="n">
        <f t="array" ref="V121">IF(C121&lt;&gt;"",1,0)</f>
        <v>1</v>
      </c>
      <c r="W121" s="8">
</c>
      <c r="X121" s="8">
</c>
      <c r="Y121" s="8">
</c>
      <c r="Z121" s="8">
</c>
      <c r="AA121" s="8">
</c>
      <c r="AB121" s="8">
</c>
      <c r="AC121" s="8">
</c>
      <c r="AD121" s="8">
</c>
      <c r="AE121" s="8">
</c>
      <c r="AF121" s="8">
</c>
      <c r="AG121" s="8">
</c>
      <c r="AH121" s="8">
</c>
      <c r="AI121" s="8">
</c>
      <c r="AJ121" s="8">
</c>
      <c r="AK121" s="8">
</c>
    </row>
    <row r="122" ht="76.5" customHeight="1">
      <c r="A122" s="9" t="s">
        <v>23</v>
      </c>
      <c r="B122" s="9" t="s">
        <v>32</v>
      </c>
      <c r="C122" s="12" t="s">
        <v>440</v>
      </c>
      <c r="D122" s="12" t="s">
        <v>441</v>
      </c>
      <c r="E122" s="9" t="s">
        <v>27</v>
      </c>
      <c r="F122" s="8" t="s">
        <v>442</v>
      </c>
      <c r="G122" s="13" cm="1" t="str">
        <f t="array" ref="G122">IF(F122="","",SUBSTITUTE(SUBSTITUTE(SUBSTITUTE(SUBSTITUTE(F122,"&lt;li&gt;",CHAR(10)),"&lt;/li&gt;",""),"&lt;br&gt;",CHAR(10)),"&lt;strong&gt;",""))</f>
        <v>&lt;p&gt;Mail envoyé à jean-luc.vitre@acoss.fr pour Straton, Jean Luc Vitré identifié comme homme clef. RDV physique terminé, demande de rdv faite à Denis Neiter. Nouvelle piste créée pour équipe Ventes. Prochaine étape : suivi avec Jean Luc Vitré, attente retour suite mail du 21/04.&lt;/p&gt;</v>
      </c>
      <c r="H122" s="13" cm="1" t="str">
        <f t="array" ref="H122">IF(G122="","",SUBSTITUTE(SUBSTITUTE(SUBSTITUTE(SUBSTITUTE(SUBSTITUTE(G122,"&lt;p&gt;",""),"&lt;/p&gt;",""),"&lt;ul&gt;",""),"&lt;/ul&gt;",""),"&lt;/strong&gt;",""))</f>
        <v>Mail envoyé à jean-luc.vitre@acoss.fr pour Straton, Jean Luc Vitré identifié comme homme clef. RDV physique terminé, demande de rdv faite à Denis Neiter. Nouvelle piste créée pour équipe Ventes. Prochaine étape : suivi avec Jean Luc Vitré, attente retour suite mail du 21/04.</v>
      </c>
      <c r="I122" s="14" cm="1" t="str">
        <f t="array" ref="I122">IF(C122="","",IF(OR(H122="",H122=0,H122=FALSE),"-",H122))</f>
        <v>Mail envoyé à jean-luc.vitre@acoss.fr pour Straton, Jean Luc Vitré identifié comme homme clef. RDV physique terminé, demande de rdv faite à Denis Neiter. Nouvelle piste créée pour équipe Ventes. Prochaine étape : suivi avec Jean Luc Vitré, attente retour suite mail du 21/04.</v>
      </c>
      <c r="J122" s="8" t="s">
        <v>443</v>
      </c>
      <c r="K122" s="8" t="s">
        <v>162</v>
      </c>
      <c r="L122" s="9" cm="1" t="str">
        <f t="array" ref="L122">IF(C122="","",IF(K122="Mort / Plus rien à faire","KO","OK"))</f>
        <v>OK</v>
      </c>
      <c r="M122" s="15">
        <v>46133.66179398148</v>
      </c>
      <c r="N122" s="15" cm="1" t="n">
        <f t="array" ref="N122">IF(OR(C122="",M122="",M122=0),"",M122)</f>
        <v>46133.66179398148</v>
      </c>
      <c r="O122" s="15">
</c>
      <c r="P122" s="15" cm="1" t="str">
        <f t="array" ref="P122">IF(C122="","",IF(OR(O122="",O122=0),"-",O122))</f>
        <v>-</v>
      </c>
      <c r="Q122" s="16">
        <v>0</v>
      </c>
      <c r="R122" s="16" cm="1" t="str">
        <f t="array" ref="R122">IF(C122="","",ROUND(Q122/1000000,3)&amp;" M€")</f>
        <v>0 M€</v>
      </c>
      <c r="S122" s="12" t="s">
        <v>192</v>
      </c>
      <c r="T122" s="9" cm="1" t="str">
        <f t="array" ref="T122">IF(C122="","",SUBSTITUTE(S122,"","")&amp;"%")</f>
        <v>10%</v>
      </c>
      <c r="U122" s="14" cm="1" t="str">
        <f t="array" ref="U122">IF(($N122="")*($P122=""),"",IF(($N122&lt;&gt;"")*($N122&gt;TODAY()-9)*($N122&lt;TODAY()+1)*($P122&lt;&gt;"")*($P122&gt;=TODAY())*($P122&lt;=TODAY()+13),"Semaine passée &amp; à venir",IF(($N122&lt;&gt;"")*($N122&gt;TODAY()-9)*($N122&lt;TODAY()+1),"Semaine passée",IF(($P122&lt;&gt;"")*($P122&gt;=TODAY())*($P122&lt;=TODAY()+13),"À venir","Autre"))))</f>
        <v>Autre</v>
      </c>
      <c r="V122" s="8" cm="1" t="n">
        <f t="array" ref="V122">IF(C122&lt;&gt;"",1,0)</f>
        <v>1</v>
      </c>
      <c r="W122" s="8">
</c>
      <c r="X122" s="8">
</c>
      <c r="Y122" s="8">
</c>
      <c r="Z122" s="8">
</c>
      <c r="AA122" s="8">
</c>
      <c r="AB122" s="8">
</c>
      <c r="AC122" s="8">
</c>
      <c r="AD122" s="8">
</c>
      <c r="AE122" s="8">
</c>
      <c r="AF122" s="8">
</c>
      <c r="AG122" s="8">
</c>
      <c r="AH122" s="8">
</c>
      <c r="AI122" s="8">
</c>
      <c r="AJ122" s="8">
</c>
      <c r="AK122" s="8">
</c>
    </row>
    <row r="123" ht="76.5" customHeight="1">
      <c r="A123" s="9" t="s">
        <v>23</v>
      </c>
      <c r="B123" s="9" t="s">
        <v>36</v>
      </c>
      <c r="C123" s="12" t="s">
        <v>444</v>
      </c>
      <c r="D123" s="12" t="s">
        <v>445</v>
      </c>
      <c r="E123" s="9" t="s">
        <v>39</v>
      </c>
      <c r="F123" s="8" t="s">
        <v>446</v>
      </c>
      <c r="G123" s="13" cm="1" t="str">
        <f t="array" ref="G123">IF(F123="","",SUBSTITUTE(SUBSTITUTE(SUBSTITUTE(SUBSTITUTE(F123,"&lt;li&gt;",CHAR(10)),"&lt;/li&gt;",""),"&lt;br&gt;",CHAR(10)),"&lt;strong&gt;",""))</f>
        <v>&lt;p&gt;Aucune activité ou échange significatif enregistré sur l'opportunité. Seule information : une nouvelle piste a été créée pour l'équipe Ventes, sans détail sur le contexte, les actions menées ou les prochaines étapes. Aucun retour ni avis prospect, aucun suivi ou action récente identifiée.&lt;/p&gt;</v>
      </c>
      <c r="H123" s="13" cm="1" t="str">
        <f t="array" ref="H123">IF(G123="","",SUBSTITUTE(SUBSTITUTE(SUBSTITUTE(SUBSTITUTE(SUBSTITUTE(G123,"&lt;p&gt;",""),"&lt;/p&gt;",""),"&lt;ul&gt;",""),"&lt;/ul&gt;",""),"&lt;/strong&gt;",""))</f>
        <v>Aucune activité ou échange significatif enregistré sur l'opportunité. Seule information : une nouvelle piste a été créée pour l'équipe Ventes, sans détail sur le contexte, les actions menées ou les prochaines étapes. Aucun retour ni avis prospect, aucun suivi ou action récente identifiée.</v>
      </c>
      <c r="I123" s="14" cm="1" t="str">
        <f t="array" ref="I123">IF(C123="","",IF(OR(H123="",H123=0,H123=FALSE),"-",H123))</f>
        <v>Aucune activité ou échange significatif enregistré sur l'opportunité. Seule information : une nouvelle piste a été créée pour l'équipe Ventes, sans détail sur le contexte, les actions menées ou les prochaines étapes. Aucun retour ni avis prospect, aucun suivi ou action récente identifiée.</v>
      </c>
      <c r="J123" s="8">
</c>
      <c r="K123" s="8" t="s">
        <v>95</v>
      </c>
      <c r="L123" s="9" cm="1" t="str">
        <f t="array" ref="L123">IF(C123="","",IF(K123="Mort / Plus rien à faire","KO","OK"))</f>
        <v>OK</v>
      </c>
      <c r="M123" s="15">
        <v>46126.453877314816</v>
      </c>
      <c r="N123" s="15" cm="1" t="n">
        <f t="array" ref="N123">IF(OR(C123="",M123="",M123=0),"",M123)</f>
        <v>46126.453877314816</v>
      </c>
      <c r="O123" s="15">
</c>
      <c r="P123" s="15" cm="1" t="str">
        <f t="array" ref="P123">IF(C123="","",IF(OR(O123="",O123=0),"-",O123))</f>
        <v>-</v>
      </c>
      <c r="Q123" s="16">
        <v>1000000</v>
      </c>
      <c r="R123" s="16" cm="1" t="str">
        <f t="array" ref="R123">IF(C123="","",ROUND(Q123/1000000,3)&amp;" M€")</f>
        <v>1 M€</v>
      </c>
      <c r="S123" s="12" t="s">
        <v>192</v>
      </c>
      <c r="T123" s="9" cm="1" t="str">
        <f t="array" ref="T123">IF(C123="","",SUBSTITUTE(S123,"","")&amp;"%")</f>
        <v>10%</v>
      </c>
      <c r="U123" s="14" cm="1" t="str">
        <f t="array" ref="U123">IF(($N123="")*($P123=""),"",IF(($N123&lt;&gt;"")*($N123&gt;TODAY()-9)*($N123&lt;TODAY()+1)*($P123&lt;&gt;"")*($P123&gt;=TODAY())*($P123&lt;=TODAY()+13),"Semaine passée &amp; à venir",IF(($N123&lt;&gt;"")*($N123&gt;TODAY()-9)*($N123&lt;TODAY()+1),"Semaine passée",IF(($P123&lt;&gt;"")*($P123&gt;=TODAY())*($P123&lt;=TODAY()+13),"À venir","Autre"))))</f>
        <v>Autre</v>
      </c>
      <c r="V123" s="8" cm="1" t="n">
        <f t="array" ref="V123">IF(C123&lt;&gt;"",1,0)</f>
        <v>1</v>
      </c>
      <c r="W123" s="8">
</c>
      <c r="X123" s="8">
</c>
      <c r="Y123" s="8">
</c>
      <c r="Z123" s="8">
</c>
      <c r="AA123" s="8">
</c>
      <c r="AB123" s="8">
</c>
      <c r="AC123" s="8">
</c>
      <c r="AD123" s="8">
</c>
      <c r="AE123" s="8">
</c>
      <c r="AF123" s="8">
</c>
      <c r="AG123" s="8">
</c>
      <c r="AH123" s="8">
</c>
      <c r="AI123" s="8">
</c>
      <c r="AJ123" s="8">
</c>
      <c r="AK123" s="8">
</c>
    </row>
    <row r="124" ht="76.5" customHeight="1">
      <c r="A124" s="9" t="s">
        <v>23</v>
      </c>
      <c r="B124" s="9" t="s">
        <v>113</v>
      </c>
      <c r="C124" s="12" t="s">
        <v>447</v>
      </c>
      <c r="D124" s="12" t="s">
        <v>448</v>
      </c>
      <c r="E124" s="9" t="s">
        <v>27</v>
      </c>
      <c r="F124" s="8" t="s">
        <v>449</v>
      </c>
      <c r="G124" s="13" cm="1" t="str">
        <f t="array" ref="G124">IF(F124="","",SUBSTITUTE(SUBSTITUTE(SUBSTITUTE(SUBSTITUTE(F124,"&lt;li&gt;",CHAR(10)),"&lt;/li&gt;",""),"&lt;br&gt;",CHAR(10)),"&lt;strong&gt;",""))</f>
        <v>&lt;p&gt;RDV physique et appel menés : Delphine Kerabuam couvre LCR, non coté traité par DGD Bruno Pain. Demande de RDV faite avec DGD. Relance effectuée, feedback : à relancer de nouveau. Prochaine étape : nouvelle relance à prévoir, attente retour DGD. Pas de conclusion prospect sur fonds à ce stade.&lt;/p&gt;</v>
      </c>
      <c r="H124" s="13" cm="1" t="str">
        <f t="array" ref="H124">IF(G124="","",SUBSTITUTE(SUBSTITUTE(SUBSTITUTE(SUBSTITUTE(SUBSTITUTE(G124,"&lt;p&gt;",""),"&lt;/p&gt;",""),"&lt;ul&gt;",""),"&lt;/ul&gt;",""),"&lt;/strong&gt;",""))</f>
        <v>RDV physique et appel menés : Delphine Kerabuam couvre LCR, non coté traité par DGD Bruno Pain. Demande de RDV faite avec DGD. Relance effectuée, feedback : à relancer de nouveau. Prochaine étape : nouvelle relance à prévoir, attente retour DGD. Pas de conclusion prospect sur fonds à ce stade.</v>
      </c>
      <c r="I124" s="14" cm="1" t="str">
        <f t="array" ref="I124">IF(C124="","",IF(OR(H124="",H124=0,H124=FALSE),"-",H124))</f>
        <v>RDV physique et appel menés : Delphine Kerabuam couvre LCR, non coté traité par DGD Bruno Pain. Demande de RDV faite avec DGD. Relance effectuée, feedback : à relancer de nouveau. Prochaine étape : nouvelle relance à prévoir, attente retour DGD. Pas de conclusion prospect sur fonds à ce stade.</v>
      </c>
      <c r="J124" s="8" t="s">
        <v>450</v>
      </c>
      <c r="K124" s="8" t="s">
        <v>162</v>
      </c>
      <c r="L124" s="9" cm="1" t="str">
        <f t="array" ref="L124">IF(C124="","",IF(K124="Mort / Plus rien à faire","KO","OK"))</f>
        <v>OK</v>
      </c>
      <c r="M124" s="15">
        <v>46129.77217592593</v>
      </c>
      <c r="N124" s="15" cm="1" t="n">
        <f t="array" ref="N124">IF(OR(C124="",M124="",M124=0),"",M124)</f>
        <v>46129.77217592593</v>
      </c>
      <c r="O124" s="15">
</c>
      <c r="P124" s="15" cm="1" t="str">
        <f t="array" ref="P124">IF(C124="","",IF(OR(O124="",O124=0),"-",O124))</f>
        <v>-</v>
      </c>
      <c r="Q124" s="16">
        <v>0</v>
      </c>
      <c r="R124" s="16" cm="1" t="str">
        <f t="array" ref="R124">IF(C124="","",ROUND(Q124/1000000,3)&amp;" M€")</f>
        <v>0 M€</v>
      </c>
      <c r="S124" s="12" t="s">
        <v>192</v>
      </c>
      <c r="T124" s="9" cm="1" t="str">
        <f t="array" ref="T124">IF(C124="","",SUBSTITUTE(S124,"","")&amp;"%")</f>
        <v>10%</v>
      </c>
      <c r="U124" s="14" cm="1" t="str">
        <f t="array" ref="U124">IF(($N124="")*($P124=""),"",IF(($N124&lt;&gt;"")*($N124&gt;TODAY()-9)*($N124&lt;TODAY()+1)*($P124&lt;&gt;"")*($P124&gt;=TODAY())*($P124&lt;=TODAY()+13),"Semaine passée &amp; à venir",IF(($N124&lt;&gt;"")*($N124&gt;TODAY()-9)*($N124&lt;TODAY()+1),"Semaine passée",IF(($P124&lt;&gt;"")*($P124&gt;=TODAY())*($P124&lt;=TODAY()+13),"À venir","Autre"))))</f>
        <v>Autre</v>
      </c>
      <c r="V124" s="8" cm="1" t="n">
        <f t="array" ref="V124">IF(C124&lt;&gt;"",1,0)</f>
        <v>1</v>
      </c>
      <c r="W124" s="8">
</c>
      <c r="X124" s="8">
</c>
      <c r="Y124" s="8">
</c>
      <c r="Z124" s="8">
</c>
      <c r="AA124" s="8">
</c>
      <c r="AB124" s="8">
</c>
      <c r="AC124" s="8">
</c>
      <c r="AD124" s="8">
</c>
      <c r="AE124" s="8">
</c>
      <c r="AF124" s="8">
</c>
      <c r="AG124" s="8">
</c>
      <c r="AH124" s="8">
</c>
      <c r="AI124" s="8">
</c>
      <c r="AJ124" s="8">
</c>
      <c r="AK124" s="8">
</c>
    </row>
    <row r="125" ht="76.5" customHeight="1">
      <c r="A125" s="9" t="s">
        <v>23</v>
      </c>
      <c r="B125" s="9" t="s">
        <v>36</v>
      </c>
      <c r="C125" s="12" t="s">
        <v>228</v>
      </c>
      <c r="D125" s="12" t="s">
        <v>451</v>
      </c>
      <c r="E125" s="9" t="s">
        <v>27</v>
      </c>
      <c r="F125" s="8" t="s">
        <v>452</v>
      </c>
      <c r="G125" s="13" cm="1" t="str">
        <f t="array" ref="G125">IF(F125="","",SUBSTITUTE(SUBSTITUTE(SUBSTITUTE(SUBSTITUTE(F125,"&lt;li&gt;",CHAR(10)),"&lt;/li&gt;",""),"&lt;br&gt;",CHAR(10)),"&lt;strong&gt;",""))</f>
        <v>&lt;p&gt;Aucune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stade.&lt;/p&gt;</v>
      </c>
      <c r="H125" s="13" cm="1" t="str">
        <f t="array" ref="H125">IF(G125="","",SUBSTITUTE(SUBSTITUTE(SUBSTITUTE(SUBSTITUTE(SUBSTITUTE(G125,"&lt;p&gt;",""),"&lt;/p&gt;",""),"&lt;ul&gt;",""),"&lt;/ul&gt;",""),"&lt;/strong&gt;",""))</f>
        <v>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v>
      </c>
      <c r="I125" s="14" cm="1" t="str">
        <f t="array" ref="I125">IF(C125="","",IF(OR(H125="",H125=0,H125=FALSE),"-",H125))</f>
        <v>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v>
      </c>
      <c r="J125" s="8">
</c>
      <c r="K125" s="8" t="s">
        <v>162</v>
      </c>
      <c r="L125" s="9" cm="1" t="str">
        <f t="array" ref="L125">IF(C125="","",IF(K125="Mort / Plus rien à faire","KO","OK"))</f>
        <v>OK</v>
      </c>
      <c r="M125" s="15">
        <v>46028.562268518515</v>
      </c>
      <c r="N125" s="15" cm="1" t="n">
        <f t="array" ref="N125">IF(OR(C125="",M125="",M125=0),"",M125)</f>
        <v>46028.562268518515</v>
      </c>
      <c r="O125" s="15">
</c>
      <c r="P125" s="15" cm="1" t="str">
        <f t="array" ref="P125">IF(C125="","",IF(OR(O125="",O125=0),"-",O125))</f>
        <v>-</v>
      </c>
      <c r="Q125" s="16">
        <v>500000</v>
      </c>
      <c r="R125" s="16" cm="1" t="str">
        <f t="array" ref="R125">IF(C125="","",ROUND(Q125/1000000,3)&amp;" M€")</f>
        <v>0.5 M€</v>
      </c>
      <c r="S125" s="12" t="s">
        <v>192</v>
      </c>
      <c r="T125" s="9" cm="1" t="str">
        <f t="array" ref="T125">IF(C125="","",SUBSTITUTE(S125,"","")&amp;"%")</f>
        <v>10%</v>
      </c>
      <c r="U125" s="14" cm="1" t="str">
        <f t="array" ref="U125">IF(($N125="")*($P125=""),"",IF(($N125&lt;&gt;"")*($N125&gt;TODAY()-9)*($N125&lt;TODAY()+1)*($P125&lt;&gt;"")*($P125&gt;=TODAY())*($P125&lt;=TODAY()+13),"Semaine passée &amp; à venir",IF(($N125&lt;&gt;"")*($N125&gt;TODAY()-9)*($N125&lt;TODAY()+1),"Semaine passée",IF(($P125&lt;&gt;"")*($P125&gt;=TODAY())*($P125&lt;=TODAY()+13),"À venir","Autre"))))</f>
        <v>Autre</v>
      </c>
      <c r="V125" s="8" cm="1" t="n">
        <f t="array" ref="V125">IF(C125&lt;&gt;"",1,0)</f>
        <v>1</v>
      </c>
      <c r="W125" s="8">
</c>
      <c r="X125" s="8">
</c>
      <c r="Y125" s="8">
</c>
      <c r="Z125" s="8">
</c>
      <c r="AA125" s="8">
</c>
      <c r="AB125" s="8">
</c>
      <c r="AC125" s="8">
</c>
      <c r="AD125" s="8">
</c>
      <c r="AE125" s="8">
</c>
      <c r="AF125" s="8">
</c>
      <c r="AG125" s="8">
</c>
      <c r="AH125" s="8">
</c>
      <c r="AI125" s="8">
</c>
      <c r="AJ125" s="8">
</c>
      <c r="AK125" s="8">
</c>
    </row>
    <row r="126" ht="76.5" customHeight="1">
      <c r="A126" s="9" t="s">
        <v>23</v>
      </c>
      <c r="B126" s="9" t="s">
        <v>32</v>
      </c>
      <c r="C126" s="12" t="s">
        <v>453</v>
      </c>
      <c r="D126" s="12" t="s">
        <v>454</v>
      </c>
      <c r="E126" s="9" t="s">
        <v>27</v>
      </c>
      <c r="F126" s="8" t="s">
        <v>455</v>
      </c>
      <c r="G126" s="13" cm="1" t="str">
        <f t="array" ref="G126">IF(F126="","",SUBSTITUTE(SUBSTITUTE(SUBSTITUTE(SUBSTITUTE(F126,"&lt;li&gt;",CHAR(10)),"&lt;/li&gt;",""),"&lt;br&gt;",CHAR(10)),"&lt;strong&gt;",""))</f>
        <v>&lt;p&gt;Aucune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planifiées.&lt;/p&gt;</v>
      </c>
      <c r="H126" s="13" cm="1" t="str">
        <f t="array" ref="H126">IF(G126="","",SUBSTITUTE(SUBSTITUTE(SUBSTITUTE(SUBSTITUTE(SUBSTITUTE(G126,"&lt;p&gt;",""),"&lt;/p&gt;",""),"&lt;ul&gt;",""),"&lt;/ul&gt;",""),"&lt;/strong&gt;",""))</f>
        <v>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v>
      </c>
      <c r="I126" s="14" cm="1" t="str">
        <f t="array" ref="I126">IF(C126="","",IF(OR(H126="",H126=0,H126=FALSE),"-",H126))</f>
        <v>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v>
      </c>
      <c r="J126" s="8">
</c>
      <c r="K126" s="8" t="s">
        <v>162</v>
      </c>
      <c r="L126" s="9" cm="1" t="str">
        <f t="array" ref="L126">IF(C126="","",IF(K126="Mort / Plus rien à faire","KO","OK"))</f>
        <v>OK</v>
      </c>
      <c r="M126" s="15">
        <v>46087.71891203704</v>
      </c>
      <c r="N126" s="15" cm="1" t="n">
        <f t="array" ref="N126">IF(OR(C126="",M126="",M126=0),"",M126)</f>
        <v>46087.71891203704</v>
      </c>
      <c r="O126" s="15">
</c>
      <c r="P126" s="15" cm="1" t="str">
        <f t="array" ref="P126">IF(C126="","",IF(OR(O126="",O126=0),"-",O126))</f>
        <v>-</v>
      </c>
      <c r="Q126" s="16">
        <v>0</v>
      </c>
      <c r="R126" s="16" cm="1" t="str">
        <f t="array" ref="R126">IF(C126="","",ROUND(Q126/1000000,3)&amp;" M€")</f>
        <v>0 M€</v>
      </c>
      <c r="S126" s="12" t="s">
        <v>192</v>
      </c>
      <c r="T126" s="9" cm="1" t="str">
        <f t="array" ref="T126">IF(C126="","",SUBSTITUTE(S126,"","")&amp;"%")</f>
        <v>10%</v>
      </c>
      <c r="U126" s="14" cm="1" t="str">
        <f t="array" ref="U126">IF(($N126="")*($P126=""),"",IF(($N126&lt;&gt;"")*($N126&gt;TODAY()-9)*($N126&lt;TODAY()+1)*($P126&lt;&gt;"")*($P126&gt;=TODAY())*($P126&lt;=TODAY()+13),"Semaine passée &amp; à venir",IF(($N126&lt;&gt;"")*($N126&gt;TODAY()-9)*($N126&lt;TODAY()+1),"Semaine passée",IF(($P126&lt;&gt;"")*($P126&gt;=TODAY())*($P126&lt;=TODAY()+13),"À venir","Autre"))))</f>
        <v>Autre</v>
      </c>
      <c r="V126" s="8" cm="1" t="n">
        <f t="array" ref="V126">IF(C126&lt;&gt;"",1,0)</f>
        <v>1</v>
      </c>
      <c r="W126" s="8">
</c>
      <c r="X126" s="8">
</c>
      <c r="Y126" s="8">
</c>
      <c r="Z126" s="8">
</c>
      <c r="AA126" s="8">
</c>
      <c r="AB126" s="8">
</c>
      <c r="AC126" s="8">
</c>
      <c r="AD126" s="8">
</c>
      <c r="AE126" s="8">
</c>
      <c r="AF126" s="8">
</c>
      <c r="AG126" s="8">
</c>
      <c r="AH126" s="8">
</c>
      <c r="AI126" s="8">
</c>
      <c r="AJ126" s="8">
</c>
      <c r="AK126" s="8">
</c>
    </row>
    <row r="127" ht="76.5" customHeight="1">
      <c r="A127" s="9" t="s">
        <v>23</v>
      </c>
      <c r="B127" s="9" t="s">
        <v>45</v>
      </c>
      <c r="C127" s="12" t="s">
        <v>456</v>
      </c>
      <c r="D127" s="12" t="s">
        <v>457</v>
      </c>
      <c r="E127" s="9" t="s">
        <v>39</v>
      </c>
      <c r="F127" s="8" t="s">
        <v>458</v>
      </c>
      <c r="G127" s="13" cm="1" t="str">
        <f t="array" ref="G127">IF(F127="","",SUBSTITUTE(SUBSTITUTE(SUBSTITUTE(SUBSTITUTE(F127,"&lt;li&gt;",CHAR(10)),"&lt;/li&gt;",""),"&lt;br&gt;",CHAR(10)),"&lt;strong&gt;",""))</f>
        <v>&lt;p&gt;Nouvelle piste créée pour équipe Ventes. Tentative d'enrichissement lead échouée (email invalide). Action prévue : organiser petit déjeuner avec clients. Aucune activité supplémentaire ni retour prospect sur fonds présentés. Prochaine étape : planification du rendez-vous.&lt;/p&gt;</v>
      </c>
      <c r="H127" s="13" cm="1" t="str">
        <f t="array" ref="H127">IF(G127="","",SUBSTITUTE(SUBSTITUTE(SUBSTITUTE(SUBSTITUTE(SUBSTITUTE(G127,"&lt;p&gt;",""),"&lt;/p&gt;",""),"&lt;ul&gt;",""),"&lt;/ul&gt;",""),"&lt;/strong&gt;",""))</f>
        <v>Nouvelle piste créée pour équipe Ventes. Tentative d'enrichissement lead échouée (email invalide). Action prévue : organiser petit déjeuner avec clients. Aucune activité supplémentaire ni retour prospect sur fonds présentés. Prochaine étape : planification du rendez-vous.</v>
      </c>
      <c r="I127" s="14" cm="1" t="str">
        <f t="array" ref="I127">IF(C127="","",IF(OR(H127="",H127=0,H127=FALSE),"-",H127))</f>
        <v>Nouvelle piste créée pour équipe Ventes. Tentative d'enrichissement lead échouée (email invalide). Action prévue : organiser petit déjeuner avec clients. Aucune activité supplémentaire ni retour prospect sur fonds présentés. Prochaine étape : planification du rendez-vous.</v>
      </c>
      <c r="J127" s="8">
</c>
      <c r="K127" s="8" t="s">
        <v>52</v>
      </c>
      <c r="L127" s="9" cm="1" t="str">
        <f t="array" ref="L127">IF(C127="","",IF(K127="Mort / Plus rien à faire","KO","OK"))</f>
        <v>OK</v>
      </c>
      <c r="M127" s="15">
        <v>46050.699953703705</v>
      </c>
      <c r="N127" s="15" cm="1" t="n">
        <f t="array" ref="N127">IF(OR(C127="",M127="",M127=0),"",M127)</f>
        <v>46050.699953703705</v>
      </c>
      <c r="O127" s="15">
</c>
      <c r="P127" s="15" cm="1" t="str">
        <f t="array" ref="P127">IF(C127="","",IF(OR(O127="",O127=0),"-",O127))</f>
        <v>-</v>
      </c>
      <c r="Q127" s="16">
        <v>0</v>
      </c>
      <c r="R127" s="16" cm="1" t="str">
        <f t="array" ref="R127">IF(C127="","",ROUND(Q127/1000000,3)&amp;" M€")</f>
        <v>0 M€</v>
      </c>
      <c r="S127" s="12" t="s">
        <v>192</v>
      </c>
      <c r="T127" s="9" cm="1" t="str">
        <f t="array" ref="T127">IF(C127="","",SUBSTITUTE(S127,"","")&amp;"%")</f>
        <v>10%</v>
      </c>
      <c r="U127" s="14" cm="1" t="str">
        <f t="array" ref="U127">IF(($N127="")*($P127=""),"",IF(($N127&lt;&gt;"")*($N127&gt;TODAY()-9)*($N127&lt;TODAY()+1)*($P127&lt;&gt;"")*($P127&gt;=TODAY())*($P127&lt;=TODAY()+13),"Semaine passée &amp; à venir",IF(($N127&lt;&gt;"")*($N127&gt;TODAY()-9)*($N127&lt;TODAY()+1),"Semaine passée",IF(($P127&lt;&gt;"")*($P127&gt;=TODAY())*($P127&lt;=TODAY()+13),"À venir","Autre"))))</f>
        <v>Autre</v>
      </c>
      <c r="V127" s="8" cm="1" t="n">
        <f t="array" ref="V127">IF(C127&lt;&gt;"",1,0)</f>
        <v>1</v>
      </c>
      <c r="W127" s="8">
</c>
      <c r="X127" s="8">
</c>
      <c r="Y127" s="8">
</c>
      <c r="Z127" s="8">
</c>
      <c r="AA127" s="8">
</c>
      <c r="AB127" s="8">
</c>
      <c r="AC127" s="8">
</c>
      <c r="AD127" s="8">
</c>
      <c r="AE127" s="8">
</c>
      <c r="AF127" s="8">
</c>
      <c r="AG127" s="8">
</c>
      <c r="AH127" s="8">
</c>
      <c r="AI127" s="8">
</c>
      <c r="AJ127" s="8">
</c>
      <c r="AK127" s="8">
</c>
    </row>
    <row r="128" ht="76.5" customHeight="1">
      <c r="A128" s="9" t="s">
        <v>23</v>
      </c>
      <c r="B128" s="9" t="s">
        <v>372</v>
      </c>
      <c r="C128" s="12" t="s">
        <v>459</v>
      </c>
      <c r="D128" s="12" t="s">
        <v>460</v>
      </c>
      <c r="E128" s="9" t="s">
        <v>27</v>
      </c>
      <c r="F128" s="8" t="s">
        <v>461</v>
      </c>
      <c r="G128" s="13" cm="1" t="str">
        <f t="array" ref="G128">IF(F128="","",SUBSTITUTE(SUBSTITUTE(SUBSTITUTE(SUBSTITUTE(F128,"&lt;li&gt;",CHAR(10)),"&lt;/li&gt;",""),"&lt;br&gt;",CHAR(10)),"&lt;strong&gt;",""))</f>
        <v>&lt;p&gt;RDV physique réalisé avec STRATON, discussion sur mécénat doctorant, conseil dealflow/fonds. OK financement Doctorat, introduction France Mutualiste. Aucune action de levée prévue. Pas de prochaines étapes identifiées à ce stade. Dernière activité 17/03/2026.&lt;/p&gt;</v>
      </c>
      <c r="H128" s="13" cm="1" t="str">
        <f t="array" ref="H128">IF(G128="","",SUBSTITUTE(SUBSTITUTE(SUBSTITUTE(SUBSTITUTE(SUBSTITUTE(G128,"&lt;p&gt;",""),"&lt;/p&gt;",""),"&lt;ul&gt;",""),"&lt;/ul&gt;",""),"&lt;/strong&gt;",""))</f>
        <v>RDV physique réalisé avec STRATON, discussion sur mécénat doctorant, conseil dealflow/fonds. OK financement Doctorat, introduction France Mutualiste. Aucune action de levée prévue. Pas de prochaines étapes identifiées à ce stade. Dernière activité 17/03/2026.</v>
      </c>
      <c r="I128" s="14" cm="1" t="str">
        <f t="array" ref="I128">IF(C128="","",IF(OR(H128="",H128=0,H128=FALSE),"-",H128))</f>
        <v>RDV physique réalisé avec STRATON, discussion sur mécénat doctorant, conseil dealflow/fonds. OK financement Doctorat, introduction France Mutualiste. Aucune action de levée prévue. Pas de prochaines étapes identifiées à ce stade. Dernière activité 17/03/2026.</v>
      </c>
      <c r="J128" s="8" t="s">
        <v>462</v>
      </c>
      <c r="K128" s="8" t="s">
        <v>463</v>
      </c>
      <c r="L128" s="9" cm="1" t="str">
        <f t="array" ref="L128">IF(C128="","",IF(K128="Mort / Plus rien à faire","KO","OK"))</f>
        <v>KO</v>
      </c>
      <c r="M128" s="15">
        <v>46136.529016203705</v>
      </c>
      <c r="N128" s="15" cm="1" t="n">
        <f t="array" ref="N128">IF(OR(C128="",M128="",M128=0),"",M128)</f>
        <v>46136.529016203705</v>
      </c>
      <c r="O128" s="15">
</c>
      <c r="P128" s="15" cm="1" t="str">
        <f t="array" ref="P128">IF(C128="","",IF(OR(O128="",O128=0),"-",O128))</f>
        <v>-</v>
      </c>
      <c r="Q128" s="16">
        <v>0</v>
      </c>
      <c r="R128" s="16" cm="1" t="str">
        <f t="array" ref="R128">IF(C128="","",ROUND(Q128/1000000,3)&amp;" M€")</f>
        <v>0 M€</v>
      </c>
      <c r="S128" s="12" t="s">
        <v>464</v>
      </c>
      <c r="T128" s="9" cm="1" t="str">
        <f t="array" ref="T128">IF(C128="","",SUBSTITUTE(S128,"","")&amp;"%")</f>
        <v>0%</v>
      </c>
      <c r="U128" s="14" cm="1" t="str">
        <f t="array" ref="U128">IF(($N128="")*($P128=""),"",IF(($N128&lt;&gt;"")*($N128&gt;TODAY()-9)*($N128&lt;TODAY()+1)*($P128&lt;&gt;"")*($P128&gt;=TODAY())*($P128&lt;=TODAY()+13),"Semaine passée &amp; à venir",IF(($N128&lt;&gt;"")*($N128&gt;TODAY()-9)*($N128&lt;TODAY()+1),"Semaine passée",IF(($P128&lt;&gt;"")*($P128&gt;=TODAY())*($P128&lt;=TODAY()+13),"À venir","Autre"))))</f>
        <v>Autre</v>
      </c>
      <c r="V128" s="8" cm="1" t="n">
        <f t="array" ref="V128">IF(C128&lt;&gt;"",1,0)</f>
        <v>1</v>
      </c>
      <c r="W128" s="8">
</c>
      <c r="X128" s="8">
</c>
      <c r="Y128" s="8">
</c>
      <c r="Z128" s="8">
</c>
      <c r="AA128" s="8">
</c>
      <c r="AB128" s="8">
</c>
      <c r="AC128" s="8">
</c>
      <c r="AD128" s="8">
</c>
      <c r="AE128" s="8">
</c>
      <c r="AF128" s="8">
</c>
      <c r="AG128" s="8">
</c>
      <c r="AH128" s="8">
</c>
      <c r="AI128" s="8">
</c>
      <c r="AJ128" s="8">
</c>
      <c r="AK128" s="8">
</c>
    </row>
    <row r="129" ht="76.5" customHeight="1">
      <c r="A129" s="9" t="s">
        <v>23</v>
      </c>
      <c r="B129" s="9" t="s">
        <v>372</v>
      </c>
      <c r="C129" s="12" t="s">
        <v>465</v>
      </c>
      <c r="D129" s="12" t="s">
        <v>466</v>
      </c>
      <c r="E129" s="9" t="s">
        <v>27</v>
      </c>
      <c r="F129" s="8" t="s">
        <v>467</v>
      </c>
      <c r="G129" s="13" cm="1" t="str">
        <f t="array" ref="G129">IF(F129="","",SUBSTITUTE(SUBSTITUTE(SUBSTITUTE(SUBSTITUTE(F129,"&lt;li&gt;",CHAR(10)),"&lt;/li&gt;",""),"&lt;br&gt;",CHAR(10)),"&lt;strong&gt;",""))</f>
        <v>&lt;p&gt;Aucune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France.&lt;/p&gt;</v>
      </c>
      <c r="H129" s="13" cm="1" t="str">
        <f t="array" ref="H129">IF(G129="","",SUBSTITUTE(SUBSTITUTE(SUBSTITUTE(SUBSTITUTE(SUBSTITUTE(G129,"&lt;p&gt;",""),"&lt;/p&gt;",""),"&lt;ul&gt;",""),"&lt;/ul&gt;",""),"&lt;/strong&gt;",""))</f>
        <v>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v>
      </c>
      <c r="I129" s="14" cm="1" t="str">
        <f t="array" ref="I129">IF(C129="","",IF(OR(H129="",H129=0,H129=FALSE),"-",H129))</f>
        <v>Aucune activité ou échange mené sur le prospect CRPCEN. Opportunité créée pour l'équipe Ventes. Prospect : CRPCEN, caisse de retraite/prévoyance dédiée aux clercs et employés de notaires, gère plus de 60 000 affiliés, acteur institutionnel historique du secteur protection sociale France.</v>
      </c>
      <c r="J129" s="8">
</c>
      <c r="K129" s="8" t="s">
        <v>162</v>
      </c>
      <c r="L129" s="9" cm="1" t="str">
        <f t="array" ref="L129">IF(C129="","",IF(K129="Mort / Plus rien à faire","KO","OK"))</f>
        <v>OK</v>
      </c>
      <c r="M129" s="15">
        <v>45992.515023148146</v>
      </c>
      <c r="N129" s="15" cm="1" t="n">
        <f t="array" ref="N129">IF(OR(C129="",M129="",M129=0),"",M129)</f>
        <v>45992.515023148146</v>
      </c>
      <c r="O129" s="15">
</c>
      <c r="P129" s="15" cm="1" t="str">
        <f t="array" ref="P129">IF(C129="","",IF(OR(O129="",O129=0),"-",O129))</f>
        <v>-</v>
      </c>
      <c r="Q129" s="16">
        <v>0</v>
      </c>
      <c r="R129" s="16" cm="1" t="str">
        <f t="array" ref="R129">IF(C129="","",ROUND(Q129/1000000,3)&amp;" M€")</f>
        <v>0 M€</v>
      </c>
      <c r="S129" s="12" t="s">
        <v>464</v>
      </c>
      <c r="T129" s="9" cm="1" t="str">
        <f t="array" ref="T129">IF(C129="","",SUBSTITUTE(S129,"","")&amp;"%")</f>
        <v>0%</v>
      </c>
      <c r="U129" s="14" cm="1" t="str">
        <f t="array" ref="U129">IF(($N129="")*($P129=""),"",IF(($N129&lt;&gt;"")*($N129&gt;TODAY()-9)*($N129&lt;TODAY()+1)*($P129&lt;&gt;"")*($P129&gt;=TODAY())*($P129&lt;=TODAY()+13),"Semaine passée &amp; à venir",IF(($N129&lt;&gt;"")*($N129&gt;TODAY()-9)*($N129&lt;TODAY()+1),"Semaine passée",IF(($P129&lt;&gt;"")*($P129&gt;=TODAY())*($P129&lt;=TODAY()+13),"À venir","Autre"))))</f>
        <v>Autre</v>
      </c>
      <c r="V129" s="8" cm="1" t="n">
        <f t="array" ref="V129">IF(C129&lt;&gt;"",1,0)</f>
        <v>1</v>
      </c>
      <c r="W129" s="8">
</c>
      <c r="X129" s="8">
</c>
      <c r="Y129" s="8">
</c>
      <c r="Z129" s="8">
</c>
      <c r="AA129" s="8">
</c>
      <c r="AB129" s="8">
</c>
      <c r="AC129" s="8">
</c>
      <c r="AD129" s="8">
</c>
      <c r="AE129" s="8">
</c>
      <c r="AF129" s="8">
</c>
      <c r="AG129" s="8">
</c>
      <c r="AH129" s="8">
</c>
      <c r="AI129" s="8">
</c>
      <c r="AJ129" s="8">
</c>
      <c r="AK129" s="8">
</c>
    </row>
    <row r="130" ht="76.5" customHeight="1">
      <c r="A130" s="9" t="s">
        <v>23</v>
      </c>
      <c r="B130" s="9" t="s">
        <v>32</v>
      </c>
      <c r="C130" s="12" t="s">
        <v>468</v>
      </c>
      <c r="D130" s="12" t="s">
        <v>469</v>
      </c>
      <c r="E130" s="9" t="s">
        <v>27</v>
      </c>
      <c r="F130" s="8" t="s">
        <v>470</v>
      </c>
      <c r="G130" s="13" cm="1" t="str">
        <f t="array" ref="G130">IF(F130="","",SUBSTITUTE(SUBSTITUTE(SUBSTITUTE(SUBSTITUTE(F130,"&lt;li&gt;",CHAR(10)),"&lt;/li&gt;",""),"&lt;br&gt;",CHAR(10)),"&lt;strong&gt;",""))</f>
        <v>&lt;p&gt;Aucune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récentes.&lt;/p&gt;</v>
      </c>
      <c r="H130" s="13" cm="1" t="str">
        <f t="array" ref="H130">IF(G130="","",SUBSTITUTE(SUBSTITUTE(SUBSTITUTE(SUBSTITUTE(SUBSTITUTE(G130,"&lt;p&gt;",""),"&lt;/p&gt;",""),"&lt;ul&gt;",""),"&lt;/ul&gt;",""),"&lt;/strong&gt;",""))</f>
        <v>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v>
      </c>
      <c r="I130" s="14" cm="1" t="str">
        <f t="array" ref="I130">IF(C130="","",IF(OR(H130="",H130=0,H130=FALSE),"-",H130))</f>
        <v>Aucune activité menée sur le prospect. Opportunité de MUTUELLE MEDICIS : acteur reconnu en protection sociale et complémentaire santé, plus de 300 000 adhérents, spécialisé dans la couverture santé des indépendants et professions libérales. Pas d'échanges ni d'actions récentes.</v>
      </c>
      <c r="J130" s="8">
</c>
      <c r="K130" s="8" t="s">
        <v>162</v>
      </c>
      <c r="L130" s="9" cm="1" t="str">
        <f t="array" ref="L130">IF(C130="","",IF(K130="Mort / Plus rien à faire","KO","OK"))</f>
        <v>OK</v>
      </c>
      <c r="M130" s="15">
        <v>45992.5122337963</v>
      </c>
      <c r="N130" s="15" cm="1" t="n">
        <f t="array" ref="N130">IF(OR(C130="",M130="",M130=0),"",M130)</f>
        <v>45992.5122337963</v>
      </c>
      <c r="O130" s="15">
</c>
      <c r="P130" s="15" cm="1" t="str">
        <f t="array" ref="P130">IF(C130="","",IF(OR(O130="",O130=0),"-",O130))</f>
        <v>-</v>
      </c>
      <c r="Q130" s="16">
        <v>0</v>
      </c>
      <c r="R130" s="16" cm="1" t="str">
        <f t="array" ref="R130">IF(C130="","",ROUND(Q130/1000000,3)&amp;" M€")</f>
        <v>0 M€</v>
      </c>
      <c r="S130" s="12" t="s">
        <v>464</v>
      </c>
      <c r="T130" s="9" cm="1" t="str">
        <f t="array" ref="T130">IF(C130="","",SUBSTITUTE(S130,"","")&amp;"%")</f>
        <v>0%</v>
      </c>
      <c r="U130" s="14" cm="1" t="str">
        <f t="array" ref="U130">IF(($N130="")*($P130=""),"",IF(($N130&lt;&gt;"")*($N130&gt;TODAY()-9)*($N130&lt;TODAY()+1)*($P130&lt;&gt;"")*($P130&gt;=TODAY())*($P130&lt;=TODAY()+13),"Semaine passée &amp; à venir",IF(($N130&lt;&gt;"")*($N130&gt;TODAY()-9)*($N130&lt;TODAY()+1),"Semaine passée",IF(($P130&lt;&gt;"")*($P130&gt;=TODAY())*($P130&lt;=TODAY()+13),"À venir","Autre"))))</f>
        <v>Autre</v>
      </c>
      <c r="V130" s="8" cm="1" t="n">
        <f t="array" ref="V130">IF(C130&lt;&gt;"",1,0)</f>
        <v>1</v>
      </c>
      <c r="W130" s="8">
</c>
      <c r="X130" s="8">
</c>
      <c r="Y130" s="8">
</c>
      <c r="Z130" s="8">
</c>
      <c r="AA130" s="8">
</c>
      <c r="AB130" s="8">
</c>
      <c r="AC130" s="8">
</c>
      <c r="AD130" s="8">
</c>
      <c r="AE130" s="8">
</c>
      <c r="AF130" s="8">
</c>
      <c r="AG130" s="8">
</c>
      <c r="AH130" s="8">
</c>
      <c r="AI130" s="8">
</c>
      <c r="AJ130" s="8">
</c>
      <c r="AK130" s="8">
</c>
    </row>
    <row r="131" ht="76.5" customHeight="1">
      <c r="A131" s="9" t="s">
        <v>23</v>
      </c>
      <c r="B131" s="9" t="s">
        <v>32</v>
      </c>
      <c r="C131" s="12" t="s">
        <v>471</v>
      </c>
      <c r="D131" s="12" t="s">
        <v>472</v>
      </c>
      <c r="E131" s="9" t="s">
        <v>27</v>
      </c>
      <c r="F131" s="8" t="s">
        <v>473</v>
      </c>
      <c r="G131" s="13" cm="1" t="str">
        <f t="array" ref="G131">IF(F131="","",SUBSTITUTE(SUBSTITUTE(SUBSTITUTE(SUBSTITUTE(F131,"&lt;li&gt;",CHAR(10)),"&lt;/li&gt;",""),"&lt;br&gt;",CHAR(10)),"&lt;strong&gt;",""))</f>
        <v>&lt;p&gt;RDV physique demandé avec Aurélie Dumont (14/01), suivi par échanges, JFC est intervenu, puis renvoi vers Leovic Lecluse (13/04). Dernière action : transfert dossier à Leovic Lecluse. Prochaine étape : attente retour/prise en charge par Leovic Lecluse. Pas d'avis prospect sur fonds.&lt;/p&gt;</v>
      </c>
      <c r="H131" s="13" cm="1" t="str">
        <f t="array" ref="H131">IF(G131="","",SUBSTITUTE(SUBSTITUTE(SUBSTITUTE(SUBSTITUTE(SUBSTITUTE(G131,"&lt;p&gt;",""),"&lt;/p&gt;",""),"&lt;ul&gt;",""),"&lt;/ul&gt;",""),"&lt;/strong&gt;",""))</f>
        <v>RDV physique demandé avec Aurélie Dumont (14/01), suivi par échanges, JFC est intervenu, puis renvoi vers Leovic Lecluse (13/04). Dernière action : transfert dossier à Leovic Lecluse. Prochaine étape : attente retour/prise en charge par Leovic Lecluse. Pas d'avis prospect sur fonds.</v>
      </c>
      <c r="I131" s="14" cm="1" t="str">
        <f t="array" ref="I131">IF(C131="","",IF(OR(H131="",H131=0,H131=FALSE),"-",H131))</f>
        <v>RDV physique demandé avec Aurélie Dumont (14/01), suivi par échanges, JFC est intervenu, puis renvoi vers Leovic Lecluse (13/04). Dernière action : transfert dossier à Leovic Lecluse. Prochaine étape : attente retour/prise en charge par Leovic Lecluse. Pas d'avis prospect sur fonds.</v>
      </c>
      <c r="J131" s="8">
</c>
      <c r="K131" s="8" t="s">
        <v>463</v>
      </c>
      <c r="L131" s="9" cm="1" t="str">
        <f t="array" ref="L131">IF(C131="","",IF(K131="Mort / Plus rien à faire","KO","OK"))</f>
        <v>KO</v>
      </c>
      <c r="M131" s="15">
        <v>46125.79914351852</v>
      </c>
      <c r="N131" s="15" cm="1" t="n">
        <f t="array" ref="N131">IF(OR(C131="",M131="",M131=0),"",M131)</f>
        <v>46125.79914351852</v>
      </c>
      <c r="O131" s="15">
</c>
      <c r="P131" s="15" cm="1" t="str">
        <f t="array" ref="P131">IF(C131="","",IF(OR(O131="",O131=0),"-",O131))</f>
        <v>-</v>
      </c>
      <c r="Q131" s="16">
        <v>0</v>
      </c>
      <c r="R131" s="16" cm="1" t="str">
        <f t="array" ref="R131">IF(C131="","",ROUND(Q131/1000000,3)&amp;" M€")</f>
        <v>0 M€</v>
      </c>
      <c r="S131" s="12" t="s">
        <v>464</v>
      </c>
      <c r="T131" s="9" cm="1" t="str">
        <f t="array" ref="T131">IF(C131="","",SUBSTITUTE(S131,"","")&amp;"%")</f>
        <v>0%</v>
      </c>
      <c r="U131" s="14" cm="1" t="str">
        <f t="array" ref="U131">IF(($N131="")*($P131=""),"",IF(($N131&lt;&gt;"")*($N131&gt;TODAY()-9)*($N131&lt;TODAY()+1)*($P131&lt;&gt;"")*($P131&gt;=TODAY())*($P131&lt;=TODAY()+13),"Semaine passée &amp; à venir",IF(($N131&lt;&gt;"")*($N131&gt;TODAY()-9)*($N131&lt;TODAY()+1),"Semaine passée",IF(($P131&lt;&gt;"")*($P131&gt;=TODAY())*($P131&lt;=TODAY()+13),"À venir","Autre"))))</f>
        <v>Autre</v>
      </c>
      <c r="V131" s="8" cm="1" t="n">
        <f t="array" ref="V131">IF(C131&lt;&gt;"",1,0)</f>
        <v>1</v>
      </c>
      <c r="W131" s="8">
</c>
      <c r="X131" s="8">
</c>
      <c r="Y131" s="8">
</c>
      <c r="Z131" s="8">
</c>
      <c r="AA131" s="8">
</c>
      <c r="AB131" s="8">
</c>
      <c r="AC131" s="8">
</c>
      <c r="AD131" s="8">
</c>
      <c r="AE131" s="8">
</c>
      <c r="AF131" s="8">
</c>
      <c r="AG131" s="8">
</c>
      <c r="AH131" s="8">
</c>
      <c r="AI131" s="8">
</c>
      <c r="AJ131" s="8">
</c>
      <c r="AK131" s="8">
</c>
    </row>
    <row r="132" ht="76.5" customHeight="1">
      <c r="A132" s="9" t="s">
        <v>23</v>
      </c>
      <c r="B132" s="9" t="s">
        <v>86</v>
      </c>
      <c r="C132" s="12" t="s">
        <v>474</v>
      </c>
      <c r="D132" s="12" t="s">
        <v>475</v>
      </c>
      <c r="E132" s="9" t="s">
        <v>27</v>
      </c>
      <c r="F132" s="8" t="s">
        <v>476</v>
      </c>
      <c r="G132" s="13" cm="1" t="str">
        <f t="array" ref="G132">IF(F132="","",SUBSTITUTE(SUBSTITUTE(SUBSTITUTE(SUBSTITUTE(F132,"&lt;li&gt;",CHAR(10)),"&lt;/li&gt;",""),"&lt;br&gt;",CHAR(10)),"&lt;strong&gt;",""))</f>
        <v>&lt;p&gt;RDV physique UNEDIC &amp;lt;&amp;gt; IPEM le 06/02 : UNEDIC gère 60mds€ de dettes, focus liquidité, politiques d'investissement très monétaires, très peu d'intérêt pour PE, ouverture marginale sur fonds obligataires ESG. Pas d'activité ou de suivi supplémentaire identifié à ce jour.&lt;/p&gt;</v>
      </c>
      <c r="H132" s="13" cm="1" t="str">
        <f t="array" ref="H132">IF(G132="","",SUBSTITUTE(SUBSTITUTE(SUBSTITUTE(SUBSTITUTE(SUBSTITUTE(G132,"&lt;p&gt;",""),"&lt;/p&gt;",""),"&lt;ul&gt;",""),"&lt;/ul&gt;",""),"&lt;/strong&gt;",""))</f>
        <v>RDV physique UNEDIC &amp;lt;&amp;gt; IPEM le 06/02 : UNEDIC gère 60mds€ de dettes, focus liquidité, politiques d'investissement très monétaires, très peu d'intérêt pour PE, ouverture marginale sur fonds obligataires ESG. Pas d'activité ou de suivi supplémentaire identifié à ce jour.</v>
      </c>
      <c r="I132" s="14" cm="1" t="str">
        <f t="array" ref="I132">IF(C132="","",IF(OR(H132="",H132=0,H132=FALSE),"-",H132))</f>
        <v>RDV physique UNEDIC &amp;lt;&amp;gt; IPEM le 06/02 : UNEDIC gère 60mds€ de dettes, focus liquidité, politiques d'investissement très monétaires, très peu d'intérêt pour PE, ouverture marginale sur fonds obligataires ESG. Pas d'activité ou de suivi supplémentaire identifié à ce jour.</v>
      </c>
      <c r="J132" s="8">
</c>
      <c r="K132" s="8" t="s">
        <v>109</v>
      </c>
      <c r="L132" s="9" cm="1" t="str">
        <f t="array" ref="L132">IF(C132="","",IF(K132="Mort / Plus rien à faire","KO","OK"))</f>
        <v>OK</v>
      </c>
      <c r="M132" s="15">
        <v>46059.81091435185</v>
      </c>
      <c r="N132" s="15" cm="1" t="n">
        <f t="array" ref="N132">IF(OR(C132="",M132="",M132=0),"",M132)</f>
        <v>46059.81091435185</v>
      </c>
      <c r="O132" s="15">
</c>
      <c r="P132" s="15" cm="1" t="str">
        <f t="array" ref="P132">IF(C132="","",IF(OR(O132="",O132=0),"-",O132))</f>
        <v>-</v>
      </c>
      <c r="Q132" s="16">
        <v>0</v>
      </c>
      <c r="R132" s="16" cm="1" t="str">
        <f t="array" ref="R132">IF(C132="","",ROUND(Q132/1000000,3)&amp;" M€")</f>
        <v>0 M€</v>
      </c>
      <c r="S132" s="12" t="s">
        <v>464</v>
      </c>
      <c r="T132" s="9" cm="1" t="str">
        <f t="array" ref="T132">IF(C132="","",SUBSTITUTE(S132,"","")&amp;"%")</f>
        <v>0%</v>
      </c>
      <c r="U132" s="14" cm="1" t="str">
        <f t="array" ref="U132">IF(($N132="")*($P132=""),"",IF(($N132&lt;&gt;"")*($N132&gt;TODAY()-9)*($N132&lt;TODAY()+1)*($P132&lt;&gt;"")*($P132&gt;=TODAY())*($P132&lt;=TODAY()+13),"Semaine passée &amp; à venir",IF(($N132&lt;&gt;"")*($N132&gt;TODAY()-9)*($N132&lt;TODAY()+1),"Semaine passée",IF(($P132&lt;&gt;"")*($P132&gt;=TODAY())*($P132&lt;=TODAY()+13),"À venir","Autre"))))</f>
        <v>Autre</v>
      </c>
      <c r="V132" s="8" cm="1" t="n">
        <f t="array" ref="V132">IF(C132&lt;&gt;"",1,0)</f>
        <v>1</v>
      </c>
      <c r="W132" s="8">
</c>
      <c r="X132" s="8">
</c>
      <c r="Y132" s="8">
</c>
      <c r="Z132" s="8">
</c>
      <c r="AA132" s="8">
</c>
      <c r="AB132" s="8">
</c>
      <c r="AC132" s="8">
</c>
      <c r="AD132" s="8">
</c>
      <c r="AE132" s="8">
</c>
      <c r="AF132" s="8">
</c>
      <c r="AG132" s="8">
</c>
      <c r="AH132" s="8">
</c>
      <c r="AI132" s="8">
</c>
      <c r="AJ132" s="8">
</c>
      <c r="AK132" s="8">
</c>
    </row>
    <row r="133" ht="76.5" customHeight="1">
      <c r="A133" s="9" t="s">
        <v>23</v>
      </c>
      <c r="B133" s="9" t="s">
        <v>113</v>
      </c>
      <c r="C133" s="12" t="s">
        <v>477</v>
      </c>
      <c r="D133" s="12" t="s">
        <v>478</v>
      </c>
      <c r="E133" s="9" t="s">
        <v>27</v>
      </c>
      <c r="F133" s="8" t="s">
        <v>479</v>
      </c>
      <c r="G133" s="13" cm="1" t="str">
        <f t="array" ref="G133">IF(F133="","",SUBSTITUTE(SUBSTITUTE(SUBSTITUTE(SUBSTITUTE(F133,"&lt;li&gt;",CHAR(10)),"&lt;/li&gt;",""),"&lt;br&gt;",CHAR(10)),"&lt;strong&gt;",""))</f>
        <v>&lt;p&gt;Aucune activité ni échange significatif enregistré sur cette opportunité. Seule information : nouvelle piste créée pour l'équipe Ventes par Romain Andrieu. Aucun suivi, action ou retour prospect identifié à ce jour.&lt;/p&gt;</v>
      </c>
      <c r="H133" s="13" cm="1" t="str">
        <f t="array" ref="H133">IF(G133="","",SUBSTITUTE(SUBSTITUTE(SUBSTITUTE(SUBSTITUTE(SUBSTITUTE(G133,"&lt;p&gt;",""),"&lt;/p&gt;",""),"&lt;ul&gt;",""),"&lt;/ul&gt;",""),"&lt;/strong&gt;",""))</f>
        <v>Aucune activité ni échange significatif enregistré sur cette opportunité. Seule information : nouvelle piste créée pour l'équipe Ventes par Romain Andrieu. Aucun suivi, action ou retour prospect identifié à ce jour.</v>
      </c>
      <c r="I133" s="14" cm="1" t="str">
        <f t="array" ref="I133">IF(C133="","",IF(OR(H133="",H133=0,H133=FALSE),"-",H133))</f>
        <v>Aucune activité ni échange significatif enregistré sur cette opportunité. Seule information : nouvelle piste créée pour l'équipe Ventes par Romain Andrieu. Aucun suivi, action ou retour prospect identifié à ce jour.</v>
      </c>
      <c r="J133" s="8">
</c>
      <c r="K133" s="8" t="s">
        <v>162</v>
      </c>
      <c r="L133" s="9" cm="1" t="str">
        <f t="array" ref="L133">IF(C133="","",IF(K133="Mort / Plus rien à faire","KO","OK"))</f>
        <v>OK</v>
      </c>
      <c r="M133" s="15">
        <v>46091.68209490741</v>
      </c>
      <c r="N133" s="15" cm="1" t="n">
        <f t="array" ref="N133">IF(OR(C133="",M133="",M133=0),"",M133)</f>
        <v>46091.68209490741</v>
      </c>
      <c r="O133" s="15">
</c>
      <c r="P133" s="15" cm="1" t="str">
        <f t="array" ref="P133">IF(C133="","",IF(OR(O133="",O133=0),"-",O133))</f>
        <v>-</v>
      </c>
      <c r="Q133" s="16">
        <v>0</v>
      </c>
      <c r="R133" s="16" cm="1" t="str">
        <f t="array" ref="R133">IF(C133="","",ROUND(Q133/1000000,3)&amp;" M€")</f>
        <v>0 M€</v>
      </c>
      <c r="S133" s="12" t="s">
        <v>464</v>
      </c>
      <c r="T133" s="9" cm="1" t="str">
        <f t="array" ref="T133">IF(C133="","",SUBSTITUTE(S133,"","")&amp;"%")</f>
        <v>0%</v>
      </c>
      <c r="U133" s="14" cm="1" t="str">
        <f t="array" ref="U133">IF(($N133="")*($P133=""),"",IF(($N133&lt;&gt;"")*($N133&gt;TODAY()-9)*($N133&lt;TODAY()+1)*($P133&lt;&gt;"")*($P133&gt;=TODAY())*($P133&lt;=TODAY()+13),"Semaine passée &amp; à venir",IF(($N133&lt;&gt;"")*($N133&gt;TODAY()-9)*($N133&lt;TODAY()+1),"Semaine passée",IF(($P133&lt;&gt;"")*($P133&gt;=TODAY())*($P133&lt;=TODAY()+13),"À venir","Autre"))))</f>
        <v>Autre</v>
      </c>
      <c r="V133" s="8" cm="1" t="n">
        <f t="array" ref="V133">IF(C133&lt;&gt;"",1,0)</f>
        <v>1</v>
      </c>
      <c r="W133" s="8">
</c>
      <c r="X133" s="8">
</c>
      <c r="Y133" s="8">
</c>
      <c r="Z133" s="8">
</c>
      <c r="AA133" s="8">
</c>
      <c r="AB133" s="8">
</c>
      <c r="AC133" s="8">
</c>
      <c r="AD133" s="8">
</c>
      <c r="AE133" s="8">
</c>
      <c r="AF133" s="8">
</c>
      <c r="AG133" s="8">
</c>
      <c r="AH133" s="8">
</c>
      <c r="AI133" s="8">
</c>
      <c r="AJ133" s="8">
</c>
      <c r="AK133" s="8">
</c>
    </row>
    <row r="134" ht="76.5" customHeight="1">
      <c r="A134" s="9" t="s">
        <v>23</v>
      </c>
      <c r="B134" s="9" t="s">
        <v>86</v>
      </c>
      <c r="C134" s="12" t="s">
        <v>480</v>
      </c>
      <c r="D134" s="12" t="s">
        <v>481</v>
      </c>
      <c r="E134" s="9" t="s">
        <v>27</v>
      </c>
      <c r="F134" s="8" t="s">
        <v>482</v>
      </c>
      <c r="G134" s="13" cm="1" t="str">
        <f t="array" ref="G134">IF(F134="","",SUBSTITUTE(SUBSTITUTE(SUBSTITUTE(SUBSTITUTE(F134,"&lt;li&gt;",CHAR(10)),"&lt;/li&gt;",""),"&lt;br&gt;",CHAR(10)),"&lt;strong&gt;",""))</f>
        <v>&lt;p&gt;Relance effectuée le 14 avril, contact en cours. Dernier échange physique noté, suivi par une relance récente. Pas de retour prospect mentionné sur les fonds présentés. Prochaine étape : attendre retour suite à la relance. Pas d'autres actions ou conclusions prospect recensées à ce jour.&lt;/p&gt;</v>
      </c>
      <c r="H134" s="13" cm="1" t="str">
        <f t="array" ref="H134">IF(G134="","",SUBSTITUTE(SUBSTITUTE(SUBSTITUTE(SUBSTITUTE(SUBSTITUTE(G134,"&lt;p&gt;",""),"&lt;/p&gt;",""),"&lt;ul&gt;",""),"&lt;/ul&gt;",""),"&lt;/strong&gt;",""))</f>
        <v>Relance effectuée le 14 avril, contact en cours. Dernier échange physique noté, suivi par une relance récente. Pas de retour prospect mentionné sur les fonds présentés. Prochaine étape : attendre retour suite à la relance. Pas d'autres actions ou conclusions prospect recensées à ce jour.</v>
      </c>
      <c r="I134" s="14" cm="1" t="str">
        <f t="array" ref="I134">IF(C134="","",IF(OR(H134="",H134=0,H134=FALSE),"-",H134))</f>
        <v>Relance effectuée le 14 avril, contact en cours. Dernier échange physique noté, suivi par une relance récente. Pas de retour prospect mentionné sur les fonds présentés. Prochaine étape : attendre retour suite à la relance. Pas d'autres actions ou conclusions prospect recensées à ce jour.</v>
      </c>
      <c r="J134" s="8" t="s">
        <v>483</v>
      </c>
      <c r="K134" s="8" t="s">
        <v>162</v>
      </c>
      <c r="L134" s="9" cm="1" t="str">
        <f t="array" ref="L134">IF(C134="","",IF(K134="Mort / Plus rien à faire","KO","OK"))</f>
        <v>OK</v>
      </c>
      <c r="M134" s="15">
        <v>46135.80715277778</v>
      </c>
      <c r="N134" s="15" cm="1" t="n">
        <f t="array" ref="N134">IF(OR(C134="",M134="",M134=0),"",M134)</f>
        <v>46135.80715277778</v>
      </c>
      <c r="O134" s="15">
        <v>46149.083333333336</v>
      </c>
      <c r="P134" s="15" cm="1" t="n">
        <f t="array" ref="P134">IF(C134="","",IF(OR(O134="",O134=0),"-",O134))</f>
        <v>46149.083333333336</v>
      </c>
      <c r="Q134" s="16">
        <v>0</v>
      </c>
      <c r="R134" s="16" cm="1" t="str">
        <f t="array" ref="R134">IF(C134="","",ROUND(Q134/1000000,3)&amp;" M€")</f>
        <v>0 M€</v>
      </c>
      <c r="S134" s="12" t="s">
        <v>464</v>
      </c>
      <c r="T134" s="9" cm="1" t="str">
        <f t="array" ref="T134">IF(C134="","",SUBSTITUTE(S134,"","")&amp;"%")</f>
        <v>0%</v>
      </c>
      <c r="U134" s="14" cm="1" t="str">
        <f t="array" ref="U134">IF(($N134="")*($P134=""),"",IF(($N134&lt;&gt;"")*($N134&gt;TODAY()-9)*($N134&lt;TODAY()+1)*($P134&lt;&gt;"")*($P134&gt;=TODAY())*($P134&lt;=TODAY()+13),"Semaine passée &amp; à venir",IF(($N134&lt;&gt;"")*($N134&gt;TODAY()-9)*($N134&lt;TODAY()+1),"Semaine passée",IF(($P134&lt;&gt;"")*($P134&gt;=TODAY())*($P134&lt;=TODAY()+13),"À venir","Autre"))))</f>
        <v>À venir</v>
      </c>
      <c r="V134" s="8" cm="1" t="n">
        <f t="array" ref="V134">IF(C134&lt;&gt;"",1,0)</f>
        <v>1</v>
      </c>
      <c r="W134" s="8">
</c>
      <c r="X134" s="8">
</c>
      <c r="Y134" s="8">
</c>
      <c r="Z134" s="8">
</c>
      <c r="AA134" s="8">
</c>
      <c r="AB134" s="8">
</c>
      <c r="AC134" s="8">
</c>
      <c r="AD134" s="8">
</c>
      <c r="AE134" s="8">
</c>
      <c r="AF134" s="8">
</c>
      <c r="AG134" s="8">
</c>
      <c r="AH134" s="8">
</c>
      <c r="AI134" s="8">
</c>
      <c r="AJ134" s="8">
</c>
      <c r="AK134" s="8">
</c>
    </row>
    <row r="135" ht="76.5" customHeight="1">
      <c r="A135" s="9" t="s">
        <v>23</v>
      </c>
      <c r="B135" s="9" t="s">
        <v>32</v>
      </c>
      <c r="C135" s="12" t="s">
        <v>484</v>
      </c>
      <c r="D135" s="12" t="s">
        <v>485</v>
      </c>
      <c r="E135" s="9" t="s">
        <v>27</v>
      </c>
      <c r="F135" s="8" t="s">
        <v>486</v>
      </c>
      <c r="G135" s="13" cm="1" t="str">
        <f t="array" ref="G135">IF(F135="","",SUBSTITUTE(SUBSTITUTE(SUBSTITUTE(SUBSTITUTE(F135,"&lt;li&gt;",CHAR(10)),"&lt;/li&gt;",""),"&lt;br&gt;",CHAR(10)),"&lt;strong&gt;",""))</f>
        <v>&lt;p&gt;Multiples échanges ARKEA/AUDACIA, focus fonds de fonds, STRATON/SLP EXPANSION poussés. Rdv avec Sophie Coulon-Renouvel, Olivia Inizan impliquée, mandat Pierre-Emmanuel Boulic. ARKEA hérite du sujet fonds de fonds 2026. Prochaine étape : organiser un rdv, deadline 14/01/2026.&lt;/p&gt;</v>
      </c>
      <c r="H135" s="13" cm="1" t="str">
        <f t="array" ref="H135">IF(G135="","",SUBSTITUTE(SUBSTITUTE(SUBSTITUTE(SUBSTITUTE(SUBSTITUTE(G135,"&lt;p&gt;",""),"&lt;/p&gt;",""),"&lt;ul&gt;",""),"&lt;/ul&gt;",""),"&lt;/strong&gt;",""))</f>
        <v>Multiples échanges ARKEA/AUDACIA, focus fonds de fonds, STRATON/SLP EXPANSION poussés. Rdv avec Sophie Coulon-Renouvel, Olivia Inizan impliquée, mandat Pierre-Emmanuel Boulic. ARKEA hérite du sujet fonds de fonds 2026. Prochaine étape : organiser un rdv, deadline 14/01/2026.</v>
      </c>
      <c r="I135" s="14" cm="1" t="str">
        <f t="array" ref="I135">IF(C135="","",IF(OR(H135="",H135=0,H135=FALSE),"-",H135))</f>
        <v>Multiples échanges ARKEA/AUDACIA, focus fonds de fonds, STRATON/SLP EXPANSION poussés. Rdv avec Sophie Coulon-Renouvel, Olivia Inizan impliquée, mandat Pierre-Emmanuel Boulic. ARKEA hérite du sujet fonds de fonds 2026. Prochaine étape : organiser un rdv, deadline 14/01/2026.</v>
      </c>
      <c r="J135" s="8">
</c>
      <c r="K135" s="8" t="s">
        <v>463</v>
      </c>
      <c r="L135" s="9" cm="1" t="str">
        <f t="array" ref="L135">IF(C135="","",IF(K135="Mort / Plus rien à faire","KO","OK"))</f>
        <v>KO</v>
      </c>
      <c r="M135" s="15">
        <v>46094.45171296296</v>
      </c>
      <c r="N135" s="15" cm="1" t="n">
        <f t="array" ref="N135">IF(OR(C135="",M135="",M135=0),"",M135)</f>
        <v>46094.45171296296</v>
      </c>
      <c r="O135" s="15">
</c>
      <c r="P135" s="15" cm="1" t="str">
        <f t="array" ref="P135">IF(C135="","",IF(OR(O135="",O135=0),"-",O135))</f>
        <v>-</v>
      </c>
      <c r="Q135" s="16">
        <v>0</v>
      </c>
      <c r="R135" s="16" cm="1" t="str">
        <f t="array" ref="R135">IF(C135="","",ROUND(Q135/1000000,3)&amp;" M€")</f>
        <v>0 M€</v>
      </c>
      <c r="S135" s="12" t="s">
        <v>464</v>
      </c>
      <c r="T135" s="9" cm="1" t="str">
        <f t="array" ref="T135">IF(C135="","",SUBSTITUTE(S135,"","")&amp;"%")</f>
        <v>0%</v>
      </c>
      <c r="U135" s="14" cm="1" t="str">
        <f t="array" ref="U135">IF(($N135="")*($P135=""),"",IF(($N135&lt;&gt;"")*($N135&gt;TODAY()-9)*($N135&lt;TODAY()+1)*($P135&lt;&gt;"")*($P135&gt;=TODAY())*($P135&lt;=TODAY()+13),"Semaine passée &amp; à venir",IF(($N135&lt;&gt;"")*($N135&gt;TODAY()-9)*($N135&lt;TODAY()+1),"Semaine passée",IF(($P135&lt;&gt;"")*($P135&gt;=TODAY())*($P135&lt;=TODAY()+13),"À venir","Autre"))))</f>
        <v>Autre</v>
      </c>
      <c r="V135" s="8" cm="1" t="n">
        <f t="array" ref="V135">IF(C135&lt;&gt;"",1,0)</f>
        <v>1</v>
      </c>
      <c r="W135" s="8">
</c>
      <c r="X135" s="8">
</c>
      <c r="Y135" s="8">
</c>
      <c r="Z135" s="8">
</c>
      <c r="AA135" s="8">
</c>
      <c r="AB135" s="8">
</c>
      <c r="AC135" s="8">
</c>
      <c r="AD135" s="8">
</c>
      <c r="AE135" s="8">
</c>
      <c r="AF135" s="8">
</c>
      <c r="AG135" s="8">
</c>
      <c r="AH135" s="8">
</c>
      <c r="AI135" s="8">
</c>
      <c r="AJ135" s="8">
</c>
      <c r="AK135" s="8">
</c>
    </row>
    <row r="136" ht="76.5" customHeight="1">
      <c r="A136" s="9" t="s">
        <v>23</v>
      </c>
      <c r="B136" s="9" t="s">
        <v>32</v>
      </c>
      <c r="C136" s="12" t="s">
        <v>487</v>
      </c>
      <c r="D136" s="12" t="s">
        <v>488</v>
      </c>
      <c r="E136" s="9" t="s">
        <v>27</v>
      </c>
      <c r="F136" s="8" t="s">
        <v>489</v>
      </c>
      <c r="G136" s="13" cm="1" t="str">
        <f t="array" ref="G136">IF(F136="","",SUBSTITUTE(SUBSTITUTE(SUBSTITUTE(SUBSTITUTE(F136,"&lt;li&gt;",CHAR(10)),"&lt;/li&gt;",""),"&lt;br&gt;",CHAR(10)),"&lt;strong&gt;",""))</f>
        <v>&lt;p&gt;RDV physique 19/02/2026 avec Trisan Touzilier, point méthodo, suivi à faire sur chantier Luxembourgeois. Dernière activité : pas de nouvelle action, discussion sur taille du fond, % d'emprise fonds/clients. Pas de feedback prospect sur fonds. Prochaine étape non précisée.&lt;/p&gt;</v>
      </c>
      <c r="H136" s="13" cm="1" t="str">
        <f t="array" ref="H136">IF(G136="","",SUBSTITUTE(SUBSTITUTE(SUBSTITUTE(SUBSTITUTE(SUBSTITUTE(G136,"&lt;p&gt;",""),"&lt;/p&gt;",""),"&lt;ul&gt;",""),"&lt;/ul&gt;",""),"&lt;/strong&gt;",""))</f>
        <v>RDV physique 19/02/2026 avec Trisan Touzilier, point méthodo, suivi à faire sur chantier Luxembourgeois. Dernière activité : pas de nouvelle action, discussion sur taille du fond, % d'emprise fonds/clients. Pas de feedback prospect sur fonds. Prochaine étape non précisée.</v>
      </c>
      <c r="I136" s="14" cm="1" t="str">
        <f t="array" ref="I136">IF(C136="","",IF(OR(H136="",H136=0,H136=FALSE),"-",H136))</f>
        <v>RDV physique 19/02/2026 avec Trisan Touzilier, point méthodo, suivi à faire sur chantier Luxembourgeois. Dernière activité : pas de nouvelle action, discussion sur taille du fond, % d'emprise fonds/clients. Pas de feedback prospect sur fonds. Prochaine étape non précisée.</v>
      </c>
      <c r="J136" s="8">
</c>
      <c r="K136" s="8" t="s">
        <v>463</v>
      </c>
      <c r="L136" s="9" cm="1" t="str">
        <f t="array" ref="L136">IF(C136="","",IF(K136="Mort / Plus rien à faire","KO","OK"))</f>
        <v>KO</v>
      </c>
      <c r="M136" s="15">
        <v>46090.66746527778</v>
      </c>
      <c r="N136" s="15" cm="1" t="n">
        <f t="array" ref="N136">IF(OR(C136="",M136="",M136=0),"",M136)</f>
        <v>46090.66746527778</v>
      </c>
      <c r="O136" s="15">
</c>
      <c r="P136" s="15" cm="1" t="str">
        <f t="array" ref="P136">IF(C136="","",IF(OR(O136="",O136=0),"-",O136))</f>
        <v>-</v>
      </c>
      <c r="Q136" s="16">
        <v>0</v>
      </c>
      <c r="R136" s="16" cm="1" t="str">
        <f t="array" ref="R136">IF(C136="","",ROUND(Q136/1000000,3)&amp;" M€")</f>
        <v>0 M€</v>
      </c>
      <c r="S136" s="12" t="s">
        <v>464</v>
      </c>
      <c r="T136" s="9" cm="1" t="str">
        <f t="array" ref="T136">IF(C136="","",SUBSTITUTE(S136,"","")&amp;"%")</f>
        <v>0%</v>
      </c>
      <c r="U136" s="14" cm="1" t="str">
        <f t="array" ref="U136">IF(($N136="")*($P136=""),"",IF(($N136&lt;&gt;"")*($N136&gt;TODAY()-9)*($N136&lt;TODAY()+1)*($P136&lt;&gt;"")*($P136&gt;=TODAY())*($P136&lt;=TODAY()+13),"Semaine passée &amp; à venir",IF(($N136&lt;&gt;"")*($N136&gt;TODAY()-9)*($N136&lt;TODAY()+1),"Semaine passée",IF(($P136&lt;&gt;"")*($P136&gt;=TODAY())*($P136&lt;=TODAY()+13),"À venir","Autre"))))</f>
        <v>Autre</v>
      </c>
      <c r="V136" s="8" cm="1" t="n">
        <f t="array" ref="V136">IF(C136&lt;&gt;"",1,0)</f>
        <v>1</v>
      </c>
      <c r="W136" s="8">
</c>
      <c r="X136" s="8">
</c>
      <c r="Y136" s="8">
</c>
      <c r="Z136" s="8">
</c>
      <c r="AA136" s="8">
</c>
      <c r="AB136" s="8">
</c>
      <c r="AC136" s="8">
</c>
      <c r="AD136" s="8">
</c>
      <c r="AE136" s="8">
</c>
      <c r="AF136" s="8">
</c>
      <c r="AG136" s="8">
</c>
      <c r="AH136" s="8">
</c>
      <c r="AI136" s="8">
</c>
      <c r="AJ136" s="8">
</c>
      <c r="AK136" s="8">
</c>
    </row>
    <row r="137" ht="76.5" customHeight="1">
      <c r="A137" s="9" t="s">
        <v>23</v>
      </c>
      <c r="B137" s="9" t="s">
        <v>113</v>
      </c>
      <c r="C137" s="12" t="s">
        <v>490</v>
      </c>
      <c r="D137" s="12" t="s">
        <v>491</v>
      </c>
      <c r="E137" s="9" t="s">
        <v>27</v>
      </c>
      <c r="F137" s="8" t="s">
        <v>492</v>
      </c>
      <c r="G137" s="13" cm="1" t="str">
        <f t="array" ref="G137">IF(F137="","",SUBSTITUTE(SUBSTITUTE(SUBSTITUTE(SUBSTITUTE(F137,"&lt;li&gt;",CHAR(10)),"&lt;/li&gt;",""),"&lt;br&gt;",CHAR(10)),"&lt;strong&gt;",""))</f>
        <v>&lt;p&gt;16/02/2026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piste.&lt;/p&gt;</v>
      </c>
      <c r="H137" s="13" cm="1" t="str">
        <f t="array" ref="H137">IF(G137="","",SUBSTITUTE(SUBSTITUTE(SUBSTITUTE(SUBSTITUTE(SUBSTITUTE(G137,"&lt;p&gt;",""),"&lt;/p&gt;",""),"&lt;ul&gt;",""),"&lt;/ul&gt;",""),"&lt;/strong&gt;",""))</f>
        <v>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v>
      </c>
      <c r="I137" s="14" cm="1" t="str">
        <f t="array" ref="I137">IF(C137="","",IF(OR(H137="",H137=0,H137=FALSE),"-",H137))</f>
        <v>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v>
      </c>
      <c r="J137" s="8" t="s">
        <v>493</v>
      </c>
      <c r="K137" s="8" t="s">
        <v>463</v>
      </c>
      <c r="L137" s="9" cm="1" t="str">
        <f t="array" ref="L137">IF(C137="","",IF(K137="Mort / Plus rien à faire","KO","OK"))</f>
        <v>KO</v>
      </c>
      <c r="M137" s="15">
        <v>46085.627384259256</v>
      </c>
      <c r="N137" s="15" cm="1" t="n">
        <f t="array" ref="N137">IF(OR(C137="",M137="",M137=0),"",M137)</f>
        <v>46085.627384259256</v>
      </c>
      <c r="O137" s="15">
        <v>46391.041666666664</v>
      </c>
      <c r="P137" s="15" cm="1" t="n">
        <f t="array" ref="P137">IF(C137="","",IF(OR(O137="",O137=0),"-",O137))</f>
        <v>46391.041666666664</v>
      </c>
      <c r="Q137" s="16">
        <v>0</v>
      </c>
      <c r="R137" s="16" cm="1" t="str">
        <f t="array" ref="R137">IF(C137="","",ROUND(Q137/1000000,3)&amp;" M€")</f>
        <v>0 M€</v>
      </c>
      <c r="S137" s="12" t="s">
        <v>464</v>
      </c>
      <c r="T137" s="9" cm="1" t="str">
        <f t="array" ref="T137">IF(C137="","",SUBSTITUTE(S137,"","")&amp;"%")</f>
        <v>0%</v>
      </c>
      <c r="U137" s="14" cm="1" t="str">
        <f t="array" ref="U137">IF(($N137="")*($P137=""),"",IF(($N137&lt;&gt;"")*($N137&gt;TODAY()-9)*($N137&lt;TODAY()+1)*($P137&lt;&gt;"")*($P137&gt;=TODAY())*($P137&lt;=TODAY()+13),"Semaine passée &amp; à venir",IF(($N137&lt;&gt;"")*($N137&gt;TODAY()-9)*($N137&lt;TODAY()+1),"Semaine passée",IF(($P137&lt;&gt;"")*($P137&gt;=TODAY())*($P137&lt;=TODAY()+13),"À venir","Autre"))))</f>
        <v>Autre</v>
      </c>
      <c r="V137" s="8" cm="1" t="n">
        <f t="array" ref="V137">IF(C137&lt;&gt;"",1,0)</f>
        <v>1</v>
      </c>
      <c r="W137" s="8">
</c>
      <c r="X137" s="8">
</c>
      <c r="Y137" s="8">
</c>
      <c r="Z137" s="8">
</c>
      <c r="AA137" s="8">
</c>
      <c r="AB137" s="8">
</c>
      <c r="AC137" s="8">
</c>
      <c r="AD137" s="8">
</c>
      <c r="AE137" s="8">
</c>
      <c r="AF137" s="8">
</c>
      <c r="AG137" s="8">
</c>
      <c r="AH137" s="8">
</c>
      <c r="AI137" s="8">
</c>
      <c r="AJ137" s="8">
</c>
      <c r="AK137" s="8">
</c>
    </row>
    <row r="138" ht="76.5" customHeight="1">
      <c r="A138" s="9" t="s">
        <v>23</v>
      </c>
      <c r="B138" s="9" t="s">
        <v>113</v>
      </c>
      <c r="C138" s="12" t="s">
        <v>494</v>
      </c>
      <c r="D138" s="12" t="s">
        <v>495</v>
      </c>
      <c r="E138" s="9" t="s">
        <v>27</v>
      </c>
      <c r="F138" s="8" t="s">
        <v>496</v>
      </c>
      <c r="G138" s="13" cm="1" t="str">
        <f t="array" ref="G138">IF(F138="","",SUBSTITUTE(SUBSTITUTE(SUBSTITUTE(SUBSTITUTE(F138,"&lt;li&gt;",CHAR(10)),"&lt;/li&gt;",""),"&lt;br&gt;",CHAR(10)),"&lt;strong&gt;",""))</f>
        <v>&lt;p&gt;Ouverture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venir.&lt;/p&gt;</v>
      </c>
      <c r="H138" s="13" cm="1" t="str">
        <f t="array" ref="H138">IF(G138="","",SUBSTITUTE(SUBSTITUTE(SUBSTITUTE(SUBSTITUTE(SUBSTITUTE(G138,"&lt;p&gt;",""),"&lt;/p&gt;",""),"&lt;ul&gt;",""),"&lt;/ul&gt;",""),"&lt;/strong&gt;",""))</f>
        <v>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v>
      </c>
      <c r="I138" s="14" cm="1" t="str">
        <f t="array" ref="I138">IF(C138="","",IF(OR(H138="",H138=0,H138=FALSE),"-",H138))</f>
        <v>Ouverture Data Room 10/02/26. Présentation fonds Défense Straton, due diligence menée. Commission placements AGRICA (12/03/25) avis défavorable : fonds trop orienté défense, taille jugée insuffisante. AGRICA confirme fin mars : dossier fermé, priorité agroalimentaire. Pas d'étape à venir.</v>
      </c>
      <c r="J138" s="8">
</c>
      <c r="K138" s="8" t="s">
        <v>463</v>
      </c>
      <c r="L138" s="9" cm="1" t="str">
        <f t="array" ref="L138">IF(C138="","",IF(K138="Mort / Plus rien à faire","KO","OK"))</f>
        <v>KO</v>
      </c>
      <c r="M138" s="15">
        <v>46114.57148148148</v>
      </c>
      <c r="N138" s="15" cm="1" t="n">
        <f t="array" ref="N138">IF(OR(C138="",M138="",M138=0),"",M138)</f>
        <v>46114.57148148148</v>
      </c>
      <c r="O138" s="15">
</c>
      <c r="P138" s="15" cm="1" t="str">
        <f t="array" ref="P138">IF(C138="","",IF(OR(O138="",O138=0),"-",O138))</f>
        <v>-</v>
      </c>
      <c r="Q138" s="16">
        <v>10000000</v>
      </c>
      <c r="R138" s="16" cm="1" t="str">
        <f t="array" ref="R138">IF(C138="","",ROUND(Q138/1000000,3)&amp;" M€")</f>
        <v>10 M€</v>
      </c>
      <c r="S138" s="12" t="s">
        <v>464</v>
      </c>
      <c r="T138" s="9" cm="1" t="str">
        <f t="array" ref="T138">IF(C138="","",SUBSTITUTE(S138,"","")&amp;"%")</f>
        <v>0%</v>
      </c>
      <c r="U138" s="14" cm="1" t="str">
        <f t="array" ref="U138">IF(($N138="")*($P138=""),"",IF(($N138&lt;&gt;"")*($N138&gt;TODAY()-9)*($N138&lt;TODAY()+1)*($P138&lt;&gt;"")*($P138&gt;=TODAY())*($P138&lt;=TODAY()+13),"Semaine passée &amp; à venir",IF(($N138&lt;&gt;"")*($N138&gt;TODAY()-9)*($N138&lt;TODAY()+1),"Semaine passée",IF(($P138&lt;&gt;"")*($P138&gt;=TODAY())*($P138&lt;=TODAY()+13),"À venir","Autre"))))</f>
        <v>Autre</v>
      </c>
      <c r="V138" s="8" cm="1" t="n">
        <f t="array" ref="V138">IF(C138&lt;&gt;"",1,0)</f>
        <v>1</v>
      </c>
      <c r="W138" s="8">
</c>
      <c r="X138" s="8">
</c>
      <c r="Y138" s="8">
</c>
      <c r="Z138" s="8">
</c>
      <c r="AA138" s="8">
</c>
      <c r="AB138" s="8">
</c>
      <c r="AC138" s="8">
</c>
      <c r="AD138" s="8">
</c>
      <c r="AE138" s="8">
</c>
      <c r="AF138" s="8">
</c>
      <c r="AG138" s="8">
</c>
      <c r="AH138" s="8">
</c>
      <c r="AI138" s="8">
</c>
      <c r="AJ138" s="8">
</c>
      <c r="AK138" s="8">
</c>
    </row>
    <row r="139" ht="76.5" customHeight="1">
      <c r="A139" s="9" t="s">
        <v>23</v>
      </c>
      <c r="B139" s="9" t="s">
        <v>113</v>
      </c>
      <c r="C139" s="12" t="s">
        <v>497</v>
      </c>
      <c r="D139" s="12" t="s">
        <v>498</v>
      </c>
      <c r="E139" s="9" t="s">
        <v>217</v>
      </c>
      <c r="F139" s="8" t="s">
        <v>499</v>
      </c>
      <c r="G139" s="13" cm="1" t="str">
        <f t="array" ref="G139">IF(F139="","",SUBSTITUTE(SUBSTITUTE(SUBSTITUTE(SUBSTITUTE(F139,"&lt;li&gt;",CHAR(10)),"&lt;/li&gt;",""),"&lt;br&gt;",CHAR(10)),"&lt;strong&gt;",""))</f>
        <v>&lt;p&gt;Prospect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notables.&lt;/p&gt;</v>
      </c>
      <c r="H139" s="13" cm="1" t="str">
        <f t="array" ref="H139">IF(G139="","",SUBSTITUTE(SUBSTITUTE(SUBSTITUTE(SUBSTITUTE(SUBSTITUTE(G139,"&lt;p&gt;",""),"&lt;/p&gt;",""),"&lt;ul&gt;",""),"&lt;/ul&gt;",""),"&lt;/strong&gt;",""))</f>
        <v>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v>
      </c>
      <c r="I139" s="14" cm="1" t="str">
        <f t="array" ref="I139">IF(C139="","",IF(OR(H139="",H139=0,H139=FALSE),"-",H139))</f>
        <v>Prospect BPIFrance, aucune activité significative menée à ce jour. Prochaine action prévue : appel light à Edoardo pour sonder sur Straton (échéance 31/01/2026). Aucun retour prospect ni conclusion sur fonds présentés. Nouvelle piste créée pour équipe Ventes. Pas d'autres interactions notables.</v>
      </c>
      <c r="J139" s="8" t="s">
        <v>500</v>
      </c>
      <c r="K139" s="8" t="s">
        <v>162</v>
      </c>
      <c r="L139" s="9" cm="1" t="str">
        <f t="array" ref="L139">IF(C139="","",IF(K139="Mort / Plus rien à faire","KO","OK"))</f>
        <v>OK</v>
      </c>
      <c r="M139" s="15">
        <v>46071.49596064815</v>
      </c>
      <c r="N139" s="15" cm="1" t="n">
        <f t="array" ref="N139">IF(OR(C139="",M139="",M139=0),"",M139)</f>
        <v>46071.49596064815</v>
      </c>
      <c r="O139" s="15">
</c>
      <c r="P139" s="15" cm="1" t="str">
        <f t="array" ref="P139">IF(C139="","",IF(OR(O139="",O139=0),"-",O139))</f>
        <v>-</v>
      </c>
      <c r="Q139" s="16">
        <v>0</v>
      </c>
      <c r="R139" s="16" cm="1" t="str">
        <f t="array" ref="R139">IF(C139="","",ROUND(Q139/1000000,3)&amp;" M€")</f>
        <v>0 M€</v>
      </c>
      <c r="S139" s="12" t="s">
        <v>464</v>
      </c>
      <c r="T139" s="9" cm="1" t="str">
        <f t="array" ref="T139">IF(C139="","",SUBSTITUTE(S139,"","")&amp;"%")</f>
        <v>0%</v>
      </c>
      <c r="U139" s="14" cm="1" t="str">
        <f t="array" ref="U139">IF(($N139="")*($P139=""),"",IF(($N139&lt;&gt;"")*($N139&gt;TODAY()-9)*($N139&lt;TODAY()+1)*($P139&lt;&gt;"")*($P139&gt;=TODAY())*($P139&lt;=TODAY()+13),"Semaine passée &amp; à venir",IF(($N139&lt;&gt;"")*($N139&gt;TODAY()-9)*($N139&lt;TODAY()+1),"Semaine passée",IF(($P139&lt;&gt;"")*($P139&gt;=TODAY())*($P139&lt;=TODAY()+13),"À venir","Autre"))))</f>
        <v>Autre</v>
      </c>
      <c r="V139" s="8" cm="1" t="n">
        <f t="array" ref="V139">IF(C139&lt;&gt;"",1,0)</f>
        <v>1</v>
      </c>
      <c r="W139" s="8">
</c>
      <c r="X139" s="8">
</c>
      <c r="Y139" s="8">
</c>
      <c r="Z139" s="8">
</c>
      <c r="AA139" s="8">
</c>
      <c r="AB139" s="8">
</c>
      <c r="AC139" s="8">
</c>
      <c r="AD139" s="8">
</c>
      <c r="AE139" s="8">
</c>
      <c r="AF139" s="8">
</c>
      <c r="AG139" s="8">
</c>
      <c r="AH139" s="8">
</c>
      <c r="AI139" s="8">
</c>
      <c r="AJ139" s="8">
</c>
      <c r="AK139" s="8">
</c>
    </row>
    <row r="140" ht="76.5" customHeight="1">
      <c r="A140" s="9" t="s">
        <v>23</v>
      </c>
      <c r="B140" s="9" t="s">
        <v>53</v>
      </c>
      <c r="C140" s="12" t="s">
        <v>501</v>
      </c>
      <c r="D140" s="12" t="s">
        <v>501</v>
      </c>
      <c r="E140" s="9" t="s">
        <v>55</v>
      </c>
      <c r="F140" s="8" t="s">
        <v>502</v>
      </c>
      <c r="G140" s="13" cm="1" t="str">
        <f t="array" ref="G140">IF(F140="","",SUBSTITUTE(SUBSTITUTE(SUBSTITUTE(SUBSTITUTE(F140,"&lt;li&gt;",CHAR(10)),"&lt;/li&gt;",""),"&lt;br&gt;",CHAR(10)),"&lt;strong&gt;",""))</f>
        <v>&lt;p&gt;Piste créée pour équipe Ventes le 16/03/2026. Tentative d'enrichissement sans données société, aucun crédit consommé. Mention "Lead de CB" le 23/03/2026. Aucun échange, action commerciale ou retour prospect enregistré depuis la création. Pas d'étape suivante identifiée.&lt;/p&gt;</v>
      </c>
      <c r="H140" s="13" cm="1" t="str">
        <f t="array" ref="H140">IF(G140="","",SUBSTITUTE(SUBSTITUTE(SUBSTITUTE(SUBSTITUTE(SUBSTITUTE(G140,"&lt;p&gt;",""),"&lt;/p&gt;",""),"&lt;ul&gt;",""),"&lt;/ul&gt;",""),"&lt;/strong&gt;",""))</f>
        <v>Piste créée pour équipe Ventes le 16/03/2026. Tentative d'enrichissement sans données société, aucun crédit consommé. Mention "Lead de CB" le 23/03/2026. Aucun échange, action commerciale ou retour prospect enregistré depuis la création. Pas d'étape suivante identifiée.</v>
      </c>
      <c r="I140" s="14" cm="1" t="str">
        <f t="array" ref="I140">IF(C140="","",IF(OR(H140="",H140=0,H140=FALSE),"-",H140))</f>
        <v>Piste créée pour équipe Ventes le 16/03/2026. Tentative d'enrichissement sans données société, aucun crédit consommé. Mention "Lead de CB" le 23/03/2026. Aucun échange, action commerciale ou retour prospect enregistré depuis la création. Pas d'étape suivante identifiée.</v>
      </c>
      <c r="J140" s="8">
</c>
      <c r="K140" s="8" t="s">
        <v>463</v>
      </c>
      <c r="L140" s="9" cm="1" t="str">
        <f t="array" ref="L140">IF(C140="","",IF(K140="Mort / Plus rien à faire","KO","OK"))</f>
        <v>KO</v>
      </c>
      <c r="M140" s="15">
        <v>46146.40283564815</v>
      </c>
      <c r="N140" s="15" cm="1" t="n">
        <f t="array" ref="N140">IF(OR(C140="",M140="",M140=0),"",M140)</f>
        <v>46146.40283564815</v>
      </c>
      <c r="O140" s="15">
</c>
      <c r="P140" s="15" cm="1" t="str">
        <f t="array" ref="P140">IF(C140="","",IF(OR(O140="",O140=0),"-",O140))</f>
        <v>-</v>
      </c>
      <c r="Q140" s="16">
        <v>0</v>
      </c>
      <c r="R140" s="16" cm="1" t="str">
        <f t="array" ref="R140">IF(C140="","",ROUND(Q140/1000000,3)&amp;" M€")</f>
        <v>0 M€</v>
      </c>
      <c r="S140" s="12" t="s">
        <v>464</v>
      </c>
      <c r="T140" s="9" cm="1" t="str">
        <f t="array" ref="T140">IF(C140="","",SUBSTITUTE(S140,"","")&amp;"%")</f>
        <v>0%</v>
      </c>
      <c r="U140" s="14" cm="1" t="str">
        <f t="array" ref="U140">IF(($N140="")*($P140=""),"",IF(($N140&lt;&gt;"")*($N140&gt;TODAY()-9)*($N140&lt;TODAY()+1)*($P140&lt;&gt;"")*($P140&gt;=TODAY())*($P140&lt;=TODAY()+13),"Semaine passée &amp; à venir",IF(($N140&lt;&gt;"")*($N140&gt;TODAY()-9)*($N140&lt;TODAY()+1),"Semaine passée",IF(($P140&lt;&gt;"")*($P140&gt;=TODAY())*($P140&lt;=TODAY()+13),"À venir","Autre"))))</f>
        <v>Semaine passée</v>
      </c>
      <c r="V140" s="8" cm="1" t="n">
        <f t="array" ref="V140">IF(C140&lt;&gt;"",1,0)</f>
        <v>1</v>
      </c>
      <c r="W140" s="8">
</c>
      <c r="X140" s="8">
</c>
      <c r="Y140" s="8">
</c>
      <c r="Z140" s="8">
</c>
      <c r="AA140" s="8">
</c>
      <c r="AB140" s="8">
</c>
      <c r="AC140" s="8">
</c>
      <c r="AD140" s="8">
</c>
      <c r="AE140" s="8">
</c>
      <c r="AF140" s="8">
</c>
      <c r="AG140" s="8">
</c>
      <c r="AH140" s="8">
</c>
      <c r="AI140" s="8">
</c>
      <c r="AJ140" s="8">
</c>
      <c r="AK140" s="8">
</c>
    </row>
    <row r="141" ht="76.5" customHeight="1">
      <c r="A141" s="9" t="s">
        <v>23</v>
      </c>
      <c r="B141" s="9" t="s">
        <v>86</v>
      </c>
      <c r="C141" s="12" t="s">
        <v>503</v>
      </c>
      <c r="D141" s="12" t="s">
        <v>504</v>
      </c>
      <c r="E141" s="9" t="s">
        <v>27</v>
      </c>
      <c r="F141" s="8" t="s">
        <v>505</v>
      </c>
      <c r="G141" s="13" cm="1" t="str">
        <f t="array" ref="G141">IF(F141="","",SUBSTITUTE(SUBSTITUTE(SUBSTITUTE(SUBSTITUTE(F141,"&lt;li&gt;",CHAR(10)),"&lt;/li&gt;",""),"&lt;br&gt;",CHAR(10)),"&lt;strong&gt;",""))</f>
        <v>&lt;p&gt;Aucune activité menée sur le prospect. ORPHEOPOLIS : acteur majeur protection enfance, gère établissements, accompagne enfants/familles en difficulté, forte implantation nationale, longue histoire. Pas d'interactions, ni retours, ni prochaines étapes identifiées à ce jour.&lt;/p&gt;</v>
      </c>
      <c r="H141" s="13" cm="1" t="str">
        <f t="array" ref="H141">IF(G141="","",SUBSTITUTE(SUBSTITUTE(SUBSTITUTE(SUBSTITUTE(SUBSTITUTE(G141,"&lt;p&gt;",""),"&lt;/p&gt;",""),"&lt;ul&gt;",""),"&lt;/ul&gt;",""),"&lt;/strong&gt;",""))</f>
        <v>Aucune activité menée sur le prospect. ORPHEOPOLIS : acteur majeur protection enfance, gère établissements, accompagne enfants/familles en difficulté, forte implantation nationale, longue histoire. Pas d'interactions, ni retours, ni prochaines étapes identifiées à ce jour.</v>
      </c>
      <c r="I141" s="14" cm="1" t="str">
        <f t="array" ref="I141">IF(C141="","",IF(OR(H141="",H141=0,H141=FALSE),"-",H141))</f>
        <v>Aucune activité menée sur le prospect. ORPHEOPOLIS : acteur majeur protection enfance, gère établissements, accompagne enfants/familles en difficulté, forte implantation nationale, longue histoire. Pas d'interactions, ni retours, ni prochaines étapes identifiées à ce jour.</v>
      </c>
      <c r="J141" s="8">
</c>
      <c r="K141" s="8" t="s">
        <v>162</v>
      </c>
      <c r="L141" s="9" cm="1" t="str">
        <f t="array" ref="L141">IF(C141="","",IF(K141="Mort / Plus rien à faire","KO","OK"))</f>
        <v>OK</v>
      </c>
      <c r="M141" s="15">
        <v>45992.51152777778</v>
      </c>
      <c r="N141" s="15" cm="1" t="n">
        <f t="array" ref="N141">IF(OR(C141="",M141="",M141=0),"",M141)</f>
        <v>45992.51152777778</v>
      </c>
      <c r="O141" s="15">
</c>
      <c r="P141" s="15" cm="1" t="str">
        <f t="array" ref="P141">IF(C141="","",IF(OR(O141="",O141=0),"-",O141))</f>
        <v>-</v>
      </c>
      <c r="Q141" s="16">
        <v>0</v>
      </c>
      <c r="R141" s="16" cm="1" t="str">
        <f t="array" ref="R141">IF(C141="","",ROUND(Q141/1000000,3)&amp;" M€")</f>
        <v>0 M€</v>
      </c>
      <c r="S141" s="12" t="s">
        <v>464</v>
      </c>
      <c r="T141" s="9" cm="1" t="str">
        <f t="array" ref="T141">IF(C141="","",SUBSTITUTE(S141,"","")&amp;"%")</f>
        <v>0%</v>
      </c>
      <c r="U141" s="14" cm="1" t="str">
        <f t="array" ref="U141">IF(($N141="")*($P141=""),"",IF(($N141&lt;&gt;"")*($N141&gt;TODAY()-9)*($N141&lt;TODAY()+1)*($P141&lt;&gt;"")*($P141&gt;=TODAY())*($P141&lt;=TODAY()+13),"Semaine passée &amp; à venir",IF(($N141&lt;&gt;"")*($N141&gt;TODAY()-9)*($N141&lt;TODAY()+1),"Semaine passée",IF(($P141&lt;&gt;"")*($P141&gt;=TODAY())*($P141&lt;=TODAY()+13),"À venir","Autre"))))</f>
        <v>Autre</v>
      </c>
      <c r="V141" s="8" cm="1" t="n">
        <f t="array" ref="V141">IF(C141&lt;&gt;"",1,0)</f>
        <v>1</v>
      </c>
      <c r="W141" s="8">
</c>
      <c r="X141" s="8">
</c>
      <c r="Y141" s="8">
</c>
      <c r="Z141" s="8">
</c>
      <c r="AA141" s="8">
</c>
      <c r="AB141" s="8">
</c>
      <c r="AC141" s="8">
</c>
      <c r="AD141" s="8">
</c>
      <c r="AE141" s="8">
</c>
      <c r="AF141" s="8">
</c>
      <c r="AG141" s="8">
</c>
      <c r="AH141" s="8">
</c>
      <c r="AI141" s="8">
</c>
      <c r="AJ141" s="8">
</c>
      <c r="AK141" s="8">
</c>
    </row>
    <row r="142" ht="76.5" customHeight="1">
      <c r="A142" s="9" t="s">
        <v>23</v>
      </c>
      <c r="B142" s="9" t="s">
        <v>32</v>
      </c>
      <c r="C142" s="12" t="s">
        <v>506</v>
      </c>
      <c r="D142" s="12" t="s">
        <v>507</v>
      </c>
      <c r="E142" s="9" t="s">
        <v>27</v>
      </c>
      <c r="F142" s="8" t="s">
        <v>508</v>
      </c>
      <c r="G142" s="13" cm="1" t="str">
        <f t="array" ref="G142">IF(F142="","",SUBSTITUTE(SUBSTITUTE(SUBSTITUTE(SUBSTITUTE(F142,"&lt;li&gt;",CHAR(10)),"&lt;/li&gt;",""),"&lt;br&gt;",CHAR(10)),"&lt;strong&gt;",""))</f>
        <v>&lt;p&gt;Intro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d'intérêt.&lt;/p&gt;</v>
      </c>
      <c r="H142" s="13" cm="1" t="str">
        <f t="array" ref="H142">IF(G142="","",SUBSTITUTE(SUBSTITUTE(SUBSTITUTE(SUBSTITUTE(SUBSTITUTE(G142,"&lt;p&gt;",""),"&lt;/p&gt;",""),"&lt;ul&gt;",""),"&lt;/ul&gt;",""),"&lt;/strong&gt;",""))</f>
        <v>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v>
      </c>
      <c r="I142" s="14" cm="1" t="str">
        <f t="array" ref="I142">IF(C142="","",IF(OR(H142="",H142=0,H142=FALSE),"-",H142))</f>
        <v>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v>
      </c>
      <c r="J142" s="8" t="s">
        <v>509</v>
      </c>
      <c r="K142" s="8" t="s">
        <v>109</v>
      </c>
      <c r="L142" s="9" cm="1" t="str">
        <f t="array" ref="L142">IF(C142="","",IF(K142="Mort / Plus rien à faire","KO","OK"))</f>
        <v>OK</v>
      </c>
      <c r="M142" s="15">
        <v>46114.71256944445</v>
      </c>
      <c r="N142" s="15" cm="1" t="n">
        <f t="array" ref="N142">IF(OR(C142="",M142="",M142=0),"",M142)</f>
        <v>46114.71256944445</v>
      </c>
      <c r="O142" s="15">
</c>
      <c r="P142" s="15" cm="1" t="str">
        <f t="array" ref="P142">IF(C142="","",IF(OR(O142="",O142=0),"-",O142))</f>
        <v>-</v>
      </c>
      <c r="Q142" s="16">
        <v>1000000</v>
      </c>
      <c r="R142" s="16" cm="1" t="str">
        <f t="array" ref="R142">IF(C142="","",ROUND(Q142/1000000,3)&amp;" M€")</f>
        <v>1 M€</v>
      </c>
      <c r="S142" s="12" t="s">
        <v>464</v>
      </c>
      <c r="T142" s="9" cm="1" t="str">
        <f t="array" ref="T142">IF(C142="","",SUBSTITUTE(S142,"","")&amp;"%")</f>
        <v>0%</v>
      </c>
      <c r="U142" s="14" cm="1" t="str">
        <f t="array" ref="U142">IF(($N142="")*($P142=""),"",IF(($N142&lt;&gt;"")*($N142&gt;TODAY()-9)*($N142&lt;TODAY()+1)*($P142&lt;&gt;"")*($P142&gt;=TODAY())*($P142&lt;=TODAY()+13),"Semaine passée &amp; à venir",IF(($N142&lt;&gt;"")*($N142&gt;TODAY()-9)*($N142&lt;TODAY()+1),"Semaine passée",IF(($P142&lt;&gt;"")*($P142&gt;=TODAY())*($P142&lt;=TODAY()+13),"À venir","Autre"))))</f>
        <v>Autre</v>
      </c>
      <c r="V142" s="8" cm="1" t="n">
        <f t="array" ref="V142">IF(C142&lt;&gt;"",1,0)</f>
        <v>1</v>
      </c>
      <c r="W142" s="8">
</c>
      <c r="X142" s="8">
</c>
      <c r="Y142" s="8">
</c>
      <c r="Z142" s="8">
</c>
      <c r="AA142" s="8">
</c>
      <c r="AB142" s="8">
</c>
      <c r="AC142" s="8">
</c>
      <c r="AD142" s="8">
</c>
      <c r="AE142" s="8">
</c>
      <c r="AF142" s="8">
</c>
      <c r="AG142" s="8">
</c>
      <c r="AH142" s="8">
</c>
      <c r="AI142" s="8">
</c>
      <c r="AJ142" s="8">
</c>
      <c r="AK142" s="8">
</c>
    </row>
    <row r="143" ht="76.5" customHeight="1">
      <c r="A143" s="9" t="s">
        <v>23</v>
      </c>
      <c r="B143" s="9" t="s">
        <v>32</v>
      </c>
      <c r="C143" s="12" t="s">
        <v>510</v>
      </c>
      <c r="D143" s="12" t="s">
        <v>511</v>
      </c>
      <c r="E143" s="9" t="s">
        <v>27</v>
      </c>
      <c r="F143" s="8" t="s">
        <v>512</v>
      </c>
      <c r="G143" s="13" cm="1" t="str">
        <f t="array" ref="G143">IF(F143="","",SUBSTITUTE(SUBSTITUTE(SUBSTITUTE(SUBSTITUTE(F143,"&lt;li&gt;",CHAR(10)),"&lt;/li&gt;",""),"&lt;br&gt;",CHAR(10)),"&lt;strong&gt;",""))</f>
        <v>&lt;p&gt;Relance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récentes.&lt;/p&gt;</v>
      </c>
      <c r="H143" s="13" cm="1" t="str">
        <f t="array" ref="H143">IF(G143="","",SUBSTITUTE(SUBSTITUTE(SUBSTITUTE(SUBSTITUTE(SUBSTITUTE(G143,"&lt;p&gt;",""),"&lt;/p&gt;",""),"&lt;ul&gt;",""),"&lt;/ul&gt;",""),"&lt;/strong&gt;",""))</f>
        <v>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v>
      </c>
      <c r="I143" s="14" cm="1" t="str">
        <f t="array" ref="I143">IF(C143="","",IF(OR(H143="",H143=0,H143=FALSE),"-",H143))</f>
        <v>Relance mail faite 13/01/2026. Action précédente : caler un premier échange (straton), terminée 09/01/2026. Tentative d'enrichissement lead échouée (mail invalide). Piste créée pour équipe Ventes. Prochaine étape non précisée, pas de retour prospect sur fonds. Pas d'autres activités récentes.</v>
      </c>
      <c r="J143" s="8">
</c>
      <c r="K143" s="8" t="s">
        <v>162</v>
      </c>
      <c r="L143" s="9" cm="1" t="str">
        <f t="array" ref="L143">IF(C143="","",IF(K143="Mort / Plus rien à faire","KO","OK"))</f>
        <v>OK</v>
      </c>
      <c r="M143" s="15">
        <v>46090.85865740741</v>
      </c>
      <c r="N143" s="15" cm="1" t="n">
        <f t="array" ref="N143">IF(OR(C143="",M143="",M143=0),"",M143)</f>
        <v>46090.85865740741</v>
      </c>
      <c r="O143" s="15">
</c>
      <c r="P143" s="15" cm="1" t="str">
        <f t="array" ref="P143">IF(C143="","",IF(OR(O143="",O143=0),"-",O143))</f>
        <v>-</v>
      </c>
      <c r="Q143" s="16">
        <v>0</v>
      </c>
      <c r="R143" s="16" cm="1" t="str">
        <f t="array" ref="R143">IF(C143="","",ROUND(Q143/1000000,3)&amp;" M€")</f>
        <v>0 M€</v>
      </c>
      <c r="S143" s="12" t="s">
        <v>464</v>
      </c>
      <c r="T143" s="9" cm="1" t="str">
        <f t="array" ref="T143">IF(C143="","",SUBSTITUTE(S143,"","")&amp;"%")</f>
        <v>0%</v>
      </c>
      <c r="U143" s="14" cm="1" t="str">
        <f t="array" ref="U143">IF(($N143="")*($P143=""),"",IF(($N143&lt;&gt;"")*($N143&gt;TODAY()-9)*($N143&lt;TODAY()+1)*($P143&lt;&gt;"")*($P143&gt;=TODAY())*($P143&lt;=TODAY()+13),"Semaine passée &amp; à venir",IF(($N143&lt;&gt;"")*($N143&gt;TODAY()-9)*($N143&lt;TODAY()+1),"Semaine passée",IF(($P143&lt;&gt;"")*($P143&gt;=TODAY())*($P143&lt;=TODAY()+13),"À venir","Autre"))))</f>
        <v>Autre</v>
      </c>
      <c r="V143" s="8" cm="1" t="n">
        <f t="array" ref="V143">IF(C143&lt;&gt;"",1,0)</f>
        <v>1</v>
      </c>
      <c r="W143" s="8">
</c>
      <c r="X143" s="8">
</c>
      <c r="Y143" s="8">
</c>
      <c r="Z143" s="8">
</c>
      <c r="AA143" s="8">
</c>
      <c r="AB143" s="8">
</c>
      <c r="AC143" s="8">
</c>
      <c r="AD143" s="8">
</c>
      <c r="AE143" s="8">
</c>
      <c r="AF143" s="8">
</c>
      <c r="AG143" s="8">
</c>
      <c r="AH143" s="8">
</c>
      <c r="AI143" s="8">
</c>
      <c r="AJ143" s="8">
</c>
      <c r="AK143" s="8">
</c>
    </row>
    <row r="144" ht="76.5" customHeight="1">
      <c r="A144" s="9" t="s">
        <v>23</v>
      </c>
      <c r="B144" s="9" t="s">
        <v>32</v>
      </c>
      <c r="C144" s="12" t="s">
        <v>471</v>
      </c>
      <c r="D144" s="12" t="s">
        <v>513</v>
      </c>
      <c r="E144" s="9" t="s">
        <v>27</v>
      </c>
      <c r="F144" s="8" t="s">
        <v>514</v>
      </c>
      <c r="G144" s="13" cm="1" t="str">
        <f t="array" ref="G144">IF(F144="","",SUBSTITUTE(SUBSTITUTE(SUBSTITUTE(SUBSTITUTE(F144,"&lt;li&gt;",CHAR(10)),"&lt;/li&gt;",""),"&lt;br&gt;",CHAR(10)),"&lt;strong&gt;",""))</f>
        <v>&lt;p&gt;Leovic confirme : pas de PE défense, pas de VC. Dernier échange enregistré, aucune activité téléphonique ou note complémentaire. Pas de prochaines étapes planifiées à ce stade, attente de retour ou nouvelles instructions. Aucun retour prospect sur les fonds présentés. Suivi à poursuivre.&lt;/p&gt;</v>
      </c>
      <c r="H144" s="13" cm="1" t="str">
        <f t="array" ref="H144">IF(G144="","",SUBSTITUTE(SUBSTITUTE(SUBSTITUTE(SUBSTITUTE(SUBSTITUTE(G144,"&lt;p&gt;",""),"&lt;/p&gt;",""),"&lt;ul&gt;",""),"&lt;/ul&gt;",""),"&lt;/strong&gt;",""))</f>
        <v>Leovic confirme : pas de PE défense, pas de VC. Dernier échange enregistré, aucune activité téléphonique ou note complémentaire. Pas de prochaines étapes planifiées à ce stade, attente de retour ou nouvelles instructions. Aucun retour prospect sur les fonds présentés. Suivi à poursuivre.</v>
      </c>
      <c r="I144" s="14" cm="1" t="str">
        <f t="array" ref="I144">IF(C144="","",IF(OR(H144="",H144=0,H144=FALSE),"-",H144))</f>
        <v>Leovic confirme : pas de PE défense, pas de VC. Dernier échange enregistré, aucune activité téléphonique ou note complémentaire. Pas de prochaines étapes planifiées à ce stade, attente de retour ou nouvelles instructions. Aucun retour prospect sur les fonds présentés. Suivi à poursuivre.</v>
      </c>
      <c r="J144" s="8" t="s">
        <v>515</v>
      </c>
      <c r="K144" s="8" t="s">
        <v>463</v>
      </c>
      <c r="L144" s="9" cm="1" t="str">
        <f t="array" ref="L144">IF(C144="","",IF(K144="Mort / Plus rien à faire","KO","OK"))</f>
        <v>KO</v>
      </c>
      <c r="M144" s="15">
        <v>46125.79856481482</v>
      </c>
      <c r="N144" s="15" cm="1" t="n">
        <f t="array" ref="N144">IF(OR(C144="",M144="",M144=0),"",M144)</f>
        <v>46125.79856481482</v>
      </c>
      <c r="O144" s="15">
        <v>46420.041666666664</v>
      </c>
      <c r="P144" s="15" cm="1" t="n">
        <f t="array" ref="P144">IF(C144="","",IF(OR(O144="",O144=0),"-",O144))</f>
        <v>46420.041666666664</v>
      </c>
      <c r="Q144" s="16">
        <v>0</v>
      </c>
      <c r="R144" s="16" cm="1" t="str">
        <f t="array" ref="R144">IF(C144="","",ROUND(Q144/1000000,3)&amp;" M€")</f>
        <v>0 M€</v>
      </c>
      <c r="S144" s="12" t="s">
        <v>464</v>
      </c>
      <c r="T144" s="9" cm="1" t="str">
        <f t="array" ref="T144">IF(C144="","",SUBSTITUTE(S144,"","")&amp;"%")</f>
        <v>0%</v>
      </c>
      <c r="U144" s="14" cm="1" t="str">
        <f t="array" ref="U144">IF(($N144="")*($P144=""),"",IF(($N144&lt;&gt;"")*($N144&gt;TODAY()-9)*($N144&lt;TODAY()+1)*($P144&lt;&gt;"")*($P144&gt;=TODAY())*($P144&lt;=TODAY()+13),"Semaine passée &amp; à venir",IF(($N144&lt;&gt;"")*($N144&gt;TODAY()-9)*($N144&lt;TODAY()+1),"Semaine passée",IF(($P144&lt;&gt;"")*($P144&gt;=TODAY())*($P144&lt;=TODAY()+13),"À venir","Autre"))))</f>
        <v>Autre</v>
      </c>
      <c r="V144" s="8" cm="1" t="n">
        <f t="array" ref="V144">IF(C144&lt;&gt;"",1,0)</f>
        <v>1</v>
      </c>
      <c r="W144" s="8">
</c>
      <c r="X144" s="8">
</c>
      <c r="Y144" s="8">
</c>
      <c r="Z144" s="8">
</c>
      <c r="AA144" s="8">
</c>
      <c r="AB144" s="8">
</c>
      <c r="AC144" s="8">
</c>
      <c r="AD144" s="8">
</c>
      <c r="AE144" s="8">
</c>
      <c r="AF144" s="8">
</c>
      <c r="AG144" s="8">
</c>
      <c r="AH144" s="8">
</c>
      <c r="AI144" s="8">
</c>
      <c r="AJ144" s="8">
</c>
      <c r="AK144" s="8">
</c>
    </row>
    <row r="145" ht="76.5" customHeight="1">
      <c r="A145" s="9" t="s">
        <v>23</v>
      </c>
      <c r="B145" s="9" t="s">
        <v>53</v>
      </c>
      <c r="C145" s="12" t="s">
        <v>516</v>
      </c>
      <c r="D145" s="12" t="s">
        <v>517</v>
      </c>
      <c r="E145" s="9" t="s">
        <v>27</v>
      </c>
      <c r="F145" s="8" t="s">
        <v>518</v>
      </c>
      <c r="G145" s="13" cm="1" t="str">
        <f t="array" ref="G145">IF(F145="","",SUBSTITUTE(SUBSTITUTE(SUBSTITUTE(SUBSTITUTE(F145,"&lt;li&gt;",CHAR(10)),"&lt;/li&gt;",""),"&lt;br&gt;",CHAR(10)),"&lt;strong&gt;",""))</f>
        <v>&lt;p&gt;Nouvelle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l'instant.&lt;/p&gt;</v>
      </c>
      <c r="H145" s="13" cm="1" t="str">
        <f t="array" ref="H145">IF(G145="","",SUBSTITUTE(SUBSTITUTE(SUBSTITUTE(SUBSTITUTE(SUBSTITUTE(G145,"&lt;p&gt;",""),"&lt;/p&gt;",""),"&lt;ul&gt;",""),"&lt;/ul&gt;",""),"&lt;/strong&gt;",""))</f>
        <v>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v>
      </c>
      <c r="I145" s="14" cm="1" t="str">
        <f t="array" ref="I145">IF(C145="","",IF(OR(H145="",H145=0,H145=FALSE),"-",H145))</f>
        <v>Nouvelle piste créée équipe Ventes. Action principale&amp;nbsp;: prise de RDV physique fin décembre, capacité totale estimée à 100M€. Pas d'autres échanges ou retours prospect enregistrés à ce jour. Prochaine étape&amp;nbsp;: fixer RDV fin décembre. Aucun retour prospect sur fonds présenté pour l'instant.</v>
      </c>
      <c r="J145" s="8" t="s">
        <v>519</v>
      </c>
      <c r="K145" s="8" t="s">
        <v>162</v>
      </c>
      <c r="L145" s="9" cm="1" t="str">
        <f t="array" ref="L145">IF(C145="","",IF(K145="Mort / Plus rien à faire","KO","OK"))</f>
        <v>OK</v>
      </c>
      <c r="M145" s="15">
        <v>46098.64708333334</v>
      </c>
      <c r="N145" s="15" cm="1" t="n">
        <f t="array" ref="N145">IF(OR(C145="",M145="",M145=0),"",M145)</f>
        <v>46098.64708333334</v>
      </c>
      <c r="O145" s="15">
        <v>46377.041666666664</v>
      </c>
      <c r="P145" s="15" cm="1" t="n">
        <f t="array" ref="P145">IF(C145="","",IF(OR(O145="",O145=0),"-",O145))</f>
        <v>46377.041666666664</v>
      </c>
      <c r="Q145" s="16">
        <v>0</v>
      </c>
      <c r="R145" s="16" cm="1" t="str">
        <f t="array" ref="R145">IF(C145="","",ROUND(Q145/1000000,3)&amp;" M€")</f>
        <v>0 M€</v>
      </c>
      <c r="S145" s="12" t="s">
        <v>464</v>
      </c>
      <c r="T145" s="9" cm="1" t="str">
        <f t="array" ref="T145">IF(C145="","",SUBSTITUTE(S145,"","")&amp;"%")</f>
        <v>0%</v>
      </c>
      <c r="U145" s="14" cm="1" t="str">
        <f t="array" ref="U145">IF(($N145="")*($P145=""),"",IF(($N145&lt;&gt;"")*($N145&gt;TODAY()-9)*($N145&lt;TODAY()+1)*($P145&lt;&gt;"")*($P145&gt;=TODAY())*($P145&lt;=TODAY()+13),"Semaine passée &amp; à venir",IF(($N145&lt;&gt;"")*($N145&gt;TODAY()-9)*($N145&lt;TODAY()+1),"Semaine passée",IF(($P145&lt;&gt;"")*($P145&gt;=TODAY())*($P145&lt;=TODAY()+13),"À venir","Autre"))))</f>
        <v>Autre</v>
      </c>
      <c r="V145" s="8" cm="1" t="n">
        <f t="array" ref="V145">IF(C145&lt;&gt;"",1,0)</f>
        <v>1</v>
      </c>
      <c r="W145" s="8">
</c>
      <c r="X145" s="8">
</c>
      <c r="Y145" s="8">
</c>
      <c r="Z145" s="8">
</c>
      <c r="AA145" s="8">
</c>
      <c r="AB145" s="8">
</c>
      <c r="AC145" s="8">
</c>
      <c r="AD145" s="8">
</c>
      <c r="AE145" s="8">
</c>
      <c r="AF145" s="8">
</c>
      <c r="AG145" s="8">
</c>
      <c r="AH145" s="8">
</c>
      <c r="AI145" s="8">
</c>
      <c r="AJ145" s="8">
</c>
      <c r="AK145" s="8">
</c>
    </row>
    <row r="146" ht="76.5" customHeight="1">
      <c r="A146" s="9" t="s">
        <v>23</v>
      </c>
      <c r="B146" s="9" t="s">
        <v>32</v>
      </c>
      <c r="C146" s="12" t="s">
        <v>520</v>
      </c>
      <c r="D146" s="12" t="s">
        <v>521</v>
      </c>
      <c r="E146" s="9" t="s">
        <v>27</v>
      </c>
      <c r="F146" s="8" t="s">
        <v>522</v>
      </c>
      <c r="G146" s="13" cm="1" t="str">
        <f t="array" ref="G146">IF(F146="","",SUBSTITUTE(SUBSTITUTE(SUBSTITUTE(SUBSTITUTE(F146,"&lt;li&gt;",CHAR(10)),"&lt;/li&gt;",""),"&lt;br&gt;",CHAR(10)),"&lt;strong&gt;",""))</f>
        <v>&lt;p&gt;RDV physique Deauville avec F.X. Selleret (DG AGIRC ARRCO) : 90% allocation Europe, soutien transition Total, profil très français. Demande de RDV faite à M Nany (assistante C Nouet). Pas de retour prospect sur fonds. Prochaine étape : attendre réponse RDV. Nouvelle piste créée équipe Ventes.&lt;/p&gt;</v>
      </c>
      <c r="H146" s="13" cm="1" t="str">
        <f t="array" ref="H146">IF(G146="","",SUBSTITUTE(SUBSTITUTE(SUBSTITUTE(SUBSTITUTE(SUBSTITUTE(G146,"&lt;p&gt;",""),"&lt;/p&gt;",""),"&lt;ul&gt;",""),"&lt;/ul&gt;",""),"&lt;/strong&gt;",""))</f>
        <v>RDV physique Deauville avec F.X. Selleret (DG AGIRC ARRCO) : 90% allocation Europe, soutien transition Total, profil très français. Demande de RDV faite à M Nany (assistante C Nouet). Pas de retour prospect sur fonds. Prochaine étape : attendre réponse RDV. Nouvelle piste créée équipe Ventes.</v>
      </c>
      <c r="I146" s="14" cm="1" t="str">
        <f t="array" ref="I146">IF(C146="","",IF(OR(H146="",H146=0,H146=FALSE),"-",H146))</f>
        <v>RDV physique Deauville avec F.X. Selleret (DG AGIRC ARRCO) : 90% allocation Europe, soutien transition Total, profil très français. Demande de RDV faite à M Nany (assistante C Nouet). Pas de retour prospect sur fonds. Prochaine étape : attendre réponse RDV. Nouvelle piste créée équipe Ventes.</v>
      </c>
      <c r="J146" s="8" t="s">
        <v>523</v>
      </c>
      <c r="K146" s="8" t="s">
        <v>162</v>
      </c>
      <c r="L146" s="9" cm="1" t="str">
        <f t="array" ref="L146">IF(C146="","",IF(K146="Mort / Plus rien à faire","KO","OK"))</f>
        <v>OK</v>
      </c>
      <c r="M146" s="15">
        <v>46121.655625</v>
      </c>
      <c r="N146" s="15" cm="1" t="n">
        <f t="array" ref="N146">IF(OR(C146="",M146="",M146=0),"",M146)</f>
        <v>46121.655625</v>
      </c>
      <c r="O146" s="15">
</c>
      <c r="P146" s="15" cm="1" t="str">
        <f t="array" ref="P146">IF(C146="","",IF(OR(O146="",O146=0),"-",O146))</f>
        <v>-</v>
      </c>
      <c r="Q146" s="16">
        <v>0</v>
      </c>
      <c r="R146" s="16" cm="1" t="str">
        <f t="array" ref="R146">IF(C146="","",ROUND(Q146/1000000,3)&amp;" M€")</f>
        <v>0 M€</v>
      </c>
      <c r="S146" s="12" t="s">
        <v>464</v>
      </c>
      <c r="T146" s="9" cm="1" t="str">
        <f t="array" ref="T146">IF(C146="","",SUBSTITUTE(S146,"","")&amp;"%")</f>
        <v>0%</v>
      </c>
      <c r="U146" s="14" cm="1" t="str">
        <f t="array" ref="U146">IF(($N146="")*($P146=""),"",IF(($N146&lt;&gt;"")*($N146&gt;TODAY()-9)*($N146&lt;TODAY()+1)*($P146&lt;&gt;"")*($P146&gt;=TODAY())*($P146&lt;=TODAY()+13),"Semaine passée &amp; à venir",IF(($N146&lt;&gt;"")*($N146&gt;TODAY()-9)*($N146&lt;TODAY()+1),"Semaine passée",IF(($P146&lt;&gt;"")*($P146&gt;=TODAY())*($P146&lt;=TODAY()+13),"À venir","Autre"))))</f>
        <v>Autre</v>
      </c>
      <c r="V146" s="8" cm="1" t="n">
        <f t="array" ref="V146">IF(C146&lt;&gt;"",1,0)</f>
        <v>1</v>
      </c>
      <c r="W146" s="8">
</c>
      <c r="X146" s="8">
</c>
      <c r="Y146" s="8">
</c>
      <c r="Z146" s="8">
</c>
      <c r="AA146" s="8">
</c>
      <c r="AB146" s="8">
</c>
      <c r="AC146" s="8">
</c>
      <c r="AD146" s="8">
</c>
      <c r="AE146" s="8">
</c>
      <c r="AF146" s="8">
</c>
      <c r="AG146" s="8">
</c>
      <c r="AH146" s="8">
</c>
      <c r="AI146" s="8">
</c>
      <c r="AJ146" s="8">
</c>
      <c r="AK146" s="8">
</c>
    </row>
    <row r="147" ht="76.5" customHeight="1">
      <c r="A147" s="9" t="s">
        <v>23</v>
      </c>
      <c r="B147" s="9" t="s">
        <v>86</v>
      </c>
      <c r="C147" s="12" t="s">
        <v>524</v>
      </c>
      <c r="D147" s="12" t="s">
        <v>525</v>
      </c>
      <c r="E147" s="9" t="s">
        <v>27</v>
      </c>
      <c r="F147" s="8" t="s">
        <v>526</v>
      </c>
      <c r="G147" s="13" cm="1" t="str">
        <f t="array" ref="G147">IF(F147="","",SUBSTITUTE(SUBSTITUTE(SUBSTITUTE(SUBSTITUTE(F147,"&lt;li&gt;",CHAR(10)),"&lt;/li&gt;",""),"&lt;br&gt;",CHAR(10)),"&lt;strong&gt;",""))</f>
        <v>&lt;p&gt;Offre STRATON transmise à la bonne adresse suite au départ de Bretin. Nouvelle piste créée pour équipe Ventes. Aucune activité récente ni retour prospect sur les fonds présentés. Pas d'action ou étape à venir identifiée dans les échanges ou activités.&lt;/p&gt;</v>
      </c>
      <c r="H147" s="13" cm="1" t="str">
        <f t="array" ref="H147">IF(G147="","",SUBSTITUTE(SUBSTITUTE(SUBSTITUTE(SUBSTITUTE(SUBSTITUTE(G147,"&lt;p&gt;",""),"&lt;/p&gt;",""),"&lt;ul&gt;",""),"&lt;/ul&gt;",""),"&lt;/strong&gt;",""))</f>
        <v>Offre STRATON transmise à la bonne adresse suite au départ de Bretin. Nouvelle piste créée pour équipe Ventes. Aucune activité récente ni retour prospect sur les fonds présentés. Pas d'action ou étape à venir identifiée dans les échanges ou activités.</v>
      </c>
      <c r="I147" s="14" cm="1" t="str">
        <f t="array" ref="I147">IF(C147="","",IF(OR(H147="",H147=0,H147=FALSE),"-",H147))</f>
        <v>Offre STRATON transmise à la bonne adresse suite au départ de Bretin. Nouvelle piste créée pour équipe Ventes. Aucune activité récente ni retour prospect sur les fonds présentés. Pas d'action ou étape à venir identifiée dans les échanges ou activités.</v>
      </c>
      <c r="J147" s="8">
</c>
      <c r="K147" s="8" t="s">
        <v>162</v>
      </c>
      <c r="L147" s="9" cm="1" t="str">
        <f t="array" ref="L147">IF(C147="","",IF(K147="Mort / Plus rien à faire","KO","OK"))</f>
        <v>OK</v>
      </c>
      <c r="M147" s="15">
        <v>46092.77462962963</v>
      </c>
      <c r="N147" s="15" cm="1" t="n">
        <f t="array" ref="N147">IF(OR(C147="",M147="",M147=0),"",M147)</f>
        <v>46092.77462962963</v>
      </c>
      <c r="O147" s="15">
</c>
      <c r="P147" s="15" cm="1" t="str">
        <f t="array" ref="P147">IF(C147="","",IF(OR(O147="",O147=0),"-",O147))</f>
        <v>-</v>
      </c>
      <c r="Q147" s="16">
        <v>0</v>
      </c>
      <c r="R147" s="16" cm="1" t="str">
        <f t="array" ref="R147">IF(C147="","",ROUND(Q147/1000000,3)&amp;" M€")</f>
        <v>0 M€</v>
      </c>
      <c r="S147" s="12" t="s">
        <v>464</v>
      </c>
      <c r="T147" s="9" cm="1" t="str">
        <f t="array" ref="T147">IF(C147="","",SUBSTITUTE(S147,"","")&amp;"%")</f>
        <v>0%</v>
      </c>
      <c r="U147" s="14" cm="1" t="str">
        <f t="array" ref="U147">IF(($N147="")*($P147=""),"",IF(($N147&lt;&gt;"")*($N147&gt;TODAY()-9)*($N147&lt;TODAY()+1)*($P147&lt;&gt;"")*($P147&gt;=TODAY())*($P147&lt;=TODAY()+13),"Semaine passée &amp; à venir",IF(($N147&lt;&gt;"")*($N147&gt;TODAY()-9)*($N147&lt;TODAY()+1),"Semaine passée",IF(($P147&lt;&gt;"")*($P147&gt;=TODAY())*($P147&lt;=TODAY()+13),"À venir","Autre"))))</f>
        <v>Autre</v>
      </c>
      <c r="V147" s="8" cm="1" t="n">
        <f t="array" ref="V147">IF(C147&lt;&gt;"",1,0)</f>
        <v>1</v>
      </c>
      <c r="W147" s="8">
</c>
      <c r="X147" s="8">
</c>
      <c r="Y147" s="8">
</c>
      <c r="Z147" s="8">
</c>
      <c r="AA147" s="8">
</c>
      <c r="AB147" s="8">
</c>
      <c r="AC147" s="8">
</c>
      <c r="AD147" s="8">
</c>
      <c r="AE147" s="8">
</c>
      <c r="AF147" s="8">
</c>
      <c r="AG147" s="8">
</c>
      <c r="AH147" s="8">
</c>
      <c r="AI147" s="8">
</c>
      <c r="AJ147" s="8">
</c>
      <c r="AK147" s="8">
</c>
    </row>
    <row r="148" ht="76.5" customHeight="1">
      <c r="A148" s="9" t="s">
        <v>23</v>
      </c>
      <c r="B148" s="9" t="s">
        <v>32</v>
      </c>
      <c r="C148" s="12" t="s">
        <v>527</v>
      </c>
      <c r="D148" s="12" t="s">
        <v>528</v>
      </c>
      <c r="E148" s="9" t="s">
        <v>27</v>
      </c>
      <c r="F148" s="8" t="s">
        <v>529</v>
      </c>
      <c r="G148" s="13" cm="1" t="str">
        <f t="array" ref="G148">IF(F148="","",SUBSTITUTE(SUBSTITUTE(SUBSTITUTE(SUBSTITUTE(F148,"&lt;li&gt;",CHAR(10)),"&lt;/li&gt;",""),"&lt;br&gt;",CHAR(10)),"&lt;strong&gt;",""))</f>
        <v>&lt;p&gt;Intro par Hubert Raymond/Sénateur Ludovic Haye. RDV physique réalisé, contact établi, attente de nouvelles dates pour suite. Pas de retour prospect sur fonds présentés. Pas d'autres actions ni comité mentionné. Suivi assuré par Romain Andrieu. Prochaine étape : fixer prochain RDV.&lt;/p&gt;</v>
      </c>
      <c r="H148" s="13" cm="1" t="str">
        <f t="array" ref="H148">IF(G148="","",SUBSTITUTE(SUBSTITUTE(SUBSTITUTE(SUBSTITUTE(SUBSTITUTE(G148,"&lt;p&gt;",""),"&lt;/p&gt;",""),"&lt;ul&gt;",""),"&lt;/ul&gt;",""),"&lt;/strong&gt;",""))</f>
        <v>Intro par Hubert Raymond/Sénateur Ludovic Haye. RDV physique réalisé, contact établi, attente de nouvelles dates pour suite. Pas de retour prospect sur fonds présentés. Pas d'autres actions ni comité mentionné. Suivi assuré par Romain Andrieu. Prochaine étape : fixer prochain RDV.</v>
      </c>
      <c r="I148" s="14" cm="1" t="str">
        <f t="array" ref="I148">IF(C148="","",IF(OR(H148="",H148=0,H148=FALSE),"-",H148))</f>
        <v>Intro par Hubert Raymond/Sénateur Ludovic Haye. RDV physique réalisé, contact établi, attente de nouvelles dates pour suite. Pas de retour prospect sur fonds présentés. Pas d'autres actions ni comité mentionné. Suivi assuré par Romain Andrieu. Prochaine étape : fixer prochain RDV.</v>
      </c>
      <c r="J148" s="8" t="s">
        <v>530</v>
      </c>
      <c r="K148" s="8" t="s">
        <v>162</v>
      </c>
      <c r="L148" s="9" cm="1" t="str">
        <f t="array" ref="L148">IF(C148="","",IF(K148="Mort / Plus rien à faire","KO","OK"))</f>
        <v>OK</v>
      </c>
      <c r="M148" s="15">
        <v>46140.37001157407</v>
      </c>
      <c r="N148" s="15" cm="1" t="n">
        <f t="array" ref="N148">IF(OR(C148="",M148="",M148=0),"",M148)</f>
        <v>46140.37001157407</v>
      </c>
      <c r="O148" s="15">
        <v>46149.083333333336</v>
      </c>
      <c r="P148" s="15" cm="1" t="n">
        <f t="array" ref="P148">IF(C148="","",IF(OR(O148="",O148=0),"-",O148))</f>
        <v>46149.083333333336</v>
      </c>
      <c r="Q148" s="16">
        <v>0</v>
      </c>
      <c r="R148" s="16" cm="1" t="str">
        <f t="array" ref="R148">IF(C148="","",ROUND(Q148/1000000,3)&amp;" M€")</f>
        <v>0 M€</v>
      </c>
      <c r="S148" s="12" t="s">
        <v>464</v>
      </c>
      <c r="T148" s="9" cm="1" t="str">
        <f t="array" ref="T148">IF(C148="","",SUBSTITUTE(S148,"","")&amp;"%")</f>
        <v>0%</v>
      </c>
      <c r="U148" s="14" cm="1" t="str">
        <f t="array" ref="U148">IF(($N148="")*($P148=""),"",IF(($N148&lt;&gt;"")*($N148&gt;TODAY()-9)*($N148&lt;TODAY()+1)*($P148&lt;&gt;"")*($P148&gt;=TODAY())*($P148&lt;=TODAY()+13),"Semaine passée &amp; à venir",IF(($N148&lt;&gt;"")*($N148&gt;TODAY()-9)*($N148&lt;TODAY()+1),"Semaine passée",IF(($P148&lt;&gt;"")*($P148&gt;=TODAY())*($P148&lt;=TODAY()+13),"À venir","Autre"))))</f>
        <v>Semaine passée &amp; à venir</v>
      </c>
      <c r="V148" s="8" cm="1" t="n">
        <f t="array" ref="V148">IF(C148&lt;&gt;"",1,0)</f>
        <v>1</v>
      </c>
      <c r="W148" s="8">
</c>
      <c r="X148" s="8">
</c>
      <c r="Y148" s="8">
</c>
      <c r="Z148" s="8">
</c>
      <c r="AA148" s="8">
</c>
      <c r="AB148" s="8">
</c>
      <c r="AC148" s="8">
</c>
      <c r="AD148" s="8">
</c>
      <c r="AE148" s="8">
</c>
      <c r="AF148" s="8">
</c>
      <c r="AG148" s="8">
</c>
      <c r="AH148" s="8">
</c>
      <c r="AI148" s="8">
</c>
      <c r="AJ148" s="8">
</c>
      <c r="AK148" s="8">
</c>
    </row>
    <row r="149" ht="76.5" customHeight="1">
      <c r="A149" s="9" t="s">
        <v>23</v>
      </c>
      <c r="B149" s="9" t="s">
        <v>113</v>
      </c>
      <c r="C149" s="12" t="s">
        <v>477</v>
      </c>
      <c r="D149" s="12" t="s">
        <v>531</v>
      </c>
      <c r="E149" s="9" t="s">
        <v>27</v>
      </c>
      <c r="F149" s="8" t="s">
        <v>532</v>
      </c>
      <c r="G149" s="13" cm="1" t="str">
        <f t="array" ref="G149">IF(F149="","",SUBSTITUTE(SUBSTITUTE(SUBSTITUTE(SUBSTITUTE(F149,"&lt;li&gt;",CHAR(10)),"&lt;/li&gt;",""),"&lt;br&gt;",CHAR(10)),"&lt;strong&gt;",""))</f>
        <v>&lt;p&gt;RDV physique 23/01/2026 avec CAISSE D'EPARGNE ET DE PREVOYANCE HAUTS DE FRANCE. Entreprise BCorp, aucun intérêt pour la défense. Seule piste possible : fonds de fonds capdev et Tourisme. Pas d'autres actions ou prochaines étapes mentionnées. Nouvelle piste créée équipe Ventes.&lt;/p&gt;</v>
      </c>
      <c r="H149" s="13" cm="1" t="str">
        <f t="array" ref="H149">IF(G149="","",SUBSTITUTE(SUBSTITUTE(SUBSTITUTE(SUBSTITUTE(SUBSTITUTE(G149,"&lt;p&gt;",""),"&lt;/p&gt;",""),"&lt;ul&gt;",""),"&lt;/ul&gt;",""),"&lt;/strong&gt;",""))</f>
        <v>RDV physique 23/01/2026 avec CAISSE D'EPARGNE ET DE PREVOYANCE HAUTS DE FRANCE. Entreprise BCorp, aucun intérêt pour la défense. Seule piste possible : fonds de fonds capdev et Tourisme. Pas d'autres actions ou prochaines étapes mentionnées. Nouvelle piste créée équipe Ventes.</v>
      </c>
      <c r="I149" s="14" cm="1" t="str">
        <f t="array" ref="I149">IF(C149="","",IF(OR(H149="",H149=0,H149=FALSE),"-",H149))</f>
        <v>RDV physique 23/01/2026 avec CAISSE D'EPARGNE ET DE PREVOYANCE HAUTS DE FRANCE. Entreprise BCorp, aucun intérêt pour la défense. Seule piste possible : fonds de fonds capdev et Tourisme. Pas d'autres actions ou prochaines étapes mentionnées. Nouvelle piste créée équipe Ventes.</v>
      </c>
      <c r="J149" s="8" t="s">
        <v>533</v>
      </c>
      <c r="K149" s="8" t="s">
        <v>463</v>
      </c>
      <c r="L149" s="9" cm="1" t="str">
        <f t="array" ref="L149">IF(C149="","",IF(K149="Mort / Plus rien à faire","KO","OK"))</f>
        <v>KO</v>
      </c>
      <c r="M149" s="15">
        <v>46071.47336805556</v>
      </c>
      <c r="N149" s="15" cm="1" t="n">
        <f t="array" ref="N149">IF(OR(C149="",M149="",M149=0),"",M149)</f>
        <v>46071.47336805556</v>
      </c>
      <c r="O149" s="15">
        <v>46391.041666666664</v>
      </c>
      <c r="P149" s="15" cm="1" t="n">
        <f t="array" ref="P149">IF(C149="","",IF(OR(O149="",O149=0),"-",O149))</f>
        <v>46391.041666666664</v>
      </c>
      <c r="Q149" s="16">
        <v>1000000</v>
      </c>
      <c r="R149" s="16" cm="1" t="str">
        <f t="array" ref="R149">IF(C149="","",ROUND(Q149/1000000,3)&amp;" M€")</f>
        <v>1 M€</v>
      </c>
      <c r="S149" s="12" t="s">
        <v>464</v>
      </c>
      <c r="T149" s="9" cm="1" t="str">
        <f t="array" ref="T149">IF(C149="","",SUBSTITUTE(S149,"","")&amp;"%")</f>
        <v>0%</v>
      </c>
      <c r="U149" s="14" cm="1" t="str">
        <f t="array" ref="U149">IF(($N149="")*($P149=""),"",IF(($N149&lt;&gt;"")*($N149&gt;TODAY()-9)*($N149&lt;TODAY()+1)*($P149&lt;&gt;"")*($P149&gt;=TODAY())*($P149&lt;=TODAY()+13),"Semaine passée &amp; à venir",IF(($N149&lt;&gt;"")*($N149&gt;TODAY()-9)*($N149&lt;TODAY()+1),"Semaine passée",IF(($P149&lt;&gt;"")*($P149&gt;=TODAY())*($P149&lt;=TODAY()+13),"À venir","Autre"))))</f>
        <v>Autre</v>
      </c>
      <c r="V149" s="8" cm="1" t="n">
        <f t="array" ref="V149">IF(C149&lt;&gt;"",1,0)</f>
        <v>1</v>
      </c>
      <c r="W149" s="8">
</c>
      <c r="X149" s="8">
</c>
      <c r="Y149" s="8">
</c>
      <c r="Z149" s="8">
</c>
      <c r="AA149" s="8">
</c>
      <c r="AB149" s="8">
</c>
      <c r="AC149" s="8">
</c>
      <c r="AD149" s="8">
</c>
      <c r="AE149" s="8">
</c>
      <c r="AF149" s="8">
</c>
      <c r="AG149" s="8">
</c>
      <c r="AH149" s="8">
</c>
      <c r="AI149" s="8">
</c>
      <c r="AJ149" s="8">
</c>
      <c r="AK149" s="8">
</c>
    </row>
    <row r="150" ht="76.5" customHeight="1">
      <c r="A150" s="9" t="s">
        <v>23</v>
      </c>
      <c r="B150" s="9" t="s">
        <v>32</v>
      </c>
      <c r="C150" s="12" t="s">
        <v>534</v>
      </c>
      <c r="D150" s="12" t="s">
        <v>535</v>
      </c>
      <c r="E150" s="9" t="s">
        <v>27</v>
      </c>
      <c r="F150" s="8" t="s">
        <v>536</v>
      </c>
      <c r="G150" s="13" cm="1" t="str">
        <f t="array" ref="G150">IF(F150="","",SUBSTITUTE(SUBSTITUTE(SUBSTITUTE(SUBSTITUTE(F150,"&lt;li&gt;",CHAR(10)),"&lt;/li&gt;",""),"&lt;br&gt;",CHAR(10)),"&lt;strong&gt;",""))</f>
        <v>&lt;p&gt;14/01/2026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prévue.&lt;/p&gt;</v>
      </c>
      <c r="H150" s="13" cm="1" t="str">
        <f t="array" ref="H150">IF(G150="","",SUBSTITUTE(SUBSTITUTE(SUBSTITUTE(SUBSTITUTE(SUBSTITUTE(G150,"&lt;p&gt;",""),"&lt;/p&gt;",""),"&lt;ul&gt;",""),"&lt;/ul&gt;",""),"&lt;/strong&gt;",""))</f>
        <v>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v>
      </c>
      <c r="I150" s="14" cm="1" t="str">
        <f t="array" ref="I150">IF(C150="","",IF(OR(H150="",H150=0,H150=FALSE),"-",H150))</f>
        <v>14/01/2026 : échange avec Guilhem Pialot (Mutac), refus PE jugé trop onéreux, historique négatif, aucune réouverture possible, intérêt uniquement pour dette directe/fonds de dette, ticket 2M€. Sept 2025 : fonds trop long (14 ans), non noté, SCR élevé, absence de sûreté. Pas d'action future prévue.</v>
      </c>
      <c r="J150" s="8">
</c>
      <c r="K150" s="8" t="s">
        <v>463</v>
      </c>
      <c r="L150" s="9" cm="1" t="str">
        <f t="array" ref="L150">IF(C150="","",IF(K150="Mort / Plus rien à faire","KO","OK"))</f>
        <v>KO</v>
      </c>
      <c r="M150" s="15">
        <v>46036.7655787037</v>
      </c>
      <c r="N150" s="15" cm="1" t="n">
        <f t="array" ref="N150">IF(OR(C150="",M150="",M150=0),"",M150)</f>
        <v>46036.7655787037</v>
      </c>
      <c r="O150" s="15">
</c>
      <c r="P150" s="15" cm="1" t="str">
        <f t="array" ref="P150">IF(C150="","",IF(OR(O150="",O150=0),"-",O150))</f>
        <v>-</v>
      </c>
      <c r="Q150" s="16">
        <v>0</v>
      </c>
      <c r="R150" s="16" cm="1" t="str">
        <f t="array" ref="R150">IF(C150="","",ROUND(Q150/1000000,3)&amp;" M€")</f>
        <v>0 M€</v>
      </c>
      <c r="S150" s="12" t="s">
        <v>464</v>
      </c>
      <c r="T150" s="9" cm="1" t="str">
        <f t="array" ref="T150">IF(C150="","",SUBSTITUTE(S150,"","")&amp;"%")</f>
        <v>0%</v>
      </c>
      <c r="U150" s="14" cm="1" t="str">
        <f t="array" ref="U150">IF(($N150="")*($P150=""),"",IF(($N150&lt;&gt;"")*($N150&gt;TODAY()-9)*($N150&lt;TODAY()+1)*($P150&lt;&gt;"")*($P150&gt;=TODAY())*($P150&lt;=TODAY()+13),"Semaine passée &amp; à venir",IF(($N150&lt;&gt;"")*($N150&gt;TODAY()-9)*($N150&lt;TODAY()+1),"Semaine passée",IF(($P150&lt;&gt;"")*($P150&gt;=TODAY())*($P150&lt;=TODAY()+13),"À venir","Autre"))))</f>
        <v>Autre</v>
      </c>
      <c r="V150" s="8" cm="1" t="n">
        <f t="array" ref="V150">IF(C150&lt;&gt;"",1,0)</f>
        <v>1</v>
      </c>
      <c r="W150" s="8">
</c>
      <c r="X150" s="8">
</c>
      <c r="Y150" s="8">
</c>
      <c r="Z150" s="8">
</c>
      <c r="AA150" s="8">
</c>
      <c r="AB150" s="8">
</c>
      <c r="AC150" s="8">
</c>
      <c r="AD150" s="8">
</c>
      <c r="AE150" s="8">
</c>
      <c r="AF150" s="8">
</c>
      <c r="AG150" s="8">
</c>
      <c r="AH150" s="8">
</c>
      <c r="AI150" s="8">
</c>
      <c r="AJ150" s="8">
</c>
      <c r="AK150" s="8">
</c>
    </row>
    <row r="151" ht="76.5" customHeight="1">
      <c r="A151" s="9">
</c>
      <c r="B151" s="9">
</c>
      <c r="C151" s="12">
</c>
      <c r="D151" s="12">
</c>
      <c r="E151" s="9">
</c>
      <c r="F151" s="8">
</c>
      <c r="G151" s="13" cm="1" t="str">
        <f t="array" ref="G151">IF(F151="","",SUBSTITUTE(SUBSTITUTE(SUBSTITUTE(SUBSTITUTE(F151,"&lt;li&gt;",CHAR(10)),"&lt;/li&gt;",""),"&lt;br&gt;",CHAR(10)),"&lt;strong&gt;",""))</f>
        <v/>
      </c>
      <c r="H151" s="13" cm="1" t="str">
        <f t="array" ref="H151">IF(G151="","",SUBSTITUTE(SUBSTITUTE(SUBSTITUTE(SUBSTITUTE(SUBSTITUTE(G151,"&lt;p&gt;",""),"&lt;/p&gt;",""),"&lt;ul&gt;",""),"&lt;/ul&gt;",""),"&lt;/strong&gt;",""))</f>
        <v/>
      </c>
      <c r="I151" s="14" cm="1" t="str">
        <f t="array" ref="I151">IF(C151="","",IF(OR(H151="",H151=0,H151=FALSE),"-",H151))</f>
        <v/>
      </c>
      <c r="J151" s="8">
</c>
      <c r="K151" s="8">
</c>
      <c r="L151" s="9" cm="1" t="str">
        <f t="array" ref="L151">IF(C151="","",IF(K151="Mort / Plus rien à faire","KO","OK"))</f>
        <v/>
      </c>
      <c r="M151" s="15">
</c>
      <c r="N151" s="15" cm="1" t="str">
        <f t="array" ref="N151">IF(OR(C151="",M151="",M151=0),"",M151)</f>
        <v/>
      </c>
      <c r="O151" s="15">
</c>
      <c r="P151" s="15" cm="1" t="str">
        <f t="array" ref="P151">IF(C151="","",IF(OR(O151="",O151=0),"-",O151))</f>
        <v/>
      </c>
      <c r="Q151" s="16">
</c>
      <c r="R151" s="16" cm="1" t="str">
        <f t="array" ref="R151">IF(C151="","",ROUND(Q151/1000000,3)&amp;" M€")</f>
        <v/>
      </c>
      <c r="S151" s="12">
</c>
      <c r="T151" s="9" cm="1" t="str">
        <f t="array" ref="T151">IF(C151="","",SUBSTITUTE(S151,"","")&amp;"%")</f>
        <v/>
      </c>
      <c r="U151" s="14" cm="1" t="str">
        <f t="array" ref="U151">IF(($N151="")*($P151=""),"",IF(($N151&lt;&gt;"")*($N151&gt;TODAY()-9)*($N151&lt;TODAY()+1)*($P151&lt;&gt;"")*($P151&gt;=TODAY())*($P151&lt;=TODAY()+13),"Semaine passée &amp; à venir",IF(($N151&lt;&gt;"")*($N151&gt;TODAY()-9)*($N151&lt;TODAY()+1),"Semaine passée",IF(($P151&lt;&gt;"")*($P151&gt;=TODAY())*($P151&lt;=TODAY()+13),"À venir","Autre"))))</f>
        <v/>
      </c>
      <c r="V151" s="8" cm="1" t="n">
        <f t="array" ref="V151">IF(C151&lt;&gt;"",1,0)</f>
        <v>0</v>
      </c>
      <c r="W151" s="8">
</c>
      <c r="X151" s="8">
</c>
      <c r="Y151" s="8">
</c>
      <c r="Z151" s="8">
</c>
      <c r="AA151" s="8">
</c>
      <c r="AB151" s="8">
</c>
      <c r="AC151" s="8">
</c>
      <c r="AD151" s="8">
</c>
      <c r="AE151" s="8">
</c>
      <c r="AF151" s="8">
</c>
      <c r="AG151" s="8">
</c>
      <c r="AH151" s="8">
</c>
      <c r="AI151" s="8">
</c>
      <c r="AJ151" s="8">
</c>
      <c r="AK151" s="8">
</c>
    </row>
    <row r="152" ht="76.5" customHeight="1">
      <c r="A152" s="9">
</c>
      <c r="B152" s="9">
</c>
      <c r="C152" s="12">
</c>
      <c r="D152" s="12">
</c>
      <c r="E152" s="9">
</c>
      <c r="F152" s="8">
</c>
      <c r="G152" s="13" cm="1" t="str">
        <f t="array" ref="G152">IF(F152="","",SUBSTITUTE(SUBSTITUTE(SUBSTITUTE(SUBSTITUTE(F152,"&lt;li&gt;",CHAR(10)),"&lt;/li&gt;",""),"&lt;br&gt;",CHAR(10)),"&lt;strong&gt;",""))</f>
        <v/>
      </c>
      <c r="H152" s="13" cm="1" t="str">
        <f t="array" ref="H152">IF(G152="","",SUBSTITUTE(SUBSTITUTE(SUBSTITUTE(SUBSTITUTE(SUBSTITUTE(G152,"&lt;p&gt;",""),"&lt;/p&gt;",""),"&lt;ul&gt;",""),"&lt;/ul&gt;",""),"&lt;/strong&gt;",""))</f>
        <v/>
      </c>
      <c r="I152" s="14" cm="1" t="str">
        <f t="array" ref="I152">IF(C152="","",IF(OR(H152="",H152=0,H152=FALSE),"-",H152))</f>
        <v/>
      </c>
      <c r="J152" s="8">
</c>
      <c r="K152" s="8">
</c>
      <c r="L152" s="9" cm="1" t="str">
        <f t="array" ref="L152">IF(C152="","",IF(K152="Mort / Plus rien à faire","KO","OK"))</f>
        <v/>
      </c>
      <c r="M152" s="15">
</c>
      <c r="N152" s="15" cm="1" t="str">
        <f t="array" ref="N152">IF(OR(C152="",M152="",M152=0),"",M152)</f>
        <v/>
      </c>
      <c r="O152" s="15">
</c>
      <c r="P152" s="15" cm="1" t="str">
        <f t="array" ref="P152">IF(C152="","",IF(OR(O152="",O152=0),"-",O152))</f>
        <v/>
      </c>
      <c r="Q152" s="16">
</c>
      <c r="R152" s="16" cm="1" t="str">
        <f t="array" ref="R152">IF(C152="","",ROUND(Q152/1000000,3)&amp;" M€")</f>
        <v/>
      </c>
      <c r="S152" s="12">
</c>
      <c r="T152" s="9" cm="1" t="str">
        <f t="array" ref="T152">IF(C152="","",SUBSTITUTE(S152,"","")&amp;"%")</f>
        <v/>
      </c>
      <c r="U152" s="14" cm="1" t="str">
        <f t="array" ref="U152">IF(($N152="")*($P152=""),"",IF(($N152&lt;&gt;"")*($N152&gt;TODAY()-9)*($N152&lt;TODAY()+1)*($P152&lt;&gt;"")*($P152&gt;=TODAY())*($P152&lt;=TODAY()+13),"Semaine passée &amp; à venir",IF(($N152&lt;&gt;"")*($N152&gt;TODAY()-9)*($N152&lt;TODAY()+1),"Semaine passée",IF(($P152&lt;&gt;"")*($P152&gt;=TODAY())*($P152&lt;=TODAY()+13),"À venir","Autre"))))</f>
        <v/>
      </c>
      <c r="V152" s="8" cm="1" t="n">
        <f t="array" ref="V152">IF(C152&lt;&gt;"",1,0)</f>
        <v>0</v>
      </c>
      <c r="W152" s="8">
</c>
      <c r="X152" s="8">
</c>
      <c r="Y152" s="8">
</c>
      <c r="Z152" s="8">
</c>
      <c r="AA152" s="8">
</c>
      <c r="AB152" s="8">
</c>
      <c r="AC152" s="8">
</c>
      <c r="AD152" s="8">
</c>
      <c r="AE152" s="8">
</c>
      <c r="AF152" s="8">
</c>
      <c r="AG152" s="8">
</c>
      <c r="AH152" s="8">
</c>
      <c r="AI152" s="8">
</c>
      <c r="AJ152" s="8">
</c>
      <c r="AK152" s="8">
</c>
    </row>
    <row r="153" ht="76.5" customHeight="1">
      <c r="A153" s="9">
</c>
      <c r="B153" s="9">
</c>
      <c r="C153" s="12">
</c>
      <c r="D153" s="12">
</c>
      <c r="E153" s="9">
</c>
      <c r="F153" s="8">
</c>
      <c r="G153" s="13" cm="1" t="str">
        <f t="array" ref="G153">IF(F153="","",SUBSTITUTE(SUBSTITUTE(SUBSTITUTE(SUBSTITUTE(F153,"&lt;li&gt;",CHAR(10)),"&lt;/li&gt;",""),"&lt;br&gt;",CHAR(10)),"&lt;strong&gt;",""))</f>
        <v/>
      </c>
      <c r="H153" s="13" cm="1" t="str">
        <f t="array" ref="H153">IF(G153="","",SUBSTITUTE(SUBSTITUTE(SUBSTITUTE(SUBSTITUTE(SUBSTITUTE(G153,"&lt;p&gt;",""),"&lt;/p&gt;",""),"&lt;ul&gt;",""),"&lt;/ul&gt;",""),"&lt;/strong&gt;",""))</f>
        <v/>
      </c>
      <c r="I153" s="14" cm="1" t="str">
        <f t="array" ref="I153">IF(C153="","",IF(OR(H153="",H153=0,H153=FALSE),"-",H153))</f>
        <v/>
      </c>
      <c r="J153" s="8">
</c>
      <c r="K153" s="8">
</c>
      <c r="L153" s="9" cm="1" t="str">
        <f t="array" ref="L153">IF(C153="","",IF(K153="Mort / Plus rien à faire","KO","OK"))</f>
        <v/>
      </c>
      <c r="M153" s="15">
</c>
      <c r="N153" s="15" cm="1" t="str">
        <f t="array" ref="N153">IF(OR(C153="",M153="",M153=0),"",M153)</f>
        <v/>
      </c>
      <c r="O153" s="15">
</c>
      <c r="P153" s="15" cm="1" t="str">
        <f t="array" ref="P153">IF(C153="","",IF(OR(O153="",O153=0),"-",O153))</f>
        <v/>
      </c>
      <c r="Q153" s="16">
</c>
      <c r="R153" s="16" cm="1" t="str">
        <f t="array" ref="R153">IF(C153="","",ROUND(Q153/1000000,3)&amp;" M€")</f>
        <v/>
      </c>
      <c r="S153" s="12">
</c>
      <c r="T153" s="9" cm="1" t="str">
        <f t="array" ref="T153">IF(C153="","",SUBSTITUTE(S153,"","")&amp;"%")</f>
        <v/>
      </c>
      <c r="U153" s="14" cm="1" t="str">
        <f t="array" ref="U153">IF(($N153="")*($P153=""),"",IF(($N153&lt;&gt;"")*($N153&gt;TODAY()-9)*($N153&lt;TODAY()+1)*($P153&lt;&gt;"")*($P153&gt;=TODAY())*($P153&lt;=TODAY()+13),"Semaine passée &amp; à venir",IF(($N153&lt;&gt;"")*($N153&gt;TODAY()-9)*($N153&lt;TODAY()+1),"Semaine passée",IF(($P153&lt;&gt;"")*($P153&gt;=TODAY())*($P153&lt;=TODAY()+13),"À venir","Autre"))))</f>
        <v/>
      </c>
      <c r="V153" s="8" cm="1" t="n">
        <f t="array" ref="V153">IF(C153&lt;&gt;"",1,0)</f>
        <v>0</v>
      </c>
      <c r="W153" s="8">
</c>
      <c r="X153" s="8">
</c>
      <c r="Y153" s="8">
</c>
      <c r="Z153" s="8">
</c>
      <c r="AA153" s="8">
</c>
      <c r="AB153" s="8">
</c>
      <c r="AC153" s="8">
</c>
      <c r="AD153" s="8">
</c>
      <c r="AE153" s="8">
</c>
      <c r="AF153" s="8">
</c>
      <c r="AG153" s="8">
</c>
      <c r="AH153" s="8">
</c>
      <c r="AI153" s="8">
</c>
      <c r="AJ153" s="8">
</c>
      <c r="AK153" s="8">
</c>
    </row>
    <row r="154" ht="76.5" customHeight="1">
      <c r="A154" s="9">
</c>
      <c r="B154" s="9">
</c>
      <c r="C154" s="12">
</c>
      <c r="D154" s="12">
</c>
      <c r="E154" s="9">
</c>
      <c r="F154" s="8">
</c>
      <c r="G154" s="13" cm="1" t="str">
        <f t="array" ref="G154">IF(F154="","",SUBSTITUTE(SUBSTITUTE(SUBSTITUTE(SUBSTITUTE(F154,"&lt;li&gt;",CHAR(10)),"&lt;/li&gt;",""),"&lt;br&gt;",CHAR(10)),"&lt;strong&gt;",""))</f>
        <v/>
      </c>
      <c r="H154" s="13" cm="1" t="str">
        <f t="array" ref="H154">IF(G154="","",SUBSTITUTE(SUBSTITUTE(SUBSTITUTE(SUBSTITUTE(SUBSTITUTE(G154,"&lt;p&gt;",""),"&lt;/p&gt;",""),"&lt;ul&gt;",""),"&lt;/ul&gt;",""),"&lt;/strong&gt;",""))</f>
        <v/>
      </c>
      <c r="I154" s="14" cm="1" t="str">
        <f t="array" ref="I154">IF(C154="","",IF(OR(H154="",H154=0,H154=FALSE),"-",H154))</f>
        <v/>
      </c>
      <c r="J154" s="8">
</c>
      <c r="K154" s="8">
</c>
      <c r="L154" s="9" cm="1" t="str">
        <f t="array" ref="L154">IF(C154="","",IF(K154="Mort / Plus rien à faire","KO","OK"))</f>
        <v/>
      </c>
      <c r="M154" s="15">
</c>
      <c r="N154" s="15" cm="1" t="str">
        <f t="array" ref="N154">IF(OR(C154="",M154="",M154=0),"",M154)</f>
        <v/>
      </c>
      <c r="O154" s="15">
</c>
      <c r="P154" s="15" cm="1" t="str">
        <f t="array" ref="P154">IF(C154="","",IF(OR(O154="",O154=0),"-",O154))</f>
        <v/>
      </c>
      <c r="Q154" s="16">
</c>
      <c r="R154" s="16" cm="1" t="str">
        <f t="array" ref="R154">IF(C154="","",ROUND(Q154/1000000,3)&amp;" M€")</f>
        <v/>
      </c>
      <c r="S154" s="12">
</c>
      <c r="T154" s="9" cm="1" t="str">
        <f t="array" ref="T154">IF(C154="","",SUBSTITUTE(S154,"","")&amp;"%")</f>
        <v/>
      </c>
      <c r="U154" s="14" cm="1" t="str">
        <f t="array" ref="U154">IF(($N154="")*($P154=""),"",IF(($N154&lt;&gt;"")*($N154&gt;TODAY()-9)*($N154&lt;TODAY()+1)*($P154&lt;&gt;"")*($P154&gt;=TODAY())*($P154&lt;=TODAY()+13),"Semaine passée &amp; à venir",IF(($N154&lt;&gt;"")*($N154&gt;TODAY()-9)*($N154&lt;TODAY()+1),"Semaine passée",IF(($P154&lt;&gt;"")*($P154&gt;=TODAY())*($P154&lt;=TODAY()+13),"À venir","Autre"))))</f>
        <v/>
      </c>
      <c r="V154" s="8" cm="1" t="n">
        <f t="array" ref="V154">IF(C154&lt;&gt;"",1,0)</f>
        <v>0</v>
      </c>
      <c r="W154" s="8">
</c>
      <c r="X154" s="8">
</c>
      <c r="Y154" s="8">
</c>
      <c r="Z154" s="8">
</c>
      <c r="AA154" s="8">
</c>
      <c r="AB154" s="8">
</c>
      <c r="AC154" s="8">
</c>
      <c r="AD154" s="8">
</c>
      <c r="AE154" s="8">
</c>
      <c r="AF154" s="8">
</c>
      <c r="AG154" s="8">
</c>
      <c r="AH154" s="8">
</c>
      <c r="AI154" s="8">
</c>
      <c r="AJ154" s="8">
</c>
      <c r="AK154" s="8">
</c>
    </row>
    <row r="155" ht="76.5" customHeight="1">
      <c r="A155" s="9">
</c>
      <c r="B155" s="9">
</c>
      <c r="C155" s="12">
</c>
      <c r="D155" s="12">
</c>
      <c r="E155" s="9">
</c>
      <c r="F155" s="8">
</c>
      <c r="G155" s="13" cm="1" t="str">
        <f t="array" ref="G155">IF(F155="","",SUBSTITUTE(SUBSTITUTE(SUBSTITUTE(SUBSTITUTE(F155,"&lt;li&gt;",CHAR(10)),"&lt;/li&gt;",""),"&lt;br&gt;",CHAR(10)),"&lt;strong&gt;",""))</f>
        <v/>
      </c>
      <c r="H155" s="13" cm="1" t="str">
        <f t="array" ref="H155">IF(G155="","",SUBSTITUTE(SUBSTITUTE(SUBSTITUTE(SUBSTITUTE(SUBSTITUTE(G155,"&lt;p&gt;",""),"&lt;/p&gt;",""),"&lt;ul&gt;",""),"&lt;/ul&gt;",""),"&lt;/strong&gt;",""))</f>
        <v/>
      </c>
      <c r="I155" s="14" cm="1" t="str">
        <f t="array" ref="I155">IF(C155="","",IF(OR(H155="",H155=0,H155=FALSE),"-",H155))</f>
        <v/>
      </c>
      <c r="J155" s="8">
</c>
      <c r="K155" s="8">
</c>
      <c r="L155" s="9" cm="1" t="str">
        <f t="array" ref="L155">IF(C155="","",IF(K155="Mort / Plus rien à faire","KO","OK"))</f>
        <v/>
      </c>
      <c r="M155" s="15">
</c>
      <c r="N155" s="15" cm="1" t="str">
        <f t="array" ref="N155">IF(OR(C155="",M155="",M155=0),"",M155)</f>
        <v/>
      </c>
      <c r="O155" s="15">
</c>
      <c r="P155" s="15" cm="1" t="str">
        <f t="array" ref="P155">IF(C155="","",IF(OR(O155="",O155=0),"-",O155))</f>
        <v/>
      </c>
      <c r="Q155" s="16">
</c>
      <c r="R155" s="16" cm="1" t="str">
        <f t="array" ref="R155">IF(C155="","",ROUND(Q155/1000000,3)&amp;" M€")</f>
        <v/>
      </c>
      <c r="S155" s="12">
</c>
      <c r="T155" s="9" cm="1" t="str">
        <f t="array" ref="T155">IF(C155="","",SUBSTITUTE(S155,"","")&amp;"%")</f>
        <v/>
      </c>
      <c r="U155" s="14" cm="1" t="str">
        <f t="array" ref="U155">IF(($N155="")*($P155=""),"",IF(($N155&lt;&gt;"")*($N155&gt;TODAY()-9)*($N155&lt;TODAY()+1)*($P155&lt;&gt;"")*($P155&gt;=TODAY())*($P155&lt;=TODAY()+13),"Semaine passée &amp; à venir",IF(($N155&lt;&gt;"")*($N155&gt;TODAY()-9)*($N155&lt;TODAY()+1),"Semaine passée",IF(($P155&lt;&gt;"")*($P155&gt;=TODAY())*($P155&lt;=TODAY()+13),"À venir","Autre"))))</f>
        <v/>
      </c>
      <c r="V155" s="8" cm="1" t="n">
        <f t="array" ref="V155">IF(C155&lt;&gt;"",1,0)</f>
        <v>0</v>
      </c>
      <c r="W155" s="8">
</c>
      <c r="X155" s="8">
</c>
      <c r="Y155" s="8">
</c>
      <c r="Z155" s="8">
</c>
      <c r="AA155" s="8">
</c>
      <c r="AB155" s="8">
</c>
      <c r="AC155" s="8">
</c>
      <c r="AD155" s="8">
</c>
      <c r="AE155" s="8">
</c>
      <c r="AF155" s="8">
</c>
      <c r="AG155" s="8">
</c>
      <c r="AH155" s="8">
</c>
      <c r="AI155" s="8">
</c>
      <c r="AJ155" s="8">
</c>
      <c r="AK155" s="8">
</c>
    </row>
    <row r="156" ht="76.5" customHeight="1">
      <c r="A156" s="9">
</c>
      <c r="B156" s="9">
</c>
      <c r="C156" s="12">
</c>
      <c r="D156" s="12">
</c>
      <c r="E156" s="9">
</c>
      <c r="F156" s="8">
</c>
      <c r="G156" s="13" cm="1" t="str">
        <f t="array" ref="G156">IF(F156="","",SUBSTITUTE(SUBSTITUTE(SUBSTITUTE(SUBSTITUTE(F156,"&lt;li&gt;",CHAR(10)),"&lt;/li&gt;",""),"&lt;br&gt;",CHAR(10)),"&lt;strong&gt;",""))</f>
        <v/>
      </c>
      <c r="H156" s="13" cm="1" t="str">
        <f t="array" ref="H156">IF(G156="","",SUBSTITUTE(SUBSTITUTE(SUBSTITUTE(SUBSTITUTE(SUBSTITUTE(G156,"&lt;p&gt;",""),"&lt;/p&gt;",""),"&lt;ul&gt;",""),"&lt;/ul&gt;",""),"&lt;/strong&gt;",""))</f>
        <v/>
      </c>
      <c r="I156" s="14" cm="1" t="str">
        <f t="array" ref="I156">IF(C156="","",IF(OR(H156="",H156=0,H156=FALSE),"-",H156))</f>
        <v/>
      </c>
      <c r="J156" s="8">
</c>
      <c r="K156" s="8">
</c>
      <c r="L156" s="9" cm="1" t="str">
        <f t="array" ref="L156">IF(C156="","",IF(K156="Mort / Plus rien à faire","KO","OK"))</f>
        <v/>
      </c>
      <c r="M156" s="15">
</c>
      <c r="N156" s="15" cm="1" t="str">
        <f t="array" ref="N156">IF(OR(C156="",M156="",M156=0),"",M156)</f>
        <v/>
      </c>
      <c r="O156" s="15">
</c>
      <c r="P156" s="15" cm="1" t="str">
        <f t="array" ref="P156">IF(C156="","",IF(OR(O156="",O156=0),"-",O156))</f>
        <v/>
      </c>
      <c r="Q156" s="16">
</c>
      <c r="R156" s="16" cm="1" t="str">
        <f t="array" ref="R156">IF(C156="","",ROUND(Q156/1000000,3)&amp;" M€")</f>
        <v/>
      </c>
      <c r="S156" s="12">
</c>
      <c r="T156" s="9" cm="1" t="str">
        <f t="array" ref="T156">IF(C156="","",SUBSTITUTE(S156,"","")&amp;"%")</f>
        <v/>
      </c>
      <c r="U156" s="14" cm="1" t="str">
        <f t="array" ref="U156">IF(($N156="")*($P156=""),"",IF(($N156&lt;&gt;"")*($N156&gt;TODAY()-9)*($N156&lt;TODAY()+1)*($P156&lt;&gt;"")*($P156&gt;=TODAY())*($P156&lt;=TODAY()+13),"Semaine passée &amp; à venir",IF(($N156&lt;&gt;"")*($N156&gt;TODAY()-9)*($N156&lt;TODAY()+1),"Semaine passée",IF(($P156&lt;&gt;"")*($P156&gt;=TODAY())*($P156&lt;=TODAY()+13),"À venir","Autre"))))</f>
        <v/>
      </c>
      <c r="V156" s="8" cm="1" t="n">
        <f t="array" ref="V156">IF(C156&lt;&gt;"",1,0)</f>
        <v>0</v>
      </c>
      <c r="W156" s="8">
</c>
      <c r="X156" s="8">
</c>
      <c r="Y156" s="8">
</c>
      <c r="Z156" s="8">
</c>
      <c r="AA156" s="8">
</c>
      <c r="AB156" s="8">
</c>
      <c r="AC156" s="8">
</c>
      <c r="AD156" s="8">
</c>
      <c r="AE156" s="8">
</c>
      <c r="AF156" s="8">
</c>
      <c r="AG156" s="8">
</c>
      <c r="AH156" s="8">
</c>
      <c r="AI156" s="8">
</c>
      <c r="AJ156" s="8">
</c>
      <c r="AK156" s="8">
</c>
    </row>
    <row r="157" ht="76.5" customHeight="1">
      <c r="A157" s="9">
</c>
      <c r="B157" s="9">
</c>
      <c r="C157" s="12">
</c>
      <c r="D157" s="12">
</c>
      <c r="E157" s="9">
</c>
      <c r="F157" s="8">
</c>
      <c r="G157" s="13" cm="1" t="str">
        <f t="array" ref="G157">IF(F157="","",SUBSTITUTE(SUBSTITUTE(SUBSTITUTE(SUBSTITUTE(F157,"&lt;li&gt;",CHAR(10)),"&lt;/li&gt;",""),"&lt;br&gt;",CHAR(10)),"&lt;strong&gt;",""))</f>
        <v/>
      </c>
      <c r="H157" s="13" cm="1" t="str">
        <f t="array" ref="H157">IF(G157="","",SUBSTITUTE(SUBSTITUTE(SUBSTITUTE(SUBSTITUTE(SUBSTITUTE(G157,"&lt;p&gt;",""),"&lt;/p&gt;",""),"&lt;ul&gt;",""),"&lt;/ul&gt;",""),"&lt;/strong&gt;",""))</f>
        <v/>
      </c>
      <c r="I157" s="14" cm="1" t="str">
        <f t="array" ref="I157">IF(C157="","",IF(OR(H157="",H157=0,H157=FALSE),"-",H157))</f>
        <v/>
      </c>
      <c r="J157" s="8">
</c>
      <c r="K157" s="8">
</c>
      <c r="L157" s="9" cm="1" t="str">
        <f t="array" ref="L157">IF(C157="","",IF(K157="Mort / Plus rien à faire","KO","OK"))</f>
        <v/>
      </c>
      <c r="M157" s="15">
</c>
      <c r="N157" s="15" cm="1" t="str">
        <f t="array" ref="N157">IF(OR(C157="",M157="",M157=0),"",M157)</f>
        <v/>
      </c>
      <c r="O157" s="15">
</c>
      <c r="P157" s="15" cm="1" t="str">
        <f t="array" ref="P157">IF(C157="","",IF(OR(O157="",O157=0),"-",O157))</f>
        <v/>
      </c>
      <c r="Q157" s="16">
</c>
      <c r="R157" s="16" cm="1" t="str">
        <f t="array" ref="R157">IF(C157="","",ROUND(Q157/1000000,3)&amp;" M€")</f>
        <v/>
      </c>
      <c r="S157" s="12">
</c>
      <c r="T157" s="9" cm="1" t="str">
        <f t="array" ref="T157">IF(C157="","",SUBSTITUTE(S157,"","")&amp;"%")</f>
        <v/>
      </c>
      <c r="U157" s="14" cm="1" t="str">
        <f t="array" ref="U157">IF(($N157="")*($P157=""),"",IF(($N157&lt;&gt;"")*($N157&gt;TODAY()-9)*($N157&lt;TODAY()+1)*($P157&lt;&gt;"")*($P157&gt;=TODAY())*($P157&lt;=TODAY()+13),"Semaine passée &amp; à venir",IF(($N157&lt;&gt;"")*($N157&gt;TODAY()-9)*($N157&lt;TODAY()+1),"Semaine passée",IF(($P157&lt;&gt;"")*($P157&gt;=TODAY())*($P157&lt;=TODAY()+13),"À venir","Autre"))))</f>
        <v/>
      </c>
      <c r="V157" s="8" cm="1" t="n">
        <f t="array" ref="V157">IF(C157&lt;&gt;"",1,0)</f>
        <v>0</v>
      </c>
      <c r="W157" s="8">
</c>
      <c r="X157" s="8">
</c>
      <c r="Y157" s="8">
</c>
      <c r="Z157" s="8">
</c>
      <c r="AA157" s="8">
</c>
      <c r="AB157" s="8">
</c>
      <c r="AC157" s="8">
</c>
      <c r="AD157" s="8">
</c>
      <c r="AE157" s="8">
</c>
      <c r="AF157" s="8">
</c>
      <c r="AG157" s="8">
</c>
      <c r="AH157" s="8">
</c>
      <c r="AI157" s="8">
</c>
      <c r="AJ157" s="8">
</c>
      <c r="AK157" s="8">
</c>
    </row>
    <row r="158" ht="76.5" customHeight="1">
      <c r="A158" s="9">
</c>
      <c r="B158" s="9">
</c>
      <c r="C158" s="12">
</c>
      <c r="D158" s="12">
</c>
      <c r="E158" s="9">
</c>
      <c r="F158" s="8">
</c>
      <c r="G158" s="13" cm="1" t="str">
        <f t="array" ref="G158">IF(F158="","",SUBSTITUTE(SUBSTITUTE(SUBSTITUTE(SUBSTITUTE(F158,"&lt;li&gt;",CHAR(10)),"&lt;/li&gt;",""),"&lt;br&gt;",CHAR(10)),"&lt;strong&gt;",""))</f>
        <v/>
      </c>
      <c r="H158" s="13" cm="1" t="str">
        <f t="array" ref="H158">IF(G158="","",SUBSTITUTE(SUBSTITUTE(SUBSTITUTE(SUBSTITUTE(SUBSTITUTE(G158,"&lt;p&gt;",""),"&lt;/p&gt;",""),"&lt;ul&gt;",""),"&lt;/ul&gt;",""),"&lt;/strong&gt;",""))</f>
        <v/>
      </c>
      <c r="I158" s="14" cm="1" t="str">
        <f t="array" ref="I158">IF(C158="","",IF(OR(H158="",H158=0,H158=FALSE),"-",H158))</f>
        <v/>
      </c>
      <c r="J158" s="8">
</c>
      <c r="K158" s="8">
</c>
      <c r="L158" s="9" cm="1" t="str">
        <f t="array" ref="L158">IF(C158="","",IF(K158="Mort / Plus rien à faire","KO","OK"))</f>
        <v/>
      </c>
      <c r="M158" s="15">
</c>
      <c r="N158" s="15" cm="1" t="str">
        <f t="array" ref="N158">IF(OR(C158="",M158="",M158=0),"",M158)</f>
        <v/>
      </c>
      <c r="O158" s="15">
</c>
      <c r="P158" s="15" cm="1" t="str">
        <f t="array" ref="P158">IF(C158="","",IF(OR(O158="",O158=0),"-",O158))</f>
        <v/>
      </c>
      <c r="Q158" s="16">
</c>
      <c r="R158" s="16" cm="1" t="str">
        <f t="array" ref="R158">IF(C158="","",ROUND(Q158/1000000,3)&amp;" M€")</f>
        <v/>
      </c>
      <c r="S158" s="12">
</c>
      <c r="T158" s="9" cm="1" t="str">
        <f t="array" ref="T158">IF(C158="","",SUBSTITUTE(S158,"","")&amp;"%")</f>
        <v/>
      </c>
      <c r="U158" s="14" cm="1" t="str">
        <f t="array" ref="U158">IF(($N158="")*($P158=""),"",IF(($N158&lt;&gt;"")*($N158&gt;TODAY()-9)*($N158&lt;TODAY()+1)*($P158&lt;&gt;"")*($P158&gt;=TODAY())*($P158&lt;=TODAY()+13),"Semaine passée &amp; à venir",IF(($N158&lt;&gt;"")*($N158&gt;TODAY()-9)*($N158&lt;TODAY()+1),"Semaine passée",IF(($P158&lt;&gt;"")*($P158&gt;=TODAY())*($P158&lt;=TODAY()+13),"À venir","Autre"))))</f>
        <v/>
      </c>
      <c r="V158" s="8" cm="1" t="n">
        <f t="array" ref="V158">IF(C158&lt;&gt;"",1,0)</f>
        <v>0</v>
      </c>
      <c r="W158" s="8">
</c>
      <c r="X158" s="8">
</c>
      <c r="Y158" s="8">
</c>
      <c r="Z158" s="8">
</c>
      <c r="AA158" s="8">
</c>
      <c r="AB158" s="8">
</c>
      <c r="AC158" s="8">
</c>
      <c r="AD158" s="8">
</c>
      <c r="AE158" s="8">
</c>
      <c r="AF158" s="8">
</c>
      <c r="AG158" s="8">
</c>
      <c r="AH158" s="8">
</c>
      <c r="AI158" s="8">
</c>
      <c r="AJ158" s="8">
</c>
      <c r="AK158" s="8">
</c>
    </row>
    <row r="159" ht="76.5" customHeight="1">
      <c r="A159" s="9">
</c>
      <c r="B159" s="9">
</c>
      <c r="C159" s="12">
</c>
      <c r="D159" s="12">
</c>
      <c r="E159" s="9">
</c>
      <c r="F159" s="8">
</c>
      <c r="G159" s="13" cm="1" t="str">
        <f t="array" ref="G159">IF(F159="","",SUBSTITUTE(SUBSTITUTE(SUBSTITUTE(SUBSTITUTE(F159,"&lt;li&gt;",CHAR(10)),"&lt;/li&gt;",""),"&lt;br&gt;",CHAR(10)),"&lt;strong&gt;",""))</f>
        <v/>
      </c>
      <c r="H159" s="13" cm="1" t="str">
        <f t="array" ref="H159">IF(G159="","",SUBSTITUTE(SUBSTITUTE(SUBSTITUTE(SUBSTITUTE(SUBSTITUTE(G159,"&lt;p&gt;",""),"&lt;/p&gt;",""),"&lt;ul&gt;",""),"&lt;/ul&gt;",""),"&lt;/strong&gt;",""))</f>
        <v/>
      </c>
      <c r="I159" s="14" cm="1" t="str">
        <f t="array" ref="I159">IF(C159="","",IF(OR(H159="",H159=0,H159=FALSE),"-",H159))</f>
        <v/>
      </c>
      <c r="J159" s="8">
</c>
      <c r="K159" s="8">
</c>
      <c r="L159" s="9" cm="1" t="str">
        <f t="array" ref="L159">IF(C159="","",IF(K159="Mort / Plus rien à faire","KO","OK"))</f>
        <v/>
      </c>
      <c r="M159" s="15">
</c>
      <c r="N159" s="15" cm="1" t="str">
        <f t="array" ref="N159">IF(OR(C159="",M159="",M159=0),"",M159)</f>
        <v/>
      </c>
      <c r="O159" s="15">
</c>
      <c r="P159" s="15" cm="1" t="str">
        <f t="array" ref="P159">IF(C159="","",IF(OR(O159="",O159=0),"-",O159))</f>
        <v/>
      </c>
      <c r="Q159" s="16">
</c>
      <c r="R159" s="16" cm="1" t="str">
        <f t="array" ref="R159">IF(C159="","",ROUND(Q159/1000000,3)&amp;" M€")</f>
        <v/>
      </c>
      <c r="S159" s="12">
</c>
      <c r="T159" s="9" cm="1" t="str">
        <f t="array" ref="T159">IF(C159="","",SUBSTITUTE(S159,"","")&amp;"%")</f>
        <v/>
      </c>
      <c r="U159" s="14" cm="1" t="str">
        <f t="array" ref="U159">IF(($N159="")*($P159=""),"",IF(($N159&lt;&gt;"")*($N159&gt;TODAY()-9)*($N159&lt;TODAY()+1)*($P159&lt;&gt;"")*($P159&gt;=TODAY())*($P159&lt;=TODAY()+13),"Semaine passée &amp; à venir",IF(($N159&lt;&gt;"")*($N159&gt;TODAY()-9)*($N159&lt;TODAY()+1),"Semaine passée",IF(($P159&lt;&gt;"")*($P159&gt;=TODAY())*($P159&lt;=TODAY()+13),"À venir","Autre"))))</f>
        <v/>
      </c>
      <c r="V159" s="8" cm="1" t="n">
        <f t="array" ref="V159">IF(C159&lt;&gt;"",1,0)</f>
        <v>0</v>
      </c>
      <c r="W159" s="8">
</c>
      <c r="X159" s="8">
</c>
      <c r="Y159" s="8">
</c>
      <c r="Z159" s="8">
</c>
      <c r="AA159" s="8">
</c>
      <c r="AB159" s="8">
</c>
      <c r="AC159" s="8">
</c>
      <c r="AD159" s="8">
</c>
      <c r="AE159" s="8">
</c>
      <c r="AF159" s="8">
</c>
      <c r="AG159" s="8">
</c>
      <c r="AH159" s="8">
</c>
      <c r="AI159" s="8">
</c>
      <c r="AJ159" s="8">
</c>
      <c r="AK159" s="8">
</c>
    </row>
    <row r="160" ht="76.5" customHeight="1">
      <c r="A160" s="9">
</c>
      <c r="B160" s="9">
</c>
      <c r="C160" s="12">
</c>
      <c r="D160" s="12">
</c>
      <c r="E160" s="9">
</c>
      <c r="F160" s="8">
</c>
      <c r="G160" s="13" cm="1" t="str">
        <f t="array" ref="G160">IF(F160="","",SUBSTITUTE(SUBSTITUTE(SUBSTITUTE(SUBSTITUTE(F160,"&lt;li&gt;",CHAR(10)),"&lt;/li&gt;",""),"&lt;br&gt;",CHAR(10)),"&lt;strong&gt;",""))</f>
        <v/>
      </c>
      <c r="H160" s="13" cm="1" t="str">
        <f t="array" ref="H160">IF(G160="","",SUBSTITUTE(SUBSTITUTE(SUBSTITUTE(SUBSTITUTE(SUBSTITUTE(G160,"&lt;p&gt;",""),"&lt;/p&gt;",""),"&lt;ul&gt;",""),"&lt;/ul&gt;",""),"&lt;/strong&gt;",""))</f>
        <v/>
      </c>
      <c r="I160" s="14" cm="1" t="str">
        <f t="array" ref="I160">IF(C160="","",IF(OR(H160="",H160=0,H160=FALSE),"-",H160))</f>
        <v/>
      </c>
      <c r="J160" s="8">
</c>
      <c r="K160" s="8">
</c>
      <c r="L160" s="9" cm="1" t="str">
        <f t="array" ref="L160">IF(C160="","",IF(K160="Mort / Plus rien à faire","KO","OK"))</f>
        <v/>
      </c>
      <c r="M160" s="15">
</c>
      <c r="N160" s="15" cm="1" t="str">
        <f t="array" ref="N160">IF(OR(C160="",M160="",M160=0),"",M160)</f>
        <v/>
      </c>
      <c r="O160" s="15">
</c>
      <c r="P160" s="15" cm="1" t="str">
        <f t="array" ref="P160">IF(C160="","",IF(OR(O160="",O160=0),"-",O160))</f>
        <v/>
      </c>
      <c r="Q160" s="16">
</c>
      <c r="R160" s="16" cm="1" t="str">
        <f t="array" ref="R160">IF(C160="","",ROUND(Q160/1000000,3)&amp;" M€")</f>
        <v/>
      </c>
      <c r="S160" s="12">
</c>
      <c r="T160" s="9" cm="1" t="str">
        <f t="array" ref="T160">IF(C160="","",SUBSTITUTE(S160,"","")&amp;"%")</f>
        <v/>
      </c>
      <c r="U160" s="14" cm="1" t="str">
        <f t="array" ref="U160">IF(($N160="")*($P160=""),"",IF(($N160&lt;&gt;"")*($N160&gt;TODAY()-9)*($N160&lt;TODAY()+1)*($P160&lt;&gt;"")*($P160&gt;=TODAY())*($P160&lt;=TODAY()+13),"Semaine passée &amp; à venir",IF(($N160&lt;&gt;"")*($N160&gt;TODAY()-9)*($N160&lt;TODAY()+1),"Semaine passée",IF(($P160&lt;&gt;"")*($P160&gt;=TODAY())*($P160&lt;=TODAY()+13),"À venir","Autre"))))</f>
        <v/>
      </c>
      <c r="V160" s="8" cm="1" t="n">
        <f t="array" ref="V160">IF(C160&lt;&gt;"",1,0)</f>
        <v>0</v>
      </c>
      <c r="W160" s="8">
</c>
      <c r="X160" s="8">
</c>
      <c r="Y160" s="8">
</c>
      <c r="Z160" s="8">
</c>
      <c r="AA160" s="8">
</c>
      <c r="AB160" s="8">
</c>
      <c r="AC160" s="8">
</c>
      <c r="AD160" s="8">
</c>
      <c r="AE160" s="8">
</c>
      <c r="AF160" s="8">
</c>
      <c r="AG160" s="8">
</c>
      <c r="AH160" s="8">
</c>
      <c r="AI160" s="8">
</c>
      <c r="AJ160" s="8">
</c>
      <c r="AK160" s="8">
</c>
    </row>
    <row r="161" ht="76.5" customHeight="1">
      <c r="A161" s="9">
</c>
      <c r="B161" s="9">
</c>
      <c r="C161" s="12">
</c>
      <c r="D161" s="12">
</c>
      <c r="E161" s="9">
</c>
      <c r="F161" s="8">
</c>
      <c r="G161" s="13" cm="1" t="str">
        <f t="array" ref="G161">IF(F161="","",SUBSTITUTE(SUBSTITUTE(SUBSTITUTE(SUBSTITUTE(F161,"&lt;li&gt;",CHAR(10)),"&lt;/li&gt;",""),"&lt;br&gt;",CHAR(10)),"&lt;strong&gt;",""))</f>
        <v/>
      </c>
      <c r="H161" s="13" cm="1" t="str">
        <f t="array" ref="H161">IF(G161="","",SUBSTITUTE(SUBSTITUTE(SUBSTITUTE(SUBSTITUTE(SUBSTITUTE(G161,"&lt;p&gt;",""),"&lt;/p&gt;",""),"&lt;ul&gt;",""),"&lt;/ul&gt;",""),"&lt;/strong&gt;",""))</f>
        <v/>
      </c>
      <c r="I161" s="14" cm="1" t="str">
        <f t="array" ref="I161">IF(C161="","",IF(OR(H161="",H161=0,H161=FALSE),"-",H161))</f>
        <v/>
      </c>
      <c r="J161" s="8">
</c>
      <c r="K161" s="8">
</c>
      <c r="L161" s="9" cm="1" t="str">
        <f t="array" ref="L161">IF(C161="","",IF(K161="Mort / Plus rien à faire","KO","OK"))</f>
        <v/>
      </c>
      <c r="M161" s="15">
</c>
      <c r="N161" s="15" cm="1" t="str">
        <f t="array" ref="N161">IF(OR(C161="",M161="",M161=0),"",M161)</f>
        <v/>
      </c>
      <c r="O161" s="15">
</c>
      <c r="P161" s="15" cm="1" t="str">
        <f t="array" ref="P161">IF(C161="","",IF(OR(O161="",O161=0),"-",O161))</f>
        <v/>
      </c>
      <c r="Q161" s="16">
</c>
      <c r="R161" s="16" cm="1" t="str">
        <f t="array" ref="R161">IF(C161="","",ROUND(Q161/1000000,3)&amp;" M€")</f>
        <v/>
      </c>
      <c r="S161" s="12">
</c>
      <c r="T161" s="9" cm="1" t="str">
        <f t="array" ref="T161">IF(C161="","",SUBSTITUTE(S161,"","")&amp;"%")</f>
        <v/>
      </c>
      <c r="U161" s="14" cm="1" t="str">
        <f t="array" ref="U161">IF(($N161="")*($P161=""),"",IF(($N161&lt;&gt;"")*($N161&gt;TODAY()-9)*($N161&lt;TODAY()+1)*($P161&lt;&gt;"")*($P161&gt;=TODAY())*($P161&lt;=TODAY()+13),"Semaine passée &amp; à venir",IF(($N161&lt;&gt;"")*($N161&gt;TODAY()-9)*($N161&lt;TODAY()+1),"Semaine passée",IF(($P161&lt;&gt;"")*($P161&gt;=TODAY())*($P161&lt;=TODAY()+13),"À venir","Autre"))))</f>
        <v/>
      </c>
      <c r="V161" s="8" cm="1" t="n">
        <f t="array" ref="V161">IF(C161&lt;&gt;"",1,0)</f>
        <v>0</v>
      </c>
      <c r="W161" s="8">
</c>
      <c r="X161" s="8">
</c>
      <c r="Y161" s="8">
</c>
      <c r="Z161" s="8">
</c>
      <c r="AA161" s="8">
</c>
      <c r="AB161" s="8">
</c>
      <c r="AC161" s="8">
</c>
      <c r="AD161" s="8">
</c>
      <c r="AE161" s="8">
</c>
      <c r="AF161" s="8">
</c>
      <c r="AG161" s="8">
</c>
      <c r="AH161" s="8">
</c>
      <c r="AI161" s="8">
</c>
      <c r="AJ161" s="8">
</c>
      <c r="AK161" s="8">
</c>
    </row>
    <row r="162" ht="76.5" customHeight="1">
      <c r="A162" s="9">
</c>
      <c r="B162" s="9">
</c>
      <c r="C162" s="12">
</c>
      <c r="D162" s="12">
</c>
      <c r="E162" s="9">
</c>
      <c r="F162" s="8">
</c>
      <c r="G162" s="13" cm="1" t="str">
        <f t="array" ref="G162">IF(F162="","",SUBSTITUTE(SUBSTITUTE(SUBSTITUTE(SUBSTITUTE(F162,"&lt;li&gt;",CHAR(10)),"&lt;/li&gt;",""),"&lt;br&gt;",CHAR(10)),"&lt;strong&gt;",""))</f>
        <v/>
      </c>
      <c r="H162" s="13" cm="1" t="str">
        <f t="array" ref="H162">IF(G162="","",SUBSTITUTE(SUBSTITUTE(SUBSTITUTE(SUBSTITUTE(SUBSTITUTE(G162,"&lt;p&gt;",""),"&lt;/p&gt;",""),"&lt;ul&gt;",""),"&lt;/ul&gt;",""),"&lt;/strong&gt;",""))</f>
        <v/>
      </c>
      <c r="I162" s="14" cm="1" t="str">
        <f t="array" ref="I162">IF(C162="","",IF(OR(H162="",H162=0,H162=FALSE),"-",H162))</f>
        <v/>
      </c>
      <c r="J162" s="8">
</c>
      <c r="K162" s="8">
</c>
      <c r="L162" s="9" cm="1" t="str">
        <f t="array" ref="L162">IF(C162="","",IF(K162="Mort / Plus rien à faire","KO","OK"))</f>
        <v/>
      </c>
      <c r="M162" s="15">
</c>
      <c r="N162" s="15" cm="1" t="str">
        <f t="array" ref="N162">IF(OR(C162="",M162="",M162=0),"",M162)</f>
        <v/>
      </c>
      <c r="O162" s="15">
</c>
      <c r="P162" s="15" cm="1" t="str">
        <f t="array" ref="P162">IF(C162="","",IF(OR(O162="",O162=0),"-",O162))</f>
        <v/>
      </c>
      <c r="Q162" s="16">
</c>
      <c r="R162" s="16" cm="1" t="str">
        <f t="array" ref="R162">IF(C162="","",ROUND(Q162/1000000,3)&amp;" M€")</f>
        <v/>
      </c>
      <c r="S162" s="12">
</c>
      <c r="T162" s="9" cm="1" t="str">
        <f t="array" ref="T162">IF(C162="","",SUBSTITUTE(S162,"","")&amp;"%")</f>
        <v/>
      </c>
      <c r="U162" s="14" cm="1" t="str">
        <f t="array" ref="U162">IF(($N162="")*($P162=""),"",IF(($N162&lt;&gt;"")*($N162&gt;TODAY()-9)*($N162&lt;TODAY()+1)*($P162&lt;&gt;"")*($P162&gt;=TODAY())*($P162&lt;=TODAY()+13),"Semaine passée &amp; à venir",IF(($N162&lt;&gt;"")*($N162&gt;TODAY()-9)*($N162&lt;TODAY()+1),"Semaine passée",IF(($P162&lt;&gt;"")*($P162&gt;=TODAY())*($P162&lt;=TODAY()+13),"À venir","Autre"))))</f>
        <v/>
      </c>
      <c r="V162" s="8" cm="1" t="n">
        <f t="array" ref="V162">IF(C162&lt;&gt;"",1,0)</f>
        <v>0</v>
      </c>
      <c r="W162" s="8">
</c>
      <c r="X162" s="8">
</c>
      <c r="Y162" s="8">
</c>
      <c r="Z162" s="8">
</c>
      <c r="AA162" s="8">
</c>
      <c r="AB162" s="8">
</c>
      <c r="AC162" s="8">
</c>
      <c r="AD162" s="8">
</c>
      <c r="AE162" s="8">
</c>
      <c r="AF162" s="8">
</c>
      <c r="AG162" s="8">
</c>
      <c r="AH162" s="8">
</c>
      <c r="AI162" s="8">
</c>
      <c r="AJ162" s="8">
</c>
      <c r="AK162" s="8">
</c>
    </row>
    <row r="163" ht="76.5" customHeight="1">
      <c r="A163" s="9">
</c>
      <c r="B163" s="9">
</c>
      <c r="C163" s="12">
</c>
      <c r="D163" s="12">
</c>
      <c r="E163" s="9">
</c>
      <c r="F163" s="8">
</c>
      <c r="G163" s="13" cm="1" t="str">
        <f t="array" ref="G163">IF(F163="","",SUBSTITUTE(SUBSTITUTE(SUBSTITUTE(SUBSTITUTE(F163,"&lt;li&gt;",CHAR(10)),"&lt;/li&gt;",""),"&lt;br&gt;",CHAR(10)),"&lt;strong&gt;",""))</f>
        <v/>
      </c>
      <c r="H163" s="13" cm="1" t="str">
        <f t="array" ref="H163">IF(G163="","",SUBSTITUTE(SUBSTITUTE(SUBSTITUTE(SUBSTITUTE(SUBSTITUTE(G163,"&lt;p&gt;",""),"&lt;/p&gt;",""),"&lt;ul&gt;",""),"&lt;/ul&gt;",""),"&lt;/strong&gt;",""))</f>
        <v/>
      </c>
      <c r="I163" s="14" cm="1" t="str">
        <f t="array" ref="I163">IF(C163="","",IF(OR(H163="",H163=0,H163=FALSE),"-",H163))</f>
        <v/>
      </c>
      <c r="J163" s="8">
</c>
      <c r="K163" s="8">
</c>
      <c r="L163" s="9" cm="1" t="str">
        <f t="array" ref="L163">IF(C163="","",IF(K163="Mort / Plus rien à faire","KO","OK"))</f>
        <v/>
      </c>
      <c r="M163" s="15">
</c>
      <c r="N163" s="15" cm="1" t="str">
        <f t="array" ref="N163">IF(OR(C163="",M163="",M163=0),"",M163)</f>
        <v/>
      </c>
      <c r="O163" s="15">
</c>
      <c r="P163" s="15" cm="1" t="str">
        <f t="array" ref="P163">IF(C163="","",IF(OR(O163="",O163=0),"-",O163))</f>
        <v/>
      </c>
      <c r="Q163" s="16">
</c>
      <c r="R163" s="16" cm="1" t="str">
        <f t="array" ref="R163">IF(C163="","",ROUND(Q163/1000000,3)&amp;" M€")</f>
        <v/>
      </c>
      <c r="S163" s="12">
</c>
      <c r="T163" s="9" cm="1" t="str">
        <f t="array" ref="T163">IF(C163="","",SUBSTITUTE(S163,"","")&amp;"%")</f>
        <v/>
      </c>
      <c r="U163" s="14" cm="1" t="str">
        <f t="array" ref="U163">IF(($N163="")*($P163=""),"",IF(($N163&lt;&gt;"")*($N163&gt;TODAY()-9)*($N163&lt;TODAY()+1)*($P163&lt;&gt;"")*($P163&gt;=TODAY())*($P163&lt;=TODAY()+13),"Semaine passée &amp; à venir",IF(($N163&lt;&gt;"")*($N163&gt;TODAY()-9)*($N163&lt;TODAY()+1),"Semaine passée",IF(($P163&lt;&gt;"")*($P163&gt;=TODAY())*($P163&lt;=TODAY()+13),"À venir","Autre"))))</f>
        <v/>
      </c>
      <c r="V163" s="8" cm="1" t="n">
        <f t="array" ref="V163">IF(C163&lt;&gt;"",1,0)</f>
        <v>0</v>
      </c>
      <c r="W163" s="8">
</c>
      <c r="X163" s="8">
</c>
      <c r="Y163" s="8">
</c>
      <c r="Z163" s="8">
</c>
      <c r="AA163" s="8">
</c>
      <c r="AB163" s="8">
</c>
      <c r="AC163" s="8">
</c>
      <c r="AD163" s="8">
</c>
      <c r="AE163" s="8">
</c>
      <c r="AF163" s="8">
</c>
      <c r="AG163" s="8">
</c>
      <c r="AH163" s="8">
</c>
      <c r="AI163" s="8">
</c>
      <c r="AJ163" s="8">
</c>
      <c r="AK163" s="8">
</c>
    </row>
    <row r="164" ht="76.5" customHeight="1">
      <c r="A164" s="9">
</c>
      <c r="B164" s="9">
</c>
      <c r="C164" s="12">
</c>
      <c r="D164" s="12">
</c>
      <c r="E164" s="9">
</c>
      <c r="F164" s="8">
</c>
      <c r="G164" s="13" cm="1" t="str">
        <f t="array" ref="G164">IF(F164="","",SUBSTITUTE(SUBSTITUTE(SUBSTITUTE(SUBSTITUTE(F164,"&lt;li&gt;",CHAR(10)),"&lt;/li&gt;",""),"&lt;br&gt;",CHAR(10)),"&lt;strong&gt;",""))</f>
        <v/>
      </c>
      <c r="H164" s="13" cm="1" t="str">
        <f t="array" ref="H164">IF(G164="","",SUBSTITUTE(SUBSTITUTE(SUBSTITUTE(SUBSTITUTE(SUBSTITUTE(G164,"&lt;p&gt;",""),"&lt;/p&gt;",""),"&lt;ul&gt;",""),"&lt;/ul&gt;",""),"&lt;/strong&gt;",""))</f>
        <v/>
      </c>
      <c r="I164" s="14" cm="1" t="str">
        <f t="array" ref="I164">IF(C164="","",IF(OR(H164="",H164=0,H164=FALSE),"-",H164))</f>
        <v/>
      </c>
      <c r="J164" s="8">
</c>
      <c r="K164" s="8">
</c>
      <c r="L164" s="9" cm="1" t="str">
        <f t="array" ref="L164">IF(C164="","",IF(K164="Mort / Plus rien à faire","KO","OK"))</f>
        <v/>
      </c>
      <c r="M164" s="15">
</c>
      <c r="N164" s="15" cm="1" t="str">
        <f t="array" ref="N164">IF(OR(C164="",M164="",M164=0),"",M164)</f>
        <v/>
      </c>
      <c r="O164" s="15">
</c>
      <c r="P164" s="15" cm="1" t="str">
        <f t="array" ref="P164">IF(C164="","",IF(OR(O164="",O164=0),"-",O164))</f>
        <v/>
      </c>
      <c r="Q164" s="16">
</c>
      <c r="R164" s="16" cm="1" t="str">
        <f t="array" ref="R164">IF(C164="","",ROUND(Q164/1000000,3)&amp;" M€")</f>
        <v/>
      </c>
      <c r="S164" s="12">
</c>
      <c r="T164" s="9" cm="1" t="str">
        <f t="array" ref="T164">IF(C164="","",SUBSTITUTE(S164,"","")&amp;"%")</f>
        <v/>
      </c>
      <c r="U164" s="14" cm="1" t="str">
        <f t="array" ref="U164">IF(($N164="")*($P164=""),"",IF(($N164&lt;&gt;"")*($N164&gt;TODAY()-9)*($N164&lt;TODAY()+1)*($P164&lt;&gt;"")*($P164&gt;=TODAY())*($P164&lt;=TODAY()+13),"Semaine passée &amp; à venir",IF(($N164&lt;&gt;"")*($N164&gt;TODAY()-9)*($N164&lt;TODAY()+1),"Semaine passée",IF(($P164&lt;&gt;"")*($P164&gt;=TODAY())*($P164&lt;=TODAY()+13),"À venir","Autre"))))</f>
        <v/>
      </c>
      <c r="V164" s="8" cm="1" t="n">
        <f t="array" ref="V164">IF(C164&lt;&gt;"",1,0)</f>
        <v>0</v>
      </c>
      <c r="W164" s="8">
</c>
      <c r="X164" s="8">
</c>
      <c r="Y164" s="8">
</c>
      <c r="Z164" s="8">
</c>
      <c r="AA164" s="8">
</c>
      <c r="AB164" s="8">
</c>
      <c r="AC164" s="8">
</c>
      <c r="AD164" s="8">
</c>
      <c r="AE164" s="8">
</c>
      <c r="AF164" s="8">
</c>
      <c r="AG164" s="8">
</c>
      <c r="AH164" s="8">
</c>
      <c r="AI164" s="8">
</c>
      <c r="AJ164" s="8">
</c>
      <c r="AK164" s="8">
</c>
    </row>
    <row r="165" ht="76.5" customHeight="1">
      <c r="A165" s="9">
</c>
      <c r="B165" s="9">
</c>
      <c r="C165" s="12">
</c>
      <c r="D165" s="12">
</c>
      <c r="E165" s="9">
</c>
      <c r="F165" s="8">
</c>
      <c r="G165" s="13" cm="1" t="str">
        <f t="array" ref="G165">IF(F165="","",SUBSTITUTE(SUBSTITUTE(SUBSTITUTE(SUBSTITUTE(F165,"&lt;li&gt;",CHAR(10)),"&lt;/li&gt;",""),"&lt;br&gt;",CHAR(10)),"&lt;strong&gt;",""))</f>
        <v/>
      </c>
      <c r="H165" s="13" cm="1" t="str">
        <f t="array" ref="H165">IF(G165="","",SUBSTITUTE(SUBSTITUTE(SUBSTITUTE(SUBSTITUTE(SUBSTITUTE(G165,"&lt;p&gt;",""),"&lt;/p&gt;",""),"&lt;ul&gt;",""),"&lt;/ul&gt;",""),"&lt;/strong&gt;",""))</f>
        <v/>
      </c>
      <c r="I165" s="14" cm="1" t="str">
        <f t="array" ref="I165">IF(C165="","",IF(OR(H165="",H165=0,H165=FALSE),"-",H165))</f>
        <v/>
      </c>
      <c r="J165" s="8">
</c>
      <c r="K165" s="8">
</c>
      <c r="L165" s="9" cm="1" t="str">
        <f t="array" ref="L165">IF(C165="","",IF(K165="Mort / Plus rien à faire","KO","OK"))</f>
        <v/>
      </c>
      <c r="M165" s="15">
</c>
      <c r="N165" s="15" cm="1" t="str">
        <f t="array" ref="N165">IF(OR(C165="",M165="",M165=0),"",M165)</f>
        <v/>
      </c>
      <c r="O165" s="15">
</c>
      <c r="P165" s="15" cm="1" t="str">
        <f t="array" ref="P165">IF(C165="","",IF(OR(O165="",O165=0),"-",O165))</f>
        <v/>
      </c>
      <c r="Q165" s="16">
</c>
      <c r="R165" s="16" cm="1" t="str">
        <f t="array" ref="R165">IF(C165="","",ROUND(Q165/1000000,3)&amp;" M€")</f>
        <v/>
      </c>
      <c r="S165" s="12">
</c>
      <c r="T165" s="9" cm="1" t="str">
        <f t="array" ref="T165">IF(C165="","",SUBSTITUTE(S165,"","")&amp;"%")</f>
        <v/>
      </c>
      <c r="U165" s="14" cm="1" t="str">
        <f t="array" ref="U165">IF(($N165="")*($P165=""),"",IF(($N165&lt;&gt;"")*($N165&gt;TODAY()-9)*($N165&lt;TODAY()+1)*($P165&lt;&gt;"")*($P165&gt;=TODAY())*($P165&lt;=TODAY()+13),"Semaine passée &amp; à venir",IF(($N165&lt;&gt;"")*($N165&gt;TODAY()-9)*($N165&lt;TODAY()+1),"Semaine passée",IF(($P165&lt;&gt;"")*($P165&gt;=TODAY())*($P165&lt;=TODAY()+13),"À venir","Autre"))))</f>
        <v/>
      </c>
      <c r="V165" s="8" cm="1" t="n">
        <f t="array" ref="V165">IF(C165&lt;&gt;"",1,0)</f>
        <v>0</v>
      </c>
      <c r="W165" s="8">
</c>
      <c r="X165" s="8">
</c>
      <c r="Y165" s="8">
</c>
      <c r="Z165" s="8">
</c>
      <c r="AA165" s="8">
</c>
      <c r="AB165" s="8">
</c>
      <c r="AC165" s="8">
</c>
      <c r="AD165" s="8">
</c>
      <c r="AE165" s="8">
</c>
      <c r="AF165" s="8">
</c>
      <c r="AG165" s="8">
</c>
      <c r="AH165" s="8">
</c>
      <c r="AI165" s="8">
</c>
      <c r="AJ165" s="8">
</c>
      <c r="AK165" s="8">
</c>
    </row>
    <row r="166" ht="76.5" customHeight="1">
      <c r="A166" s="9">
</c>
      <c r="B166" s="9">
</c>
      <c r="C166" s="12">
</c>
      <c r="D166" s="12">
</c>
      <c r="E166" s="9">
</c>
      <c r="F166" s="8">
</c>
      <c r="G166" s="13" cm="1" t="str">
        <f t="array" ref="G166">IF(F166="","",SUBSTITUTE(SUBSTITUTE(SUBSTITUTE(SUBSTITUTE(F166,"&lt;li&gt;",CHAR(10)),"&lt;/li&gt;",""),"&lt;br&gt;",CHAR(10)),"&lt;strong&gt;",""))</f>
        <v/>
      </c>
      <c r="H166" s="13" cm="1" t="str">
        <f t="array" ref="H166">IF(G166="","",SUBSTITUTE(SUBSTITUTE(SUBSTITUTE(SUBSTITUTE(SUBSTITUTE(G166,"&lt;p&gt;",""),"&lt;/p&gt;",""),"&lt;ul&gt;",""),"&lt;/ul&gt;",""),"&lt;/strong&gt;",""))</f>
        <v/>
      </c>
      <c r="I166" s="14" cm="1" t="str">
        <f t="array" ref="I166">IF(C166="","",IF(OR(H166="",H166=0,H166=FALSE),"-",H166))</f>
        <v/>
      </c>
      <c r="J166" s="8">
</c>
      <c r="K166" s="8">
</c>
      <c r="L166" s="9" cm="1" t="str">
        <f t="array" ref="L166">IF(C166="","",IF(K166="Mort / Plus rien à faire","KO","OK"))</f>
        <v/>
      </c>
      <c r="M166" s="15">
</c>
      <c r="N166" s="15" cm="1" t="str">
        <f t="array" ref="N166">IF(OR(C166="",M166="",M166=0),"",M166)</f>
        <v/>
      </c>
      <c r="O166" s="15">
</c>
      <c r="P166" s="15" cm="1" t="str">
        <f t="array" ref="P166">IF(C166="","",IF(OR(O166="",O166=0),"-",O166))</f>
        <v/>
      </c>
      <c r="Q166" s="16">
</c>
      <c r="R166" s="16" cm="1" t="str">
        <f t="array" ref="R166">IF(C166="","",ROUND(Q166/1000000,3)&amp;" M€")</f>
        <v/>
      </c>
      <c r="S166" s="12">
</c>
      <c r="T166" s="9" cm="1" t="str">
        <f t="array" ref="T166">IF(C166="","",SUBSTITUTE(S166,"","")&amp;"%")</f>
        <v/>
      </c>
      <c r="U166" s="14" cm="1" t="str">
        <f t="array" ref="U166">IF(($N166="")*($P166=""),"",IF(($N166&lt;&gt;"")*($N166&gt;TODAY()-9)*($N166&lt;TODAY()+1)*($P166&lt;&gt;"")*($P166&gt;=TODAY())*($P166&lt;=TODAY()+13),"Semaine passée &amp; à venir",IF(($N166&lt;&gt;"")*($N166&gt;TODAY()-9)*($N166&lt;TODAY()+1),"Semaine passée",IF(($P166&lt;&gt;"")*($P166&gt;=TODAY())*($P166&lt;=TODAY()+13),"À venir","Autre"))))</f>
        <v/>
      </c>
      <c r="V166" s="8" cm="1" t="n">
        <f t="array" ref="V166">IF(C166&lt;&gt;"",1,0)</f>
        <v>0</v>
      </c>
      <c r="W166" s="8">
</c>
      <c r="X166" s="8">
</c>
      <c r="Y166" s="8">
</c>
      <c r="Z166" s="8">
</c>
      <c r="AA166" s="8">
</c>
      <c r="AB166" s="8">
</c>
      <c r="AC166" s="8">
</c>
      <c r="AD166" s="8">
</c>
      <c r="AE166" s="8">
</c>
      <c r="AF166" s="8">
</c>
      <c r="AG166" s="8">
</c>
      <c r="AH166" s="8">
</c>
      <c r="AI166" s="8">
</c>
      <c r="AJ166" s="8">
</c>
      <c r="AK166" s="8">
</c>
    </row>
    <row r="167" ht="76.5" customHeight="1">
      <c r="A167" s="9">
</c>
      <c r="B167" s="9">
</c>
      <c r="C167" s="12">
</c>
      <c r="D167" s="12">
</c>
      <c r="E167" s="9">
</c>
      <c r="F167" s="8">
</c>
      <c r="G167" s="13" cm="1" t="str">
        <f t="array" ref="G167">IF(F167="","",SUBSTITUTE(SUBSTITUTE(SUBSTITUTE(SUBSTITUTE(F167,"&lt;li&gt;",CHAR(10)),"&lt;/li&gt;",""),"&lt;br&gt;",CHAR(10)),"&lt;strong&gt;",""))</f>
        <v/>
      </c>
      <c r="H167" s="13" cm="1" t="str">
        <f t="array" ref="H167">IF(G167="","",SUBSTITUTE(SUBSTITUTE(SUBSTITUTE(SUBSTITUTE(SUBSTITUTE(G167,"&lt;p&gt;",""),"&lt;/p&gt;",""),"&lt;ul&gt;",""),"&lt;/ul&gt;",""),"&lt;/strong&gt;",""))</f>
        <v/>
      </c>
      <c r="I167" s="14" cm="1" t="str">
        <f t="array" ref="I167">IF(C167="","",IF(OR(H167="",H167=0,H167=FALSE),"-",H167))</f>
        <v/>
      </c>
      <c r="J167" s="8">
</c>
      <c r="K167" s="8">
</c>
      <c r="L167" s="9" cm="1" t="str">
        <f t="array" ref="L167">IF(C167="","",IF(K167="Mort / Plus rien à faire","KO","OK"))</f>
        <v/>
      </c>
      <c r="M167" s="15">
</c>
      <c r="N167" s="15" cm="1" t="str">
        <f t="array" ref="N167">IF(OR(C167="",M167="",M167=0),"",M167)</f>
        <v/>
      </c>
      <c r="O167" s="15">
</c>
      <c r="P167" s="15" cm="1" t="str">
        <f t="array" ref="P167">IF(C167="","",IF(OR(O167="",O167=0),"-",O167))</f>
        <v/>
      </c>
      <c r="Q167" s="16">
</c>
      <c r="R167" s="16" cm="1" t="str">
        <f t="array" ref="R167">IF(C167="","",ROUND(Q167/1000000,3)&amp;" M€")</f>
        <v/>
      </c>
      <c r="S167" s="12">
</c>
      <c r="T167" s="9" cm="1" t="str">
        <f t="array" ref="T167">IF(C167="","",SUBSTITUTE(S167,"","")&amp;"%")</f>
        <v/>
      </c>
      <c r="U167" s="14" cm="1" t="str">
        <f t="array" ref="U167">IF(($N167="")*($P167=""),"",IF(($N167&lt;&gt;"")*($N167&gt;TODAY()-9)*($N167&lt;TODAY()+1)*($P167&lt;&gt;"")*($P167&gt;=TODAY())*($P167&lt;=TODAY()+13),"Semaine passée &amp; à venir",IF(($N167&lt;&gt;"")*($N167&gt;TODAY()-9)*($N167&lt;TODAY()+1),"Semaine passée",IF(($P167&lt;&gt;"")*($P167&gt;=TODAY())*($P167&lt;=TODAY()+13),"À venir","Autre"))))</f>
        <v/>
      </c>
      <c r="V167" s="8" cm="1" t="n">
        <f t="array" ref="V167">IF(C167&lt;&gt;"",1,0)</f>
        <v>0</v>
      </c>
      <c r="W167" s="8">
</c>
      <c r="X167" s="8">
</c>
      <c r="Y167" s="8">
</c>
      <c r="Z167" s="8">
</c>
      <c r="AA167" s="8">
</c>
      <c r="AB167" s="8">
</c>
      <c r="AC167" s="8">
</c>
      <c r="AD167" s="8">
</c>
      <c r="AE167" s="8">
</c>
      <c r="AF167" s="8">
</c>
      <c r="AG167" s="8">
</c>
      <c r="AH167" s="8">
</c>
      <c r="AI167" s="8">
</c>
      <c r="AJ167" s="8">
</c>
      <c r="AK167" s="8">
</c>
    </row>
    <row r="168" ht="76.5" customHeight="1">
      <c r="A168" s="9">
</c>
      <c r="B168" s="9">
</c>
      <c r="C168" s="12">
</c>
      <c r="D168" s="12">
</c>
      <c r="E168" s="9">
</c>
      <c r="F168" s="8">
</c>
      <c r="G168" s="13" cm="1" t="str">
        <f t="array" ref="G168">IF(F168="","",SUBSTITUTE(SUBSTITUTE(SUBSTITUTE(SUBSTITUTE(F168,"&lt;li&gt;",CHAR(10)),"&lt;/li&gt;",""),"&lt;br&gt;",CHAR(10)),"&lt;strong&gt;",""))</f>
        <v/>
      </c>
      <c r="H168" s="13" cm="1" t="str">
        <f t="array" ref="H168">IF(G168="","",SUBSTITUTE(SUBSTITUTE(SUBSTITUTE(SUBSTITUTE(SUBSTITUTE(G168,"&lt;p&gt;",""),"&lt;/p&gt;",""),"&lt;ul&gt;",""),"&lt;/ul&gt;",""),"&lt;/strong&gt;",""))</f>
        <v/>
      </c>
      <c r="I168" s="14" cm="1" t="str">
        <f t="array" ref="I168">IF(C168="","",IF(OR(H168="",H168=0,H168=FALSE),"-",H168))</f>
        <v/>
      </c>
      <c r="J168" s="8">
</c>
      <c r="K168" s="8">
</c>
      <c r="L168" s="9" cm="1" t="str">
        <f t="array" ref="L168">IF(C168="","",IF(K168="Mort / Plus rien à faire","KO","OK"))</f>
        <v/>
      </c>
      <c r="M168" s="15">
</c>
      <c r="N168" s="15" cm="1" t="str">
        <f t="array" ref="N168">IF(OR(C168="",M168="",M168=0),"",M168)</f>
        <v/>
      </c>
      <c r="O168" s="15">
</c>
      <c r="P168" s="15" cm="1" t="str">
        <f t="array" ref="P168">IF(C168="","",IF(OR(O168="",O168=0),"-",O168))</f>
        <v/>
      </c>
      <c r="Q168" s="16">
</c>
      <c r="R168" s="16" cm="1" t="str">
        <f t="array" ref="R168">IF(C168="","",ROUND(Q168/1000000,3)&amp;" M€")</f>
        <v/>
      </c>
      <c r="S168" s="12">
</c>
      <c r="T168" s="9" cm="1" t="str">
        <f t="array" ref="T168">IF(C168="","",SUBSTITUTE(S168,"","")&amp;"%")</f>
        <v/>
      </c>
      <c r="U168" s="14" cm="1" t="str">
        <f t="array" ref="U168">IF(($N168="")*($P168=""),"",IF(($N168&lt;&gt;"")*($N168&gt;TODAY()-9)*($N168&lt;TODAY()+1)*($P168&lt;&gt;"")*($P168&gt;=TODAY())*($P168&lt;=TODAY()+13),"Semaine passée &amp; à venir",IF(($N168&lt;&gt;"")*($N168&gt;TODAY()-9)*($N168&lt;TODAY()+1),"Semaine passée",IF(($P168&lt;&gt;"")*($P168&gt;=TODAY())*($P168&lt;=TODAY()+13),"À venir","Autre"))))</f>
        <v/>
      </c>
      <c r="V168" s="8" cm="1" t="n">
        <f t="array" ref="V168">IF(C168&lt;&gt;"",1,0)</f>
        <v>0</v>
      </c>
      <c r="W168" s="8">
</c>
      <c r="X168" s="8">
</c>
      <c r="Y168" s="8">
</c>
      <c r="Z168" s="8">
</c>
      <c r="AA168" s="8">
</c>
      <c r="AB168" s="8">
</c>
      <c r="AC168" s="8">
</c>
      <c r="AD168" s="8">
</c>
      <c r="AE168" s="8">
</c>
      <c r="AF168" s="8">
</c>
      <c r="AG168" s="8">
</c>
      <c r="AH168" s="8">
</c>
      <c r="AI168" s="8">
</c>
      <c r="AJ168" s="8">
</c>
      <c r="AK168" s="8">
</c>
    </row>
    <row r="169" ht="76.5" customHeight="1">
      <c r="A169" s="9">
</c>
      <c r="B169" s="9">
</c>
      <c r="C169" s="12">
</c>
      <c r="D169" s="12">
</c>
      <c r="E169" s="9">
</c>
      <c r="F169" s="8">
</c>
      <c r="G169" s="13" cm="1" t="str">
        <f t="array" ref="G169">IF(F169="","",SUBSTITUTE(SUBSTITUTE(SUBSTITUTE(SUBSTITUTE(F169,"&lt;li&gt;",CHAR(10)),"&lt;/li&gt;",""),"&lt;br&gt;",CHAR(10)),"&lt;strong&gt;",""))</f>
        <v/>
      </c>
      <c r="H169" s="13" cm="1" t="str">
        <f t="array" ref="H169">IF(G169="","",SUBSTITUTE(SUBSTITUTE(SUBSTITUTE(SUBSTITUTE(SUBSTITUTE(G169,"&lt;p&gt;",""),"&lt;/p&gt;",""),"&lt;ul&gt;",""),"&lt;/ul&gt;",""),"&lt;/strong&gt;",""))</f>
        <v/>
      </c>
      <c r="I169" s="14" cm="1" t="str">
        <f t="array" ref="I169">IF(C169="","",IF(OR(H169="",H169=0,H169=FALSE),"-",H169))</f>
        <v/>
      </c>
      <c r="J169" s="8">
</c>
      <c r="K169" s="8">
</c>
      <c r="L169" s="9" cm="1" t="str">
        <f t="array" ref="L169">IF(C169="","",IF(K169="Mort / Plus rien à faire","KO","OK"))</f>
        <v/>
      </c>
      <c r="M169" s="15">
</c>
      <c r="N169" s="15" cm="1" t="str">
        <f t="array" ref="N169">IF(OR(C169="",M169="",M169=0),"",M169)</f>
        <v/>
      </c>
      <c r="O169" s="15">
</c>
      <c r="P169" s="15" cm="1" t="str">
        <f t="array" ref="P169">IF(C169="","",IF(OR(O169="",O169=0),"-",O169))</f>
        <v/>
      </c>
      <c r="Q169" s="16">
</c>
      <c r="R169" s="16" cm="1" t="str">
        <f t="array" ref="R169">IF(C169="","",ROUND(Q169/1000000,3)&amp;" M€")</f>
        <v/>
      </c>
      <c r="S169" s="12">
</c>
      <c r="T169" s="9" cm="1" t="str">
        <f t="array" ref="T169">IF(C169="","",SUBSTITUTE(S169,"","")&amp;"%")</f>
        <v/>
      </c>
      <c r="U169" s="14" cm="1" t="str">
        <f t="array" ref="U169">IF(($N169="")*($P169=""),"",IF(($N169&lt;&gt;"")*($N169&gt;TODAY()-9)*($N169&lt;TODAY()+1)*($P169&lt;&gt;"")*($P169&gt;=TODAY())*($P169&lt;=TODAY()+13),"Semaine passée &amp; à venir",IF(($N169&lt;&gt;"")*($N169&gt;TODAY()-9)*($N169&lt;TODAY()+1),"Semaine passée",IF(($P169&lt;&gt;"")*($P169&gt;=TODAY())*($P169&lt;=TODAY()+13),"À venir","Autre"))))</f>
        <v/>
      </c>
      <c r="V169" s="8" cm="1" t="n">
        <f t="array" ref="V169">IF(C169&lt;&gt;"",1,0)</f>
        <v>0</v>
      </c>
      <c r="W169" s="8">
</c>
      <c r="X169" s="8">
</c>
      <c r="Y169" s="8">
</c>
      <c r="Z169" s="8">
</c>
      <c r="AA169" s="8">
</c>
      <c r="AB169" s="8">
</c>
      <c r="AC169" s="8">
</c>
      <c r="AD169" s="8">
</c>
      <c r="AE169" s="8">
</c>
      <c r="AF169" s="8">
</c>
      <c r="AG169" s="8">
</c>
      <c r="AH169" s="8">
</c>
      <c r="AI169" s="8">
</c>
      <c r="AJ169" s="8">
</c>
      <c r="AK169" s="8">
</c>
    </row>
    <row r="170" ht="76.5" customHeight="1">
      <c r="A170" s="9">
</c>
      <c r="B170" s="9">
</c>
      <c r="C170" s="12">
</c>
      <c r="D170" s="12">
</c>
      <c r="E170" s="9">
</c>
      <c r="F170" s="8">
</c>
      <c r="G170" s="13" cm="1" t="str">
        <f t="array" ref="G170">IF(F170="","",SUBSTITUTE(SUBSTITUTE(SUBSTITUTE(SUBSTITUTE(F170,"&lt;li&gt;",CHAR(10)),"&lt;/li&gt;",""),"&lt;br&gt;",CHAR(10)),"&lt;strong&gt;",""))</f>
        <v/>
      </c>
      <c r="H170" s="13" cm="1" t="str">
        <f t="array" ref="H170">IF(G170="","",SUBSTITUTE(SUBSTITUTE(SUBSTITUTE(SUBSTITUTE(SUBSTITUTE(G170,"&lt;p&gt;",""),"&lt;/p&gt;",""),"&lt;ul&gt;",""),"&lt;/ul&gt;",""),"&lt;/strong&gt;",""))</f>
        <v/>
      </c>
      <c r="I170" s="14" cm="1" t="str">
        <f t="array" ref="I170">IF(C170="","",IF(OR(H170="",H170=0,H170=FALSE),"-",H170))</f>
        <v/>
      </c>
      <c r="J170" s="8">
</c>
      <c r="K170" s="8">
</c>
      <c r="L170" s="9" cm="1" t="str">
        <f t="array" ref="L170">IF(C170="","",IF(K170="Mort / Plus rien à faire","KO","OK"))</f>
        <v/>
      </c>
      <c r="M170" s="15">
</c>
      <c r="N170" s="15" cm="1" t="str">
        <f t="array" ref="N170">IF(OR(C170="",M170="",M170=0),"",M170)</f>
        <v/>
      </c>
      <c r="O170" s="15">
</c>
      <c r="P170" s="15" cm="1" t="str">
        <f t="array" ref="P170">IF(C170="","",IF(OR(O170="",O170=0),"-",O170))</f>
        <v/>
      </c>
      <c r="Q170" s="16">
</c>
      <c r="R170" s="16" cm="1" t="str">
        <f t="array" ref="R170">IF(C170="","",ROUND(Q170/1000000,3)&amp;" M€")</f>
        <v/>
      </c>
      <c r="S170" s="12">
</c>
      <c r="T170" s="9" cm="1" t="str">
        <f t="array" ref="T170">IF(C170="","",SUBSTITUTE(S170,"","")&amp;"%")</f>
        <v/>
      </c>
      <c r="U170" s="14" cm="1" t="str">
        <f t="array" ref="U170">IF(($N170="")*($P170=""),"",IF(($N170&lt;&gt;"")*($N170&gt;TODAY()-9)*($N170&lt;TODAY()+1)*($P170&lt;&gt;"")*($P170&gt;=TODAY())*($P170&lt;=TODAY()+13),"Semaine passée &amp; à venir",IF(($N170&lt;&gt;"")*($N170&gt;TODAY()-9)*($N170&lt;TODAY()+1),"Semaine passée",IF(($P170&lt;&gt;"")*($P170&gt;=TODAY())*($P170&lt;=TODAY()+13),"À venir","Autre"))))</f>
        <v/>
      </c>
      <c r="V170" s="8" cm="1" t="n">
        <f t="array" ref="V170">IF(C170&lt;&gt;"",1,0)</f>
        <v>0</v>
      </c>
      <c r="W170" s="8">
</c>
      <c r="X170" s="8">
</c>
      <c r="Y170" s="8">
</c>
      <c r="Z170" s="8">
</c>
      <c r="AA170" s="8">
</c>
      <c r="AB170" s="8">
</c>
      <c r="AC170" s="8">
</c>
      <c r="AD170" s="8">
</c>
      <c r="AE170" s="8">
</c>
      <c r="AF170" s="8">
</c>
      <c r="AG170" s="8">
</c>
      <c r="AH170" s="8">
</c>
      <c r="AI170" s="8">
</c>
      <c r="AJ170" s="8">
</c>
      <c r="AK170" s="8">
</c>
    </row>
    <row r="171" ht="76.5" customHeight="1">
      <c r="A171" s="9">
</c>
      <c r="B171" s="9">
</c>
      <c r="C171" s="12">
</c>
      <c r="D171" s="12">
</c>
      <c r="E171" s="9">
</c>
      <c r="F171" s="8">
</c>
      <c r="G171" s="13" cm="1" t="str">
        <f t="array" ref="G171">IF(F171="","",SUBSTITUTE(SUBSTITUTE(SUBSTITUTE(SUBSTITUTE(F171,"&lt;li&gt;",CHAR(10)),"&lt;/li&gt;",""),"&lt;br&gt;",CHAR(10)),"&lt;strong&gt;",""))</f>
        <v/>
      </c>
      <c r="H171" s="13" cm="1" t="str">
        <f t="array" ref="H171">IF(G171="","",SUBSTITUTE(SUBSTITUTE(SUBSTITUTE(SUBSTITUTE(SUBSTITUTE(G171,"&lt;p&gt;",""),"&lt;/p&gt;",""),"&lt;ul&gt;",""),"&lt;/ul&gt;",""),"&lt;/strong&gt;",""))</f>
        <v/>
      </c>
      <c r="I171" s="14" cm="1" t="str">
        <f t="array" ref="I171">IF(C171="","",IF(OR(H171="",H171=0,H171=FALSE),"-",H171))</f>
        <v/>
      </c>
      <c r="J171" s="8">
</c>
      <c r="K171" s="8">
</c>
      <c r="L171" s="9" cm="1" t="str">
        <f t="array" ref="L171">IF(C171="","",IF(K171="Mort / Plus rien à faire","KO","OK"))</f>
        <v/>
      </c>
      <c r="M171" s="15">
</c>
      <c r="N171" s="15" cm="1" t="str">
        <f t="array" ref="N171">IF(OR(C171="",M171="",M171=0),"",M171)</f>
        <v/>
      </c>
      <c r="O171" s="15">
</c>
      <c r="P171" s="15" cm="1" t="str">
        <f t="array" ref="P171">IF(C171="","",IF(OR(O171="",O171=0),"-",O171))</f>
        <v/>
      </c>
      <c r="Q171" s="16">
</c>
      <c r="R171" s="16" cm="1" t="str">
        <f t="array" ref="R171">IF(C171="","",ROUND(Q171/1000000,3)&amp;" M€")</f>
        <v/>
      </c>
      <c r="S171" s="12">
</c>
      <c r="T171" s="9" cm="1" t="str">
        <f t="array" ref="T171">IF(C171="","",SUBSTITUTE(S171,"","")&amp;"%")</f>
        <v/>
      </c>
      <c r="U171" s="14" cm="1" t="str">
        <f t="array" ref="U171">IF(($N171="")*($P171=""),"",IF(($N171&lt;&gt;"")*($N171&gt;TODAY()-9)*($N171&lt;TODAY()+1)*($P171&lt;&gt;"")*($P171&gt;=TODAY())*($P171&lt;=TODAY()+13),"Semaine passée &amp; à venir",IF(($N171&lt;&gt;"")*($N171&gt;TODAY()-9)*($N171&lt;TODAY()+1),"Semaine passée",IF(($P171&lt;&gt;"")*($P171&gt;=TODAY())*($P171&lt;=TODAY()+13),"À venir","Autre"))))</f>
        <v/>
      </c>
      <c r="V171" s="8" cm="1" t="n">
        <f t="array" ref="V171">IF(C171&lt;&gt;"",1,0)</f>
        <v>0</v>
      </c>
      <c r="W171" s="8">
</c>
      <c r="X171" s="8">
</c>
      <c r="Y171" s="8">
</c>
      <c r="Z171" s="8">
</c>
      <c r="AA171" s="8">
</c>
      <c r="AB171" s="8">
</c>
      <c r="AC171" s="8">
</c>
      <c r="AD171" s="8">
</c>
      <c r="AE171" s="8">
</c>
      <c r="AF171" s="8">
</c>
      <c r="AG171" s="8">
</c>
      <c r="AH171" s="8">
</c>
      <c r="AI171" s="8">
</c>
      <c r="AJ171" s="8">
</c>
      <c r="AK171" s="8">
</c>
    </row>
    <row r="172" ht="76.5" customHeight="1">
      <c r="A172" s="9">
</c>
      <c r="B172" s="9">
</c>
      <c r="C172" s="12">
</c>
      <c r="D172" s="12">
</c>
      <c r="E172" s="9">
</c>
      <c r="F172" s="8">
</c>
      <c r="G172" s="13" cm="1" t="str">
        <f t="array" ref="G172">IF(F172="","",SUBSTITUTE(SUBSTITUTE(SUBSTITUTE(SUBSTITUTE(F172,"&lt;li&gt;",CHAR(10)),"&lt;/li&gt;",""),"&lt;br&gt;",CHAR(10)),"&lt;strong&gt;",""))</f>
        <v/>
      </c>
      <c r="H172" s="13" cm="1" t="str">
        <f t="array" ref="H172">IF(G172="","",SUBSTITUTE(SUBSTITUTE(SUBSTITUTE(SUBSTITUTE(SUBSTITUTE(G172,"&lt;p&gt;",""),"&lt;/p&gt;",""),"&lt;ul&gt;",""),"&lt;/ul&gt;",""),"&lt;/strong&gt;",""))</f>
        <v/>
      </c>
      <c r="I172" s="14" cm="1" t="str">
        <f t="array" ref="I172">IF(C172="","",IF(OR(H172="",H172=0,H172=FALSE),"-",H172))</f>
        <v/>
      </c>
      <c r="J172" s="8">
</c>
      <c r="K172" s="8">
</c>
      <c r="L172" s="9" cm="1" t="str">
        <f t="array" ref="L172">IF(C172="","",IF(K172="Mort / Plus rien à faire","KO","OK"))</f>
        <v/>
      </c>
      <c r="M172" s="15">
</c>
      <c r="N172" s="15" cm="1" t="str">
        <f t="array" ref="N172">IF(OR(C172="",M172="",M172=0),"",M172)</f>
        <v/>
      </c>
      <c r="O172" s="15">
</c>
      <c r="P172" s="15" cm="1" t="str">
        <f t="array" ref="P172">IF(C172="","",IF(OR(O172="",O172=0),"-",O172))</f>
        <v/>
      </c>
      <c r="Q172" s="16">
</c>
      <c r="R172" s="16" cm="1" t="str">
        <f t="array" ref="R172">IF(C172="","",ROUND(Q172/1000000,3)&amp;" M€")</f>
        <v/>
      </c>
      <c r="S172" s="12">
</c>
      <c r="T172" s="9" cm="1" t="str">
        <f t="array" ref="T172">IF(C172="","",SUBSTITUTE(S172,"","")&amp;"%")</f>
        <v/>
      </c>
      <c r="U172" s="14" cm="1" t="str">
        <f t="array" ref="U172">IF(($N172="")*($P172=""),"",IF(($N172&lt;&gt;"")*($N172&gt;TODAY()-9)*($N172&lt;TODAY()+1)*($P172&lt;&gt;"")*($P172&gt;=TODAY())*($P172&lt;=TODAY()+13),"Semaine passée &amp; à venir",IF(($N172&lt;&gt;"")*($N172&gt;TODAY()-9)*($N172&lt;TODAY()+1),"Semaine passée",IF(($P172&lt;&gt;"")*($P172&gt;=TODAY())*($P172&lt;=TODAY()+13),"À venir","Autre"))))</f>
        <v/>
      </c>
      <c r="V172" s="8" cm="1" t="n">
        <f t="array" ref="V172">IF(C172&lt;&gt;"",1,0)</f>
        <v>0</v>
      </c>
      <c r="W172" s="8">
</c>
      <c r="X172" s="8">
</c>
      <c r="Y172" s="8">
</c>
      <c r="Z172" s="8">
</c>
      <c r="AA172" s="8">
</c>
      <c r="AB172" s="8">
</c>
      <c r="AC172" s="8">
</c>
      <c r="AD172" s="8">
</c>
      <c r="AE172" s="8">
</c>
      <c r="AF172" s="8">
</c>
      <c r="AG172" s="8">
</c>
      <c r="AH172" s="8">
</c>
      <c r="AI172" s="8">
</c>
      <c r="AJ172" s="8">
</c>
      <c r="AK172" s="8">
</c>
    </row>
    <row r="173" ht="76.5" customHeight="1">
      <c r="A173" s="9">
</c>
      <c r="B173" s="9">
</c>
      <c r="C173" s="12">
</c>
      <c r="D173" s="12">
</c>
      <c r="E173" s="9">
</c>
      <c r="F173" s="8">
</c>
      <c r="G173" s="13" cm="1" t="str">
        <f t="array" ref="G173">IF(F173="","",SUBSTITUTE(SUBSTITUTE(SUBSTITUTE(SUBSTITUTE(F173,"&lt;li&gt;",CHAR(10)),"&lt;/li&gt;",""),"&lt;br&gt;",CHAR(10)),"&lt;strong&gt;",""))</f>
        <v/>
      </c>
      <c r="H173" s="13" cm="1" t="str">
        <f t="array" ref="H173">IF(G173="","",SUBSTITUTE(SUBSTITUTE(SUBSTITUTE(SUBSTITUTE(SUBSTITUTE(G173,"&lt;p&gt;",""),"&lt;/p&gt;",""),"&lt;ul&gt;",""),"&lt;/ul&gt;",""),"&lt;/strong&gt;",""))</f>
        <v/>
      </c>
      <c r="I173" s="14" cm="1" t="str">
        <f t="array" ref="I173">IF(C173="","",IF(OR(H173="",H173=0,H173=FALSE),"-",H173))</f>
        <v/>
      </c>
      <c r="J173" s="8">
</c>
      <c r="K173" s="8">
</c>
      <c r="L173" s="9" cm="1" t="str">
        <f t="array" ref="L173">IF(C173="","",IF(K173="Mort / Plus rien à faire","KO","OK"))</f>
        <v/>
      </c>
      <c r="M173" s="15">
</c>
      <c r="N173" s="15" cm="1" t="str">
        <f t="array" ref="N173">IF(OR(C173="",M173="",M173=0),"",M173)</f>
        <v/>
      </c>
      <c r="O173" s="15">
</c>
      <c r="P173" s="15" cm="1" t="str">
        <f t="array" ref="P173">IF(C173="","",IF(OR(O173="",O173=0),"-",O173))</f>
        <v/>
      </c>
      <c r="Q173" s="16">
</c>
      <c r="R173" s="16" cm="1" t="str">
        <f t="array" ref="R173">IF(C173="","",ROUND(Q173/1000000,3)&amp;" M€")</f>
        <v/>
      </c>
      <c r="S173" s="12">
</c>
      <c r="T173" s="9" cm="1" t="str">
        <f t="array" ref="T173">IF(C173="","",SUBSTITUTE(S173,"","")&amp;"%")</f>
        <v/>
      </c>
      <c r="U173" s="14" cm="1" t="str">
        <f t="array" ref="U173">IF(($N173="")*($P173=""),"",IF(($N173&lt;&gt;"")*($N173&gt;TODAY()-9)*($N173&lt;TODAY()+1)*($P173&lt;&gt;"")*($P173&gt;=TODAY())*($P173&lt;=TODAY()+13),"Semaine passée &amp; à venir",IF(($N173&lt;&gt;"")*($N173&gt;TODAY()-9)*($N173&lt;TODAY()+1),"Semaine passée",IF(($P173&lt;&gt;"")*($P173&gt;=TODAY())*($P173&lt;=TODAY()+13),"À venir","Autre"))))</f>
        <v/>
      </c>
      <c r="V173" s="8" cm="1" t="n">
        <f t="array" ref="V173">IF(C173&lt;&gt;"",1,0)</f>
        <v>0</v>
      </c>
      <c r="W173" s="8">
</c>
      <c r="X173" s="8">
</c>
      <c r="Y173" s="8">
</c>
      <c r="Z173" s="8">
</c>
      <c r="AA173" s="8">
</c>
      <c r="AB173" s="8">
</c>
      <c r="AC173" s="8">
</c>
      <c r="AD173" s="8">
</c>
      <c r="AE173" s="8">
</c>
      <c r="AF173" s="8">
</c>
      <c r="AG173" s="8">
</c>
      <c r="AH173" s="8">
</c>
      <c r="AI173" s="8">
</c>
      <c r="AJ173" s="8">
</c>
      <c r="AK173" s="8">
</c>
    </row>
    <row r="174" ht="76.5" customHeight="1">
      <c r="A174" s="9">
</c>
      <c r="B174" s="9">
</c>
      <c r="C174" s="12">
</c>
      <c r="D174" s="12">
</c>
      <c r="E174" s="9">
</c>
      <c r="F174" s="8">
</c>
      <c r="G174" s="13" cm="1" t="str">
        <f t="array" ref="G174">IF(F174="","",SUBSTITUTE(SUBSTITUTE(SUBSTITUTE(SUBSTITUTE(F174,"&lt;li&gt;",CHAR(10)),"&lt;/li&gt;",""),"&lt;br&gt;",CHAR(10)),"&lt;strong&gt;",""))</f>
        <v/>
      </c>
      <c r="H174" s="13" cm="1" t="str">
        <f t="array" ref="H174">IF(G174="","",SUBSTITUTE(SUBSTITUTE(SUBSTITUTE(SUBSTITUTE(SUBSTITUTE(G174,"&lt;p&gt;",""),"&lt;/p&gt;",""),"&lt;ul&gt;",""),"&lt;/ul&gt;",""),"&lt;/strong&gt;",""))</f>
        <v/>
      </c>
      <c r="I174" s="14" cm="1" t="str">
        <f t="array" ref="I174">IF(C174="","",IF(OR(H174="",H174=0,H174=FALSE),"-",H174))</f>
        <v/>
      </c>
      <c r="J174" s="8">
</c>
      <c r="K174" s="8">
</c>
      <c r="L174" s="9" cm="1" t="str">
        <f t="array" ref="L174">IF(C174="","",IF(K174="Mort / Plus rien à faire","KO","OK"))</f>
        <v/>
      </c>
      <c r="M174" s="15">
</c>
      <c r="N174" s="15" cm="1" t="str">
        <f t="array" ref="N174">IF(OR(C174="",M174="",M174=0),"",M174)</f>
        <v/>
      </c>
      <c r="O174" s="15">
</c>
      <c r="P174" s="15" cm="1" t="str">
        <f t="array" ref="P174">IF(C174="","",IF(OR(O174="",O174=0),"-",O174))</f>
        <v/>
      </c>
      <c r="Q174" s="16">
</c>
      <c r="R174" s="16" cm="1" t="str">
        <f t="array" ref="R174">IF(C174="","",ROUND(Q174/1000000,3)&amp;" M€")</f>
        <v/>
      </c>
      <c r="S174" s="12">
</c>
      <c r="T174" s="9" cm="1" t="str">
        <f t="array" ref="T174">IF(C174="","",SUBSTITUTE(S174,"","")&amp;"%")</f>
        <v/>
      </c>
      <c r="U174" s="14" cm="1" t="str">
        <f t="array" ref="U174">IF(($N174="")*($P174=""),"",IF(($N174&lt;&gt;"")*($N174&gt;TODAY()-9)*($N174&lt;TODAY()+1)*($P174&lt;&gt;"")*($P174&gt;=TODAY())*($P174&lt;=TODAY()+13),"Semaine passée &amp; à venir",IF(($N174&lt;&gt;"")*($N174&gt;TODAY()-9)*($N174&lt;TODAY()+1),"Semaine passée",IF(($P174&lt;&gt;"")*($P174&gt;=TODAY())*($P174&lt;=TODAY()+13),"À venir","Autre"))))</f>
        <v/>
      </c>
      <c r="V174" s="8" cm="1" t="n">
        <f t="array" ref="V174">IF(C174&lt;&gt;"",1,0)</f>
        <v>0</v>
      </c>
      <c r="W174" s="8">
</c>
      <c r="X174" s="8">
</c>
      <c r="Y174" s="8">
</c>
      <c r="Z174" s="8">
</c>
      <c r="AA174" s="8">
</c>
      <c r="AB174" s="8">
</c>
      <c r="AC174" s="8">
</c>
      <c r="AD174" s="8">
</c>
      <c r="AE174" s="8">
</c>
      <c r="AF174" s="8">
</c>
      <c r="AG174" s="8">
</c>
      <c r="AH174" s="8">
</c>
      <c r="AI174" s="8">
</c>
      <c r="AJ174" s="8">
</c>
      <c r="AK174" s="8">
</c>
    </row>
    <row r="175" ht="76.5" customHeight="1">
      <c r="A175" s="9">
</c>
      <c r="B175" s="9">
</c>
      <c r="C175" s="12">
</c>
      <c r="D175" s="12">
</c>
      <c r="E175" s="9">
</c>
      <c r="F175" s="8">
</c>
      <c r="G175" s="13" cm="1" t="str">
        <f t="array" ref="G175">IF(F175="","",SUBSTITUTE(SUBSTITUTE(SUBSTITUTE(SUBSTITUTE(F175,"&lt;li&gt;",CHAR(10)),"&lt;/li&gt;",""),"&lt;br&gt;",CHAR(10)),"&lt;strong&gt;",""))</f>
        <v/>
      </c>
      <c r="H175" s="13" cm="1" t="str">
        <f t="array" ref="H175">IF(G175="","",SUBSTITUTE(SUBSTITUTE(SUBSTITUTE(SUBSTITUTE(SUBSTITUTE(G175,"&lt;p&gt;",""),"&lt;/p&gt;",""),"&lt;ul&gt;",""),"&lt;/ul&gt;",""),"&lt;/strong&gt;",""))</f>
        <v/>
      </c>
      <c r="I175" s="14" cm="1" t="str">
        <f t="array" ref="I175">IF(C175="","",IF(OR(H175="",H175=0,H175=FALSE),"-",H175))</f>
        <v/>
      </c>
      <c r="J175" s="8">
</c>
      <c r="K175" s="8">
</c>
      <c r="L175" s="9" cm="1" t="str">
        <f t="array" ref="L175">IF(C175="","",IF(K175="Mort / Plus rien à faire","KO","OK"))</f>
        <v/>
      </c>
      <c r="M175" s="15">
</c>
      <c r="N175" s="15" cm="1" t="str">
        <f t="array" ref="N175">IF(OR(C175="",M175="",M175=0),"",M175)</f>
        <v/>
      </c>
      <c r="O175" s="15">
</c>
      <c r="P175" s="15" cm="1" t="str">
        <f t="array" ref="P175">IF(C175="","",IF(OR(O175="",O175=0),"-",O175))</f>
        <v/>
      </c>
      <c r="Q175" s="16">
</c>
      <c r="R175" s="16" cm="1" t="str">
        <f t="array" ref="R175">IF(C175="","",ROUND(Q175/1000000,3)&amp;" M€")</f>
        <v/>
      </c>
      <c r="S175" s="12">
</c>
      <c r="T175" s="9" cm="1" t="str">
        <f t="array" ref="T175">IF(C175="","",SUBSTITUTE(S175,"","")&amp;"%")</f>
        <v/>
      </c>
      <c r="U175" s="14" cm="1" t="str">
        <f t="array" ref="U175">IF(($N175="")*($P175=""),"",IF(($N175&lt;&gt;"")*($N175&gt;TODAY()-9)*($N175&lt;TODAY()+1)*($P175&lt;&gt;"")*($P175&gt;=TODAY())*($P175&lt;=TODAY()+13),"Semaine passée &amp; à venir",IF(($N175&lt;&gt;"")*($N175&gt;TODAY()-9)*($N175&lt;TODAY()+1),"Semaine passée",IF(($P175&lt;&gt;"")*($P175&gt;=TODAY())*($P175&lt;=TODAY()+13),"À venir","Autre"))))</f>
        <v/>
      </c>
      <c r="V175" s="8" cm="1" t="n">
        <f t="array" ref="V175">IF(C175&lt;&gt;"",1,0)</f>
        <v>0</v>
      </c>
      <c r="W175" s="8">
</c>
      <c r="X175" s="8">
</c>
      <c r="Y175" s="8">
</c>
      <c r="Z175" s="8">
</c>
      <c r="AA175" s="8">
</c>
      <c r="AB175" s="8">
</c>
      <c r="AC175" s="8">
</c>
      <c r="AD175" s="8">
</c>
      <c r="AE175" s="8">
</c>
      <c r="AF175" s="8">
</c>
      <c r="AG175" s="8">
</c>
      <c r="AH175" s="8">
</c>
      <c r="AI175" s="8">
</c>
      <c r="AJ175" s="8">
</c>
      <c r="AK175" s="8">
</c>
    </row>
    <row r="176" ht="76.5" customHeight="1">
      <c r="A176" s="9">
</c>
      <c r="B176" s="9">
</c>
      <c r="C176" s="12">
</c>
      <c r="D176" s="12">
</c>
      <c r="E176" s="9">
</c>
      <c r="F176" s="8">
</c>
      <c r="G176" s="13" cm="1" t="str">
        <f t="array" ref="G176">IF(F176="","",SUBSTITUTE(SUBSTITUTE(SUBSTITUTE(SUBSTITUTE(F176,"&lt;li&gt;",CHAR(10)),"&lt;/li&gt;",""),"&lt;br&gt;",CHAR(10)),"&lt;strong&gt;",""))</f>
        <v/>
      </c>
      <c r="H176" s="13" cm="1" t="str">
        <f t="array" ref="H176">IF(G176="","",SUBSTITUTE(SUBSTITUTE(SUBSTITUTE(SUBSTITUTE(SUBSTITUTE(G176,"&lt;p&gt;",""),"&lt;/p&gt;",""),"&lt;ul&gt;",""),"&lt;/ul&gt;",""),"&lt;/strong&gt;",""))</f>
        <v/>
      </c>
      <c r="I176" s="14" cm="1" t="str">
        <f t="array" ref="I176">IF(C176="","",IF(OR(H176="",H176=0,H176=FALSE),"-",H176))</f>
        <v/>
      </c>
      <c r="J176" s="8">
</c>
      <c r="K176" s="8">
</c>
      <c r="L176" s="9" cm="1" t="str">
        <f t="array" ref="L176">IF(C176="","",IF(K176="Mort / Plus rien à faire","KO","OK"))</f>
        <v/>
      </c>
      <c r="M176" s="15">
</c>
      <c r="N176" s="15" cm="1" t="str">
        <f t="array" ref="N176">IF(OR(C176="",M176="",M176=0),"",M176)</f>
        <v/>
      </c>
      <c r="O176" s="15">
</c>
      <c r="P176" s="15" cm="1" t="str">
        <f t="array" ref="P176">IF(C176="","",IF(OR(O176="",O176=0),"-",O176))</f>
        <v/>
      </c>
      <c r="Q176" s="16">
</c>
      <c r="R176" s="16" cm="1" t="str">
        <f t="array" ref="R176">IF(C176="","",ROUND(Q176/1000000,3)&amp;" M€")</f>
        <v/>
      </c>
      <c r="S176" s="12">
</c>
      <c r="T176" s="9" cm="1" t="str">
        <f t="array" ref="T176">IF(C176="","",SUBSTITUTE(S176,"","")&amp;"%")</f>
        <v/>
      </c>
      <c r="U176" s="14" cm="1" t="str">
        <f t="array" ref="U176">IF(($N176="")*($P176=""),"",IF(($N176&lt;&gt;"")*($N176&gt;TODAY()-9)*($N176&lt;TODAY()+1)*($P176&lt;&gt;"")*($P176&gt;=TODAY())*($P176&lt;=TODAY()+13),"Semaine passée &amp; à venir",IF(($N176&lt;&gt;"")*($N176&gt;TODAY()-9)*($N176&lt;TODAY()+1),"Semaine passée",IF(($P176&lt;&gt;"")*($P176&gt;=TODAY())*($P176&lt;=TODAY()+13),"À venir","Autre"))))</f>
        <v/>
      </c>
      <c r="V176" s="8" cm="1" t="n">
        <f t="array" ref="V176">IF(C176&lt;&gt;"",1,0)</f>
        <v>0</v>
      </c>
      <c r="W176" s="8">
</c>
      <c r="X176" s="8">
</c>
      <c r="Y176" s="8">
</c>
      <c r="Z176" s="8">
</c>
      <c r="AA176" s="8">
</c>
      <c r="AB176" s="8">
</c>
      <c r="AC176" s="8">
</c>
      <c r="AD176" s="8">
</c>
      <c r="AE176" s="8">
</c>
      <c r="AF176" s="8">
</c>
      <c r="AG176" s="8">
</c>
      <c r="AH176" s="8">
</c>
      <c r="AI176" s="8">
</c>
      <c r="AJ176" s="8">
</c>
      <c r="AK176" s="8">
</c>
    </row>
    <row r="177" ht="76.5" customHeight="1">
      <c r="A177" s="9">
</c>
      <c r="B177" s="9">
</c>
      <c r="C177" s="12">
</c>
      <c r="D177" s="12">
</c>
      <c r="E177" s="9">
</c>
      <c r="F177" s="8">
</c>
      <c r="G177" s="13" cm="1" t="str">
        <f t="array" ref="G177">IF(F177="","",SUBSTITUTE(SUBSTITUTE(SUBSTITUTE(SUBSTITUTE(F177,"&lt;li&gt;",CHAR(10)),"&lt;/li&gt;",""),"&lt;br&gt;",CHAR(10)),"&lt;strong&gt;",""))</f>
        <v/>
      </c>
      <c r="H177" s="13" cm="1" t="str">
        <f t="array" ref="H177">IF(G177="","",SUBSTITUTE(SUBSTITUTE(SUBSTITUTE(SUBSTITUTE(SUBSTITUTE(G177,"&lt;p&gt;",""),"&lt;/p&gt;",""),"&lt;ul&gt;",""),"&lt;/ul&gt;",""),"&lt;/strong&gt;",""))</f>
        <v/>
      </c>
      <c r="I177" s="14" cm="1" t="str">
        <f t="array" ref="I177">IF(C177="","",IF(OR(H177="",H177=0,H177=FALSE),"-",H177))</f>
        <v/>
      </c>
      <c r="J177" s="8">
</c>
      <c r="K177" s="8">
</c>
      <c r="L177" s="9" cm="1" t="str">
        <f t="array" ref="L177">IF(C177="","",IF(K177="Mort / Plus rien à faire","KO","OK"))</f>
        <v/>
      </c>
      <c r="M177" s="15">
</c>
      <c r="N177" s="15" cm="1" t="str">
        <f t="array" ref="N177">IF(OR(C177="",M177="",M177=0),"",M177)</f>
        <v/>
      </c>
      <c r="O177" s="15">
</c>
      <c r="P177" s="15" cm="1" t="str">
        <f t="array" ref="P177">IF(C177="","",IF(OR(O177="",O177=0),"-",O177))</f>
        <v/>
      </c>
      <c r="Q177" s="16">
</c>
      <c r="R177" s="16" cm="1" t="str">
        <f t="array" ref="R177">IF(C177="","",ROUND(Q177/1000000,3)&amp;" M€")</f>
        <v/>
      </c>
      <c r="S177" s="12">
</c>
      <c r="T177" s="9" cm="1" t="str">
        <f t="array" ref="T177">IF(C177="","",SUBSTITUTE(S177,"","")&amp;"%")</f>
        <v/>
      </c>
      <c r="U177" s="14" cm="1" t="str">
        <f t="array" ref="U177">IF(($N177="")*($P177=""),"",IF(($N177&lt;&gt;"")*($N177&gt;TODAY()-9)*($N177&lt;TODAY()+1)*($P177&lt;&gt;"")*($P177&gt;=TODAY())*($P177&lt;=TODAY()+13),"Semaine passée &amp; à venir",IF(($N177&lt;&gt;"")*($N177&gt;TODAY()-9)*($N177&lt;TODAY()+1),"Semaine passée",IF(($P177&lt;&gt;"")*($P177&gt;=TODAY())*($P177&lt;=TODAY()+13),"À venir","Autre"))))</f>
        <v/>
      </c>
      <c r="V177" s="8" cm="1" t="n">
        <f t="array" ref="V177">IF(C177&lt;&gt;"",1,0)</f>
        <v>0</v>
      </c>
      <c r="W177" s="8">
</c>
      <c r="X177" s="8">
</c>
      <c r="Y177" s="8">
</c>
      <c r="Z177" s="8">
</c>
      <c r="AA177" s="8">
</c>
      <c r="AB177" s="8">
</c>
      <c r="AC177" s="8">
</c>
      <c r="AD177" s="8">
</c>
      <c r="AE177" s="8">
</c>
      <c r="AF177" s="8">
</c>
      <c r="AG177" s="8">
</c>
      <c r="AH177" s="8">
</c>
      <c r="AI177" s="8">
</c>
      <c r="AJ177" s="8">
</c>
      <c r="AK177" s="8">
</c>
    </row>
    <row r="178" ht="76.5" customHeight="1">
      <c r="A178" s="9">
</c>
      <c r="B178" s="9">
</c>
      <c r="C178" s="12">
</c>
      <c r="D178" s="12">
</c>
      <c r="E178" s="9">
</c>
      <c r="F178" s="8">
</c>
      <c r="G178" s="13" cm="1" t="str">
        <f t="array" ref="G178">IF(F178="","",SUBSTITUTE(SUBSTITUTE(SUBSTITUTE(SUBSTITUTE(F178,"&lt;li&gt;",CHAR(10)),"&lt;/li&gt;",""),"&lt;br&gt;",CHAR(10)),"&lt;strong&gt;",""))</f>
        <v/>
      </c>
      <c r="H178" s="13" cm="1" t="str">
        <f t="array" ref="H178">IF(G178="","",SUBSTITUTE(SUBSTITUTE(SUBSTITUTE(SUBSTITUTE(SUBSTITUTE(G178,"&lt;p&gt;",""),"&lt;/p&gt;",""),"&lt;ul&gt;",""),"&lt;/ul&gt;",""),"&lt;/strong&gt;",""))</f>
        <v/>
      </c>
      <c r="I178" s="14" cm="1" t="str">
        <f t="array" ref="I178">IF(C178="","",IF(OR(H178="",H178=0,H178=FALSE),"-",H178))</f>
        <v/>
      </c>
      <c r="J178" s="8">
</c>
      <c r="K178" s="8">
</c>
      <c r="L178" s="9" cm="1" t="str">
        <f t="array" ref="L178">IF(C178="","",IF(K178="Mort / Plus rien à faire","KO","OK"))</f>
        <v/>
      </c>
      <c r="M178" s="15">
</c>
      <c r="N178" s="15" cm="1" t="str">
        <f t="array" ref="N178">IF(OR(C178="",M178="",M178=0),"",M178)</f>
        <v/>
      </c>
      <c r="O178" s="15">
</c>
      <c r="P178" s="15" cm="1" t="str">
        <f t="array" ref="P178">IF(C178="","",IF(OR(O178="",O178=0),"-",O178))</f>
        <v/>
      </c>
      <c r="Q178" s="16">
</c>
      <c r="R178" s="16" cm="1" t="str">
        <f t="array" ref="R178">IF(C178="","",ROUND(Q178/1000000,3)&amp;" M€")</f>
        <v/>
      </c>
      <c r="S178" s="12">
</c>
      <c r="T178" s="9" cm="1" t="str">
        <f t="array" ref="T178">IF(C178="","",SUBSTITUTE(S178,"","")&amp;"%")</f>
        <v/>
      </c>
      <c r="U178" s="14" cm="1" t="str">
        <f t="array" ref="U178">IF(($N178="")*($P178=""),"",IF(($N178&lt;&gt;"")*($N178&gt;TODAY()-9)*($N178&lt;TODAY()+1)*($P178&lt;&gt;"")*($P178&gt;=TODAY())*($P178&lt;=TODAY()+13),"Semaine passée &amp; à venir",IF(($N178&lt;&gt;"")*($N178&gt;TODAY()-9)*($N178&lt;TODAY()+1),"Semaine passée",IF(($P178&lt;&gt;"")*($P178&gt;=TODAY())*($P178&lt;=TODAY()+13),"À venir","Autre"))))</f>
        <v/>
      </c>
      <c r="V178" s="8" cm="1" t="n">
        <f t="array" ref="V178">IF(C178&lt;&gt;"",1,0)</f>
        <v>0</v>
      </c>
      <c r="W178" s="8">
</c>
      <c r="X178" s="8">
</c>
      <c r="Y178" s="8">
</c>
      <c r="Z178" s="8">
</c>
      <c r="AA178" s="8">
</c>
      <c r="AB178" s="8">
</c>
      <c r="AC178" s="8">
</c>
      <c r="AD178" s="8">
</c>
      <c r="AE178" s="8">
</c>
      <c r="AF178" s="8">
</c>
      <c r="AG178" s="8">
</c>
      <c r="AH178" s="8">
</c>
      <c r="AI178" s="8">
</c>
      <c r="AJ178" s="8">
</c>
      <c r="AK178" s="8">
</c>
    </row>
    <row r="179" ht="76.5" customHeight="1">
      <c r="A179" s="9">
</c>
      <c r="B179" s="9">
</c>
      <c r="C179" s="12">
</c>
      <c r="D179" s="12">
</c>
      <c r="E179" s="9">
</c>
      <c r="F179" s="8">
</c>
      <c r="G179" s="13" cm="1" t="str">
        <f t="array" ref="G179">IF(F179="","",SUBSTITUTE(SUBSTITUTE(SUBSTITUTE(SUBSTITUTE(F179,"&lt;li&gt;",CHAR(10)),"&lt;/li&gt;",""),"&lt;br&gt;",CHAR(10)),"&lt;strong&gt;",""))</f>
        <v/>
      </c>
      <c r="H179" s="13" cm="1" t="str">
        <f t="array" ref="H179">IF(G179="","",SUBSTITUTE(SUBSTITUTE(SUBSTITUTE(SUBSTITUTE(SUBSTITUTE(G179,"&lt;p&gt;",""),"&lt;/p&gt;",""),"&lt;ul&gt;",""),"&lt;/ul&gt;",""),"&lt;/strong&gt;",""))</f>
        <v/>
      </c>
      <c r="I179" s="14" cm="1" t="str">
        <f t="array" ref="I179">IF(C179="","",IF(OR(H179="",H179=0,H179=FALSE),"-",H179))</f>
        <v/>
      </c>
      <c r="J179" s="8">
</c>
      <c r="K179" s="8">
</c>
      <c r="L179" s="9" cm="1" t="str">
        <f t="array" ref="L179">IF(C179="","",IF(K179="Mort / Plus rien à faire","KO","OK"))</f>
        <v/>
      </c>
      <c r="M179" s="15">
</c>
      <c r="N179" s="15" cm="1" t="str">
        <f t="array" ref="N179">IF(OR(C179="",M179="",M179=0),"",M179)</f>
        <v/>
      </c>
      <c r="O179" s="15">
</c>
      <c r="P179" s="15" cm="1" t="str">
        <f t="array" ref="P179">IF(C179="","",IF(OR(O179="",O179=0),"-",O179))</f>
        <v/>
      </c>
      <c r="Q179" s="16">
</c>
      <c r="R179" s="16" cm="1" t="str">
        <f t="array" ref="R179">IF(C179="","",ROUND(Q179/1000000,3)&amp;" M€")</f>
        <v/>
      </c>
      <c r="S179" s="12">
</c>
      <c r="T179" s="9" cm="1" t="str">
        <f t="array" ref="T179">IF(C179="","",SUBSTITUTE(S179,"","")&amp;"%")</f>
        <v/>
      </c>
      <c r="U179" s="14" cm="1" t="str">
        <f t="array" ref="U179">IF(($N179="")*($P179=""),"",IF(($N179&lt;&gt;"")*($N179&gt;TODAY()-9)*($N179&lt;TODAY()+1)*($P179&lt;&gt;"")*($P179&gt;=TODAY())*($P179&lt;=TODAY()+13),"Semaine passée &amp; à venir",IF(($N179&lt;&gt;"")*($N179&gt;TODAY()-9)*($N179&lt;TODAY()+1),"Semaine passée",IF(($P179&lt;&gt;"")*($P179&gt;=TODAY())*($P179&lt;=TODAY()+13),"À venir","Autre"))))</f>
        <v/>
      </c>
      <c r="V179" s="8" cm="1" t="n">
        <f t="array" ref="V179">IF(C179&lt;&gt;"",1,0)</f>
        <v>0</v>
      </c>
      <c r="W179" s="8">
</c>
      <c r="X179" s="8">
</c>
      <c r="Y179" s="8">
</c>
      <c r="Z179" s="8">
</c>
      <c r="AA179" s="8">
</c>
      <c r="AB179" s="8">
</c>
      <c r="AC179" s="8">
</c>
      <c r="AD179" s="8">
</c>
      <c r="AE179" s="8">
</c>
      <c r="AF179" s="8">
</c>
      <c r="AG179" s="8">
</c>
      <c r="AH179" s="8">
</c>
      <c r="AI179" s="8">
</c>
      <c r="AJ179" s="8">
</c>
      <c r="AK179" s="8">
</c>
    </row>
    <row r="180" ht="76.5" customHeight="1">
      <c r="A180" s="9">
</c>
      <c r="B180" s="9">
</c>
      <c r="C180" s="12">
</c>
      <c r="D180" s="12">
</c>
      <c r="E180" s="9">
</c>
      <c r="F180" s="8">
</c>
      <c r="G180" s="13" cm="1" t="str">
        <f t="array" ref="G180">IF(F180="","",SUBSTITUTE(SUBSTITUTE(SUBSTITUTE(SUBSTITUTE(F180,"&lt;li&gt;",CHAR(10)),"&lt;/li&gt;",""),"&lt;br&gt;",CHAR(10)),"&lt;strong&gt;",""))</f>
        <v/>
      </c>
      <c r="H180" s="13" cm="1" t="str">
        <f t="array" ref="H180">IF(G180="","",SUBSTITUTE(SUBSTITUTE(SUBSTITUTE(SUBSTITUTE(SUBSTITUTE(G180,"&lt;p&gt;",""),"&lt;/p&gt;",""),"&lt;ul&gt;",""),"&lt;/ul&gt;",""),"&lt;/strong&gt;",""))</f>
        <v/>
      </c>
      <c r="I180" s="14" cm="1" t="str">
        <f t="array" ref="I180">IF(C180="","",IF(OR(H180="",H180=0,H180=FALSE),"-",H180))</f>
        <v/>
      </c>
      <c r="J180" s="8">
</c>
      <c r="K180" s="8">
</c>
      <c r="L180" s="9" cm="1" t="str">
        <f t="array" ref="L180">IF(C180="","",IF(K180="Mort / Plus rien à faire","KO","OK"))</f>
        <v/>
      </c>
      <c r="M180" s="15">
</c>
      <c r="N180" s="15" cm="1" t="str">
        <f t="array" ref="N180">IF(OR(C180="",M180="",M180=0),"",M180)</f>
        <v/>
      </c>
      <c r="O180" s="15">
</c>
      <c r="P180" s="15" cm="1" t="str">
        <f t="array" ref="P180">IF(C180="","",IF(OR(O180="",O180=0),"-",O180))</f>
        <v/>
      </c>
      <c r="Q180" s="16">
</c>
      <c r="R180" s="16" cm="1" t="str">
        <f t="array" ref="R180">IF(C180="","",ROUND(Q180/1000000,3)&amp;" M€")</f>
        <v/>
      </c>
      <c r="S180" s="12">
</c>
      <c r="T180" s="9" cm="1" t="str">
        <f t="array" ref="T180">IF(C180="","",SUBSTITUTE(S180,"","")&amp;"%")</f>
        <v/>
      </c>
      <c r="U180" s="14" cm="1" t="str">
        <f t="array" ref="U180">IF(($N180="")*($P180=""),"",IF(($N180&lt;&gt;"")*($N180&gt;TODAY()-9)*($N180&lt;TODAY()+1)*($P180&lt;&gt;"")*($P180&gt;=TODAY())*($P180&lt;=TODAY()+13),"Semaine passée &amp; à venir",IF(($N180&lt;&gt;"")*($N180&gt;TODAY()-9)*($N180&lt;TODAY()+1),"Semaine passée",IF(($P180&lt;&gt;"")*($P180&gt;=TODAY())*($P180&lt;=TODAY()+13),"À venir","Autre"))))</f>
        <v/>
      </c>
      <c r="V180" s="8" cm="1" t="n">
        <f t="array" ref="V180">IF(C180&lt;&gt;"",1,0)</f>
        <v>0</v>
      </c>
      <c r="W180" s="8">
</c>
      <c r="X180" s="8">
</c>
      <c r="Y180" s="8">
</c>
      <c r="Z180" s="8">
</c>
      <c r="AA180" s="8">
</c>
      <c r="AB180" s="8">
</c>
      <c r="AC180" s="8">
</c>
      <c r="AD180" s="8">
</c>
      <c r="AE180" s="8">
</c>
      <c r="AF180" s="8">
</c>
      <c r="AG180" s="8">
</c>
      <c r="AH180" s="8">
</c>
      <c r="AI180" s="8">
</c>
      <c r="AJ180" s="8">
</c>
      <c r="AK180" s="8">
</c>
    </row>
    <row r="181" ht="76.5" customHeight="1">
      <c r="A181" s="9">
</c>
      <c r="B181" s="9">
</c>
      <c r="C181" s="12">
</c>
      <c r="D181" s="12">
</c>
      <c r="E181" s="9">
</c>
      <c r="F181" s="8">
</c>
      <c r="G181" s="13" cm="1" t="str">
        <f t="array" ref="G181">IF(F181="","",SUBSTITUTE(SUBSTITUTE(SUBSTITUTE(SUBSTITUTE(F181,"&lt;li&gt;",CHAR(10)),"&lt;/li&gt;",""),"&lt;br&gt;",CHAR(10)),"&lt;strong&gt;",""))</f>
        <v/>
      </c>
      <c r="H181" s="13" cm="1" t="str">
        <f t="array" ref="H181">IF(G181="","",SUBSTITUTE(SUBSTITUTE(SUBSTITUTE(SUBSTITUTE(SUBSTITUTE(G181,"&lt;p&gt;",""),"&lt;/p&gt;",""),"&lt;ul&gt;",""),"&lt;/ul&gt;",""),"&lt;/strong&gt;",""))</f>
        <v/>
      </c>
      <c r="I181" s="14" cm="1" t="str">
        <f t="array" ref="I181">IF(C181="","",IF(OR(H181="",H181=0,H181=FALSE),"-",H181))</f>
        <v/>
      </c>
      <c r="J181" s="8">
</c>
      <c r="K181" s="8">
</c>
      <c r="L181" s="9" cm="1" t="str">
        <f t="array" ref="L181">IF(C181="","",IF(K181="Mort / Plus rien à faire","KO","OK"))</f>
        <v/>
      </c>
      <c r="M181" s="15">
</c>
      <c r="N181" s="15" cm="1" t="str">
        <f t="array" ref="N181">IF(OR(C181="",M181="",M181=0),"",M181)</f>
        <v/>
      </c>
      <c r="O181" s="15">
</c>
      <c r="P181" s="15" cm="1" t="str">
        <f t="array" ref="P181">IF(C181="","",IF(OR(O181="",O181=0),"-",O181))</f>
        <v/>
      </c>
      <c r="Q181" s="16">
</c>
      <c r="R181" s="16" cm="1" t="str">
        <f t="array" ref="R181">IF(C181="","",ROUND(Q181/1000000,3)&amp;" M€")</f>
        <v/>
      </c>
      <c r="S181" s="12">
</c>
      <c r="T181" s="9" cm="1" t="str">
        <f t="array" ref="T181">IF(C181="","",SUBSTITUTE(S181,"","")&amp;"%")</f>
        <v/>
      </c>
      <c r="U181" s="14" cm="1" t="str">
        <f t="array" ref="U181">IF(($N181="")*($P181=""),"",IF(($N181&lt;&gt;"")*($N181&gt;TODAY()-9)*($N181&lt;TODAY()+1)*($P181&lt;&gt;"")*($P181&gt;=TODAY())*($P181&lt;=TODAY()+13),"Semaine passée &amp; à venir",IF(($N181&lt;&gt;"")*($N181&gt;TODAY()-9)*($N181&lt;TODAY()+1),"Semaine passée",IF(($P181&lt;&gt;"")*($P181&gt;=TODAY())*($P181&lt;=TODAY()+13),"À venir","Autre"))))</f>
        <v/>
      </c>
      <c r="V181" s="8" cm="1" t="n">
        <f t="array" ref="V181">IF(C181&lt;&gt;"",1,0)</f>
        <v>0</v>
      </c>
      <c r="W181" s="8">
</c>
      <c r="X181" s="8">
</c>
      <c r="Y181" s="8">
</c>
      <c r="Z181" s="8">
</c>
      <c r="AA181" s="8">
</c>
      <c r="AB181" s="8">
</c>
      <c r="AC181" s="8">
</c>
      <c r="AD181" s="8">
</c>
      <c r="AE181" s="8">
</c>
      <c r="AF181" s="8">
</c>
      <c r="AG181" s="8">
</c>
      <c r="AH181" s="8">
</c>
      <c r="AI181" s="8">
</c>
      <c r="AJ181" s="8">
</c>
      <c r="AK181" s="8">
</c>
    </row>
    <row r="182" ht="76.5" customHeight="1">
      <c r="A182" s="9">
</c>
      <c r="B182" s="9">
</c>
      <c r="C182" s="12">
</c>
      <c r="D182" s="12">
</c>
      <c r="E182" s="9">
</c>
      <c r="F182" s="8">
</c>
      <c r="G182" s="13" cm="1" t="str">
        <f t="array" ref="G182">IF(F182="","",SUBSTITUTE(SUBSTITUTE(SUBSTITUTE(SUBSTITUTE(F182,"&lt;li&gt;",CHAR(10)),"&lt;/li&gt;",""),"&lt;br&gt;",CHAR(10)),"&lt;strong&gt;",""))</f>
        <v/>
      </c>
      <c r="H182" s="13" cm="1" t="str">
        <f t="array" ref="H182">IF(G182="","",SUBSTITUTE(SUBSTITUTE(SUBSTITUTE(SUBSTITUTE(SUBSTITUTE(G182,"&lt;p&gt;",""),"&lt;/p&gt;",""),"&lt;ul&gt;",""),"&lt;/ul&gt;",""),"&lt;/strong&gt;",""))</f>
        <v/>
      </c>
      <c r="I182" s="14" cm="1" t="str">
        <f t="array" ref="I182">IF(C182="","",IF(OR(H182="",H182=0,H182=FALSE),"-",H182))</f>
        <v/>
      </c>
      <c r="J182" s="8">
</c>
      <c r="K182" s="8">
</c>
      <c r="L182" s="9" cm="1" t="str">
        <f t="array" ref="L182">IF(C182="","",IF(K182="Mort / Plus rien à faire","KO","OK"))</f>
        <v/>
      </c>
      <c r="M182" s="15">
</c>
      <c r="N182" s="15" cm="1" t="str">
        <f t="array" ref="N182">IF(OR(C182="",M182="",M182=0),"",M182)</f>
        <v/>
      </c>
      <c r="O182" s="15">
</c>
      <c r="P182" s="15" cm="1" t="str">
        <f t="array" ref="P182">IF(C182="","",IF(OR(O182="",O182=0),"-",O182))</f>
        <v/>
      </c>
      <c r="Q182" s="16">
</c>
      <c r="R182" s="16" cm="1" t="str">
        <f t="array" ref="R182">IF(C182="","",ROUND(Q182/1000000,3)&amp;" M€")</f>
        <v/>
      </c>
      <c r="S182" s="12">
</c>
      <c r="T182" s="9" cm="1" t="str">
        <f t="array" ref="T182">IF(C182="","",SUBSTITUTE(S182,"","")&amp;"%")</f>
        <v/>
      </c>
      <c r="U182" s="14" cm="1" t="str">
        <f t="array" ref="U182">IF(($N182="")*($P182=""),"",IF(($N182&lt;&gt;"")*($N182&gt;TODAY()-9)*($N182&lt;TODAY()+1)*($P182&lt;&gt;"")*($P182&gt;=TODAY())*($P182&lt;=TODAY()+13),"Semaine passée &amp; à venir",IF(($N182&lt;&gt;"")*($N182&gt;TODAY()-9)*($N182&lt;TODAY()+1),"Semaine passée",IF(($P182&lt;&gt;"")*($P182&gt;=TODAY())*($P182&lt;=TODAY()+13),"À venir","Autre"))))</f>
        <v/>
      </c>
      <c r="V182" s="8" cm="1" t="n">
        <f t="array" ref="V182">IF(C182&lt;&gt;"",1,0)</f>
        <v>0</v>
      </c>
      <c r="W182" s="8">
</c>
      <c r="X182" s="8">
</c>
      <c r="Y182" s="8">
</c>
      <c r="Z182" s="8">
</c>
      <c r="AA182" s="8">
</c>
      <c r="AB182" s="8">
</c>
      <c r="AC182" s="8">
</c>
      <c r="AD182" s="8">
</c>
      <c r="AE182" s="8">
</c>
      <c r="AF182" s="8">
</c>
      <c r="AG182" s="8">
</c>
      <c r="AH182" s="8">
</c>
      <c r="AI182" s="8">
</c>
      <c r="AJ182" s="8">
</c>
      <c r="AK182" s="8">
</c>
    </row>
    <row r="183" ht="76.5" customHeight="1">
      <c r="A183" s="9">
</c>
      <c r="B183" s="9">
</c>
      <c r="C183" s="12">
</c>
      <c r="D183" s="12">
</c>
      <c r="E183" s="9">
</c>
      <c r="F183" s="8">
</c>
      <c r="G183" s="13" cm="1" t="str">
        <f t="array" ref="G183">IF(F183="","",SUBSTITUTE(SUBSTITUTE(SUBSTITUTE(SUBSTITUTE(F183,"&lt;li&gt;",CHAR(10)),"&lt;/li&gt;",""),"&lt;br&gt;",CHAR(10)),"&lt;strong&gt;",""))</f>
        <v/>
      </c>
      <c r="H183" s="13" cm="1" t="str">
        <f t="array" ref="H183">IF(G183="","",SUBSTITUTE(SUBSTITUTE(SUBSTITUTE(SUBSTITUTE(SUBSTITUTE(G183,"&lt;p&gt;",""),"&lt;/p&gt;",""),"&lt;ul&gt;",""),"&lt;/ul&gt;",""),"&lt;/strong&gt;",""))</f>
        <v/>
      </c>
      <c r="I183" s="14" cm="1" t="str">
        <f t="array" ref="I183">IF(C183="","",IF(OR(H183="",H183=0,H183=FALSE),"-",H183))</f>
        <v/>
      </c>
      <c r="J183" s="8">
</c>
      <c r="K183" s="8">
</c>
      <c r="L183" s="9" cm="1" t="str">
        <f t="array" ref="L183">IF(C183="","",IF(K183="Mort / Plus rien à faire","KO","OK"))</f>
        <v/>
      </c>
      <c r="M183" s="15">
</c>
      <c r="N183" s="15" cm="1" t="str">
        <f t="array" ref="N183">IF(OR(C183="",M183="",M183=0),"",M183)</f>
        <v/>
      </c>
      <c r="O183" s="15">
</c>
      <c r="P183" s="15" cm="1" t="str">
        <f t="array" ref="P183">IF(C183="","",IF(OR(O183="",O183=0),"-",O183))</f>
        <v/>
      </c>
      <c r="Q183" s="16">
</c>
      <c r="R183" s="16" cm="1" t="str">
        <f t="array" ref="R183">IF(C183="","",ROUND(Q183/1000000,3)&amp;" M€")</f>
        <v/>
      </c>
      <c r="S183" s="12">
</c>
      <c r="T183" s="9" cm="1" t="str">
        <f t="array" ref="T183">IF(C183="","",SUBSTITUTE(S183,"","")&amp;"%")</f>
        <v/>
      </c>
      <c r="U183" s="14" cm="1" t="str">
        <f t="array" ref="U183">IF(($N183="")*($P183=""),"",IF(($N183&lt;&gt;"")*($N183&gt;TODAY()-9)*($N183&lt;TODAY()+1)*($P183&lt;&gt;"")*($P183&gt;=TODAY())*($P183&lt;=TODAY()+13),"Semaine passée &amp; à venir",IF(($N183&lt;&gt;"")*($N183&gt;TODAY()-9)*($N183&lt;TODAY()+1),"Semaine passée",IF(($P183&lt;&gt;"")*($P183&gt;=TODAY())*($P183&lt;=TODAY()+13),"À venir","Autre"))))</f>
        <v/>
      </c>
      <c r="V183" s="8" cm="1" t="n">
        <f t="array" ref="V183">IF(C183&lt;&gt;"",1,0)</f>
        <v>0</v>
      </c>
      <c r="W183" s="8">
</c>
      <c r="X183" s="8">
</c>
      <c r="Y183" s="8">
</c>
      <c r="Z183" s="8">
</c>
      <c r="AA183" s="8">
</c>
      <c r="AB183" s="8">
</c>
      <c r="AC183" s="8">
</c>
      <c r="AD183" s="8">
</c>
      <c r="AE183" s="8">
</c>
      <c r="AF183" s="8">
</c>
      <c r="AG183" s="8">
</c>
      <c r="AH183" s="8">
</c>
      <c r="AI183" s="8">
</c>
      <c r="AJ183" s="8">
</c>
      <c r="AK183" s="8">
</c>
    </row>
    <row r="184" ht="76.5" customHeight="1">
      <c r="A184" s="9">
</c>
      <c r="B184" s="9">
</c>
      <c r="C184" s="12">
</c>
      <c r="D184" s="12">
</c>
      <c r="E184" s="9">
</c>
      <c r="F184" s="8">
</c>
      <c r="G184" s="13" cm="1" t="str">
        <f t="array" ref="G184">IF(F184="","",SUBSTITUTE(SUBSTITUTE(SUBSTITUTE(SUBSTITUTE(F184,"&lt;li&gt;",CHAR(10)),"&lt;/li&gt;",""),"&lt;br&gt;",CHAR(10)),"&lt;strong&gt;",""))</f>
        <v/>
      </c>
      <c r="H184" s="13" cm="1" t="str">
        <f t="array" ref="H184">IF(G184="","",SUBSTITUTE(SUBSTITUTE(SUBSTITUTE(SUBSTITUTE(SUBSTITUTE(G184,"&lt;p&gt;",""),"&lt;/p&gt;",""),"&lt;ul&gt;",""),"&lt;/ul&gt;",""),"&lt;/strong&gt;",""))</f>
        <v/>
      </c>
      <c r="I184" s="14" cm="1" t="str">
        <f t="array" ref="I184">IF(C184="","",IF(OR(H184="",H184=0,H184=FALSE),"-",H184))</f>
        <v/>
      </c>
      <c r="J184" s="8">
</c>
      <c r="K184" s="8">
</c>
      <c r="L184" s="9" cm="1" t="str">
        <f t="array" ref="L184">IF(C184="","",IF(K184="Mort / Plus rien à faire","KO","OK"))</f>
        <v/>
      </c>
      <c r="M184" s="15">
</c>
      <c r="N184" s="15" cm="1" t="str">
        <f t="array" ref="N184">IF(OR(C184="",M184="",M184=0),"",M184)</f>
        <v/>
      </c>
      <c r="O184" s="15">
</c>
      <c r="P184" s="15" cm="1" t="str">
        <f t="array" ref="P184">IF(C184="","",IF(OR(O184="",O184=0),"-",O184))</f>
        <v/>
      </c>
      <c r="Q184" s="16">
</c>
      <c r="R184" s="16" cm="1" t="str">
        <f t="array" ref="R184">IF(C184="","",ROUND(Q184/1000000,3)&amp;" M€")</f>
        <v/>
      </c>
      <c r="S184" s="12">
</c>
      <c r="T184" s="9" cm="1" t="str">
        <f t="array" ref="T184">IF(C184="","",SUBSTITUTE(S184,"","")&amp;"%")</f>
        <v/>
      </c>
      <c r="U184" s="14" cm="1" t="str">
        <f t="array" ref="U184">IF(($N184="")*($P184=""),"",IF(($N184&lt;&gt;"")*($N184&gt;TODAY()-9)*($N184&lt;TODAY()+1)*($P184&lt;&gt;"")*($P184&gt;=TODAY())*($P184&lt;=TODAY()+13),"Semaine passée &amp; à venir",IF(($N184&lt;&gt;"")*($N184&gt;TODAY()-9)*($N184&lt;TODAY()+1),"Semaine passée",IF(($P184&lt;&gt;"")*($P184&gt;=TODAY())*($P184&lt;=TODAY()+13),"À venir","Autre"))))</f>
        <v/>
      </c>
      <c r="V184" s="8" cm="1" t="n">
        <f t="array" ref="V184">IF(C184&lt;&gt;"",1,0)</f>
        <v>0</v>
      </c>
      <c r="W184" s="8">
</c>
      <c r="X184" s="8">
</c>
      <c r="Y184" s="8">
</c>
      <c r="Z184" s="8">
</c>
      <c r="AA184" s="8">
</c>
      <c r="AB184" s="8">
</c>
      <c r="AC184" s="8">
</c>
      <c r="AD184" s="8">
</c>
      <c r="AE184" s="8">
</c>
      <c r="AF184" s="8">
</c>
      <c r="AG184" s="8">
</c>
      <c r="AH184" s="8">
</c>
      <c r="AI184" s="8">
</c>
      <c r="AJ184" s="8">
</c>
      <c r="AK184" s="8">
</c>
    </row>
    <row r="185" ht="76.5" customHeight="1">
      <c r="A185" s="9">
</c>
      <c r="B185" s="9">
</c>
      <c r="C185" s="12">
</c>
      <c r="D185" s="12">
</c>
      <c r="E185" s="9">
</c>
      <c r="F185" s="8">
</c>
      <c r="G185" s="13" cm="1" t="str">
        <f t="array" ref="G185">IF(F185="","",SUBSTITUTE(SUBSTITUTE(SUBSTITUTE(SUBSTITUTE(F185,"&lt;li&gt;",CHAR(10)),"&lt;/li&gt;",""),"&lt;br&gt;",CHAR(10)),"&lt;strong&gt;",""))</f>
        <v/>
      </c>
      <c r="H185" s="13" cm="1" t="str">
        <f t="array" ref="H185">IF(G185="","",SUBSTITUTE(SUBSTITUTE(SUBSTITUTE(SUBSTITUTE(SUBSTITUTE(G185,"&lt;p&gt;",""),"&lt;/p&gt;",""),"&lt;ul&gt;",""),"&lt;/ul&gt;",""),"&lt;/strong&gt;",""))</f>
        <v/>
      </c>
      <c r="I185" s="14" cm="1" t="str">
        <f t="array" ref="I185">IF(C185="","",IF(OR(H185="",H185=0,H185=FALSE),"-",H185))</f>
        <v/>
      </c>
      <c r="J185" s="8">
</c>
      <c r="K185" s="8">
</c>
      <c r="L185" s="9" cm="1" t="str">
        <f t="array" ref="L185">IF(C185="","",IF(K185="Mort / Plus rien à faire","KO","OK"))</f>
        <v/>
      </c>
      <c r="M185" s="15">
</c>
      <c r="N185" s="15" cm="1" t="str">
        <f t="array" ref="N185">IF(OR(C185="",M185="",M185=0),"",M185)</f>
        <v/>
      </c>
      <c r="O185" s="15">
</c>
      <c r="P185" s="15" cm="1" t="str">
        <f t="array" ref="P185">IF(C185="","",IF(OR(O185="",O185=0),"-",O185))</f>
        <v/>
      </c>
      <c r="Q185" s="16">
</c>
      <c r="R185" s="16" cm="1" t="str">
        <f t="array" ref="R185">IF(C185="","",ROUND(Q185/1000000,3)&amp;" M€")</f>
        <v/>
      </c>
      <c r="S185" s="12">
</c>
      <c r="T185" s="9" cm="1" t="str">
        <f t="array" ref="T185">IF(C185="","",SUBSTITUTE(S185,"","")&amp;"%")</f>
        <v/>
      </c>
      <c r="U185" s="14" cm="1" t="str">
        <f t="array" ref="U185">IF(($N185="")*($P185=""),"",IF(($N185&lt;&gt;"")*($N185&gt;TODAY()-9)*($N185&lt;TODAY()+1)*($P185&lt;&gt;"")*($P185&gt;=TODAY())*($P185&lt;=TODAY()+13),"Semaine passée &amp; à venir",IF(($N185&lt;&gt;"")*($N185&gt;TODAY()-9)*($N185&lt;TODAY()+1),"Semaine passée",IF(($P185&lt;&gt;"")*($P185&gt;=TODAY())*($P185&lt;=TODAY()+13),"À venir","Autre"))))</f>
        <v/>
      </c>
      <c r="V185" s="8" cm="1" t="n">
        <f t="array" ref="V185">IF(C185&lt;&gt;"",1,0)</f>
        <v>0</v>
      </c>
      <c r="W185" s="8">
</c>
      <c r="X185" s="8">
</c>
      <c r="Y185" s="8">
</c>
      <c r="Z185" s="8">
</c>
      <c r="AA185" s="8">
</c>
      <c r="AB185" s="8">
</c>
      <c r="AC185" s="8">
</c>
      <c r="AD185" s="8">
</c>
      <c r="AE185" s="8">
</c>
      <c r="AF185" s="8">
</c>
      <c r="AG185" s="8">
</c>
      <c r="AH185" s="8">
</c>
      <c r="AI185" s="8">
</c>
      <c r="AJ185" s="8">
</c>
      <c r="AK185" s="8">
</c>
    </row>
    <row r="186" ht="76.5" customHeight="1">
      <c r="A186" s="9">
</c>
      <c r="B186" s="9">
</c>
      <c r="C186" s="12">
</c>
      <c r="D186" s="12">
</c>
      <c r="E186" s="9">
</c>
      <c r="F186" s="8">
</c>
      <c r="G186" s="13" cm="1" t="str">
        <f t="array" ref="G186">IF(F186="","",SUBSTITUTE(SUBSTITUTE(SUBSTITUTE(SUBSTITUTE(F186,"&lt;li&gt;",CHAR(10)),"&lt;/li&gt;",""),"&lt;br&gt;",CHAR(10)),"&lt;strong&gt;",""))</f>
        <v/>
      </c>
      <c r="H186" s="13" cm="1" t="str">
        <f t="array" ref="H186">IF(G186="","",SUBSTITUTE(SUBSTITUTE(SUBSTITUTE(SUBSTITUTE(SUBSTITUTE(G186,"&lt;p&gt;",""),"&lt;/p&gt;",""),"&lt;ul&gt;",""),"&lt;/ul&gt;",""),"&lt;/strong&gt;",""))</f>
        <v/>
      </c>
      <c r="I186" s="14" cm="1" t="str">
        <f t="array" ref="I186">IF(C186="","",IF(OR(H186="",H186=0,H186=FALSE),"-",H186))</f>
        <v/>
      </c>
      <c r="J186" s="8">
</c>
      <c r="K186" s="8">
</c>
      <c r="L186" s="9" cm="1" t="str">
        <f t="array" ref="L186">IF(C186="","",IF(K186="Mort / Plus rien à faire","KO","OK"))</f>
        <v/>
      </c>
      <c r="M186" s="15">
</c>
      <c r="N186" s="15" cm="1" t="str">
        <f t="array" ref="N186">IF(OR(C186="",M186="",M186=0),"",M186)</f>
        <v/>
      </c>
      <c r="O186" s="15">
</c>
      <c r="P186" s="15" cm="1" t="str">
        <f t="array" ref="P186">IF(C186="","",IF(OR(O186="",O186=0),"-",O186))</f>
        <v/>
      </c>
      <c r="Q186" s="16">
</c>
      <c r="R186" s="16" cm="1" t="str">
        <f t="array" ref="R186">IF(C186="","",ROUND(Q186/1000000,3)&amp;" M€")</f>
        <v/>
      </c>
      <c r="S186" s="12">
</c>
      <c r="T186" s="9" cm="1" t="str">
        <f t="array" ref="T186">IF(C186="","",SUBSTITUTE(S186,"","")&amp;"%")</f>
        <v/>
      </c>
      <c r="U186" s="14" cm="1" t="str">
        <f t="array" ref="U186">IF(($N186="")*($P186=""),"",IF(($N186&lt;&gt;"")*($N186&gt;TODAY()-9)*($N186&lt;TODAY()+1)*($P186&lt;&gt;"")*($P186&gt;=TODAY())*($P186&lt;=TODAY()+13),"Semaine passée &amp; à venir",IF(($N186&lt;&gt;"")*($N186&gt;TODAY()-9)*($N186&lt;TODAY()+1),"Semaine passée",IF(($P186&lt;&gt;"")*($P186&gt;=TODAY())*($P186&lt;=TODAY()+13),"À venir","Autre"))))</f>
        <v/>
      </c>
      <c r="V186" s="8" cm="1" t="n">
        <f t="array" ref="V186">IF(C186&lt;&gt;"",1,0)</f>
        <v>0</v>
      </c>
      <c r="W186" s="8">
</c>
      <c r="X186" s="8">
</c>
      <c r="Y186" s="8">
</c>
      <c r="Z186" s="8">
</c>
      <c r="AA186" s="8">
</c>
      <c r="AB186" s="8">
</c>
      <c r="AC186" s="8">
</c>
      <c r="AD186" s="8">
</c>
      <c r="AE186" s="8">
</c>
      <c r="AF186" s="8">
</c>
      <c r="AG186" s="8">
</c>
      <c r="AH186" s="8">
</c>
      <c r="AI186" s="8">
</c>
      <c r="AJ186" s="8">
</c>
      <c r="AK186" s="8">
</c>
    </row>
    <row r="187" ht="76.5" customHeight="1">
      <c r="A187" s="9">
</c>
      <c r="B187" s="9">
</c>
      <c r="C187" s="12">
</c>
      <c r="D187" s="12">
</c>
      <c r="E187" s="9">
</c>
      <c r="F187" s="8">
</c>
      <c r="G187" s="13" cm="1" t="str">
        <f t="array" ref="G187">IF(F187="","",SUBSTITUTE(SUBSTITUTE(SUBSTITUTE(SUBSTITUTE(F187,"&lt;li&gt;",CHAR(10)),"&lt;/li&gt;",""),"&lt;br&gt;",CHAR(10)),"&lt;strong&gt;",""))</f>
        <v/>
      </c>
      <c r="H187" s="13" cm="1" t="str">
        <f t="array" ref="H187">IF(G187="","",SUBSTITUTE(SUBSTITUTE(SUBSTITUTE(SUBSTITUTE(SUBSTITUTE(G187,"&lt;p&gt;",""),"&lt;/p&gt;",""),"&lt;ul&gt;",""),"&lt;/ul&gt;",""),"&lt;/strong&gt;",""))</f>
        <v/>
      </c>
      <c r="I187" s="14" cm="1" t="str">
        <f t="array" ref="I187">IF(C187="","",IF(OR(H187="",H187=0,H187=FALSE),"-",H187))</f>
        <v/>
      </c>
      <c r="J187" s="8">
</c>
      <c r="K187" s="8">
</c>
      <c r="L187" s="9" cm="1" t="str">
        <f t="array" ref="L187">IF(C187="","",IF(K187="Mort / Plus rien à faire","KO","OK"))</f>
        <v/>
      </c>
      <c r="M187" s="15">
</c>
      <c r="N187" s="15" cm="1" t="str">
        <f t="array" ref="N187">IF(OR(C187="",M187="",M187=0),"",M187)</f>
        <v/>
      </c>
      <c r="O187" s="15">
</c>
      <c r="P187" s="15" cm="1" t="str">
        <f t="array" ref="P187">IF(C187="","",IF(OR(O187="",O187=0),"-",O187))</f>
        <v/>
      </c>
      <c r="Q187" s="16">
</c>
      <c r="R187" s="16" cm="1" t="str">
        <f t="array" ref="R187">IF(C187="","",ROUND(Q187/1000000,3)&amp;" M€")</f>
        <v/>
      </c>
      <c r="S187" s="12">
</c>
      <c r="T187" s="9" cm="1" t="str">
        <f t="array" ref="T187">IF(C187="","",SUBSTITUTE(S187,"","")&amp;"%")</f>
        <v/>
      </c>
      <c r="U187" s="14" cm="1" t="str">
        <f t="array" ref="U187">IF(($N187="")*($P187=""),"",IF(($N187&lt;&gt;"")*($N187&gt;TODAY()-9)*($N187&lt;TODAY()+1)*($P187&lt;&gt;"")*($P187&gt;=TODAY())*($P187&lt;=TODAY()+13),"Semaine passée &amp; à venir",IF(($N187&lt;&gt;"")*($N187&gt;TODAY()-9)*($N187&lt;TODAY()+1),"Semaine passée",IF(($P187&lt;&gt;"")*($P187&gt;=TODAY())*($P187&lt;=TODAY()+13),"À venir","Autre"))))</f>
        <v/>
      </c>
      <c r="V187" s="8" cm="1" t="n">
        <f t="array" ref="V187">IF(C187&lt;&gt;"",1,0)</f>
        <v>0</v>
      </c>
      <c r="W187" s="8">
</c>
      <c r="X187" s="8">
</c>
      <c r="Y187" s="8">
</c>
      <c r="Z187" s="8">
</c>
      <c r="AA187" s="8">
</c>
      <c r="AB187" s="8">
</c>
      <c r="AC187" s="8">
</c>
      <c r="AD187" s="8">
</c>
      <c r="AE187" s="8">
</c>
      <c r="AF187" s="8">
</c>
      <c r="AG187" s="8">
</c>
      <c r="AH187" s="8">
</c>
      <c r="AI187" s="8">
</c>
      <c r="AJ187" s="8">
</c>
      <c r="AK187" s="8">
</c>
    </row>
    <row r="188" ht="76.5" customHeight="1">
      <c r="A188" s="9">
</c>
      <c r="B188" s="9">
</c>
      <c r="C188" s="12">
</c>
      <c r="D188" s="12">
</c>
      <c r="E188" s="9">
</c>
      <c r="F188" s="8">
</c>
      <c r="G188" s="13" cm="1" t="str">
        <f t="array" ref="G188">IF(F188="","",SUBSTITUTE(SUBSTITUTE(SUBSTITUTE(SUBSTITUTE(F188,"&lt;li&gt;",CHAR(10)),"&lt;/li&gt;",""),"&lt;br&gt;",CHAR(10)),"&lt;strong&gt;",""))</f>
        <v/>
      </c>
      <c r="H188" s="13" cm="1" t="str">
        <f t="array" ref="H188">IF(G188="","",SUBSTITUTE(SUBSTITUTE(SUBSTITUTE(SUBSTITUTE(SUBSTITUTE(G188,"&lt;p&gt;",""),"&lt;/p&gt;",""),"&lt;ul&gt;",""),"&lt;/ul&gt;",""),"&lt;/strong&gt;",""))</f>
        <v/>
      </c>
      <c r="I188" s="14" cm="1" t="str">
        <f t="array" ref="I188">IF(C188="","",IF(OR(H188="",H188=0,H188=FALSE),"-",H188))</f>
        <v/>
      </c>
      <c r="J188" s="8">
</c>
      <c r="K188" s="8">
</c>
      <c r="L188" s="9" cm="1" t="str">
        <f t="array" ref="L188">IF(C188="","",IF(K188="Mort / Plus rien à faire","KO","OK"))</f>
        <v/>
      </c>
      <c r="M188" s="15">
</c>
      <c r="N188" s="15" cm="1" t="str">
        <f t="array" ref="N188">IF(OR(C188="",M188="",M188=0),"",M188)</f>
        <v/>
      </c>
      <c r="O188" s="15">
</c>
      <c r="P188" s="15" cm="1" t="str">
        <f t="array" ref="P188">IF(C188="","",IF(OR(O188="",O188=0),"-",O188))</f>
        <v/>
      </c>
      <c r="Q188" s="16">
</c>
      <c r="R188" s="16" cm="1" t="str">
        <f t="array" ref="R188">IF(C188="","",ROUND(Q188/1000000,3)&amp;" M€")</f>
        <v/>
      </c>
      <c r="S188" s="12">
</c>
      <c r="T188" s="9" cm="1" t="str">
        <f t="array" ref="T188">IF(C188="","",SUBSTITUTE(S188,"","")&amp;"%")</f>
        <v/>
      </c>
      <c r="U188" s="14" cm="1" t="str">
        <f t="array" ref="U188">IF(($N188="")*($P188=""),"",IF(($N188&lt;&gt;"")*($N188&gt;TODAY()-9)*($N188&lt;TODAY()+1)*($P188&lt;&gt;"")*($P188&gt;=TODAY())*($P188&lt;=TODAY()+13),"Semaine passée &amp; à venir",IF(($N188&lt;&gt;"")*($N188&gt;TODAY()-9)*($N188&lt;TODAY()+1),"Semaine passée",IF(($P188&lt;&gt;"")*($P188&gt;=TODAY())*($P188&lt;=TODAY()+13),"À venir","Autre"))))</f>
        <v/>
      </c>
      <c r="V188" s="8" cm="1" t="n">
        <f t="array" ref="V188">IF(C188&lt;&gt;"",1,0)</f>
        <v>0</v>
      </c>
      <c r="W188" s="8">
</c>
      <c r="X188" s="8">
</c>
      <c r="Y188" s="8">
</c>
      <c r="Z188" s="8">
</c>
      <c r="AA188" s="8">
</c>
      <c r="AB188" s="8">
</c>
      <c r="AC188" s="8">
</c>
      <c r="AD188" s="8">
</c>
      <c r="AE188" s="8">
</c>
      <c r="AF188" s="8">
</c>
      <c r="AG188" s="8">
</c>
      <c r="AH188" s="8">
</c>
      <c r="AI188" s="8">
</c>
      <c r="AJ188" s="8">
</c>
      <c r="AK188" s="8">
</c>
    </row>
    <row r="189" ht="76.5" customHeight="1">
      <c r="A189" s="9">
</c>
      <c r="B189" s="9">
</c>
      <c r="C189" s="12">
</c>
      <c r="D189" s="12">
</c>
      <c r="E189" s="9">
</c>
      <c r="F189" s="8">
</c>
      <c r="G189" s="13" cm="1" t="str">
        <f t="array" ref="G189">IF(F189="","",SUBSTITUTE(SUBSTITUTE(SUBSTITUTE(SUBSTITUTE(F189,"&lt;li&gt;",CHAR(10)),"&lt;/li&gt;",""),"&lt;br&gt;",CHAR(10)),"&lt;strong&gt;",""))</f>
        <v/>
      </c>
      <c r="H189" s="13" cm="1" t="str">
        <f t="array" ref="H189">IF(G189="","",SUBSTITUTE(SUBSTITUTE(SUBSTITUTE(SUBSTITUTE(SUBSTITUTE(G189,"&lt;p&gt;",""),"&lt;/p&gt;",""),"&lt;ul&gt;",""),"&lt;/ul&gt;",""),"&lt;/strong&gt;",""))</f>
        <v/>
      </c>
      <c r="I189" s="14" cm="1" t="str">
        <f t="array" ref="I189">IF(C189="","",IF(OR(H189="",H189=0,H189=FALSE),"-",H189))</f>
        <v/>
      </c>
      <c r="J189" s="8">
</c>
      <c r="K189" s="8">
</c>
      <c r="L189" s="9" cm="1" t="str">
        <f t="array" ref="L189">IF(C189="","",IF(K189="Mort / Plus rien à faire","KO","OK"))</f>
        <v/>
      </c>
      <c r="M189" s="15">
</c>
      <c r="N189" s="15" cm="1" t="str">
        <f t="array" ref="N189">IF(OR(C189="",M189="",M189=0),"",M189)</f>
        <v/>
      </c>
      <c r="O189" s="15">
</c>
      <c r="P189" s="15" cm="1" t="str">
        <f t="array" ref="P189">IF(C189="","",IF(OR(O189="",O189=0),"-",O189))</f>
        <v/>
      </c>
      <c r="Q189" s="16">
</c>
      <c r="R189" s="16" cm="1" t="str">
        <f t="array" ref="R189">IF(C189="","",ROUND(Q189/1000000,3)&amp;" M€")</f>
        <v/>
      </c>
      <c r="S189" s="12">
</c>
      <c r="T189" s="9" cm="1" t="str">
        <f t="array" ref="T189">IF(C189="","",SUBSTITUTE(S189,"","")&amp;"%")</f>
        <v/>
      </c>
      <c r="U189" s="14" cm="1" t="str">
        <f t="array" ref="U189">IF(($N189="")*($P189=""),"",IF(($N189&lt;&gt;"")*($N189&gt;TODAY()-9)*($N189&lt;TODAY()+1)*($P189&lt;&gt;"")*($P189&gt;=TODAY())*($P189&lt;=TODAY()+13),"Semaine passée &amp; à venir",IF(($N189&lt;&gt;"")*($N189&gt;TODAY()-9)*($N189&lt;TODAY()+1),"Semaine passée",IF(($P189&lt;&gt;"")*($P189&gt;=TODAY())*($P189&lt;=TODAY()+13),"À venir","Autre"))))</f>
        <v/>
      </c>
      <c r="V189" s="8" cm="1" t="n">
        <f t="array" ref="V189">IF(C189&lt;&gt;"",1,0)</f>
        <v>0</v>
      </c>
      <c r="W189" s="8">
</c>
      <c r="X189" s="8">
</c>
      <c r="Y189" s="8">
</c>
      <c r="Z189" s="8">
</c>
      <c r="AA189" s="8">
</c>
      <c r="AB189" s="8">
</c>
      <c r="AC189" s="8">
</c>
      <c r="AD189" s="8">
</c>
      <c r="AE189" s="8">
</c>
      <c r="AF189" s="8">
</c>
      <c r="AG189" s="8">
</c>
      <c r="AH189" s="8">
</c>
      <c r="AI189" s="8">
</c>
      <c r="AJ189" s="8">
</c>
      <c r="AK189" s="8">
</c>
    </row>
    <row r="190" ht="76.5" customHeight="1">
      <c r="A190" s="9">
</c>
      <c r="B190" s="9">
</c>
      <c r="C190" s="12">
</c>
      <c r="D190" s="12">
</c>
      <c r="E190" s="9">
</c>
      <c r="F190" s="8">
</c>
      <c r="G190" s="13" cm="1" t="str">
        <f t="array" ref="G190">IF(F190="","",SUBSTITUTE(SUBSTITUTE(SUBSTITUTE(SUBSTITUTE(F190,"&lt;li&gt;",CHAR(10)),"&lt;/li&gt;",""),"&lt;br&gt;",CHAR(10)),"&lt;strong&gt;",""))</f>
        <v/>
      </c>
      <c r="H190" s="13" cm="1" t="str">
        <f t="array" ref="H190">IF(G190="","",SUBSTITUTE(SUBSTITUTE(SUBSTITUTE(SUBSTITUTE(SUBSTITUTE(G190,"&lt;p&gt;",""),"&lt;/p&gt;",""),"&lt;ul&gt;",""),"&lt;/ul&gt;",""),"&lt;/strong&gt;",""))</f>
        <v/>
      </c>
      <c r="I190" s="14" cm="1" t="str">
        <f t="array" ref="I190">IF(C190="","",IF(OR(H190="",H190=0,H190=FALSE),"-",H190))</f>
        <v/>
      </c>
      <c r="J190" s="8">
</c>
      <c r="K190" s="8">
</c>
      <c r="L190" s="9" cm="1" t="str">
        <f t="array" ref="L190">IF(C190="","",IF(K190="Mort / Plus rien à faire","KO","OK"))</f>
        <v/>
      </c>
      <c r="M190" s="15">
</c>
      <c r="N190" s="15" cm="1" t="str">
        <f t="array" ref="N190">IF(OR(C190="",M190="",M190=0),"",M190)</f>
        <v/>
      </c>
      <c r="O190" s="15">
</c>
      <c r="P190" s="15" cm="1" t="str">
        <f t="array" ref="P190">IF(C190="","",IF(OR(O190="",O190=0),"-",O190))</f>
        <v/>
      </c>
      <c r="Q190" s="16">
</c>
      <c r="R190" s="16" cm="1" t="str">
        <f t="array" ref="R190">IF(C190="","",ROUND(Q190/1000000,3)&amp;" M€")</f>
        <v/>
      </c>
      <c r="S190" s="12">
</c>
      <c r="T190" s="9" cm="1" t="str">
        <f t="array" ref="T190">IF(C190="","",SUBSTITUTE(S190,"","")&amp;"%")</f>
        <v/>
      </c>
      <c r="U190" s="14" cm="1" t="str">
        <f t="array" ref="U190">IF(($N190="")*($P190=""),"",IF(($N190&lt;&gt;"")*($N190&gt;TODAY()-9)*($N190&lt;TODAY()+1)*($P190&lt;&gt;"")*($P190&gt;=TODAY())*($P190&lt;=TODAY()+13),"Semaine passée &amp; à venir",IF(($N190&lt;&gt;"")*($N190&gt;TODAY()-9)*($N190&lt;TODAY()+1),"Semaine passée",IF(($P190&lt;&gt;"")*($P190&gt;=TODAY())*($P190&lt;=TODAY()+13),"À venir","Autre"))))</f>
        <v/>
      </c>
      <c r="V190" s="8" cm="1" t="n">
        <f t="array" ref="V190">IF(C190&lt;&gt;"",1,0)</f>
        <v>0</v>
      </c>
      <c r="W190" s="8">
</c>
      <c r="X190" s="8">
</c>
      <c r="Y190" s="8">
</c>
      <c r="Z190" s="8">
</c>
      <c r="AA190" s="8">
</c>
      <c r="AB190" s="8">
</c>
      <c r="AC190" s="8">
</c>
      <c r="AD190" s="8">
</c>
      <c r="AE190" s="8">
</c>
      <c r="AF190" s="8">
</c>
      <c r="AG190" s="8">
</c>
      <c r="AH190" s="8">
</c>
      <c r="AI190" s="8">
</c>
      <c r="AJ190" s="8">
</c>
      <c r="AK190" s="8">
</c>
    </row>
    <row r="191" ht="76.5" customHeight="1">
      <c r="A191" s="9">
</c>
      <c r="B191" s="9">
</c>
      <c r="C191" s="12">
</c>
      <c r="D191" s="12">
</c>
      <c r="E191" s="9">
</c>
      <c r="F191" s="8">
</c>
      <c r="G191" s="13" cm="1" t="str">
        <f t="array" ref="G191">IF(F191="","",SUBSTITUTE(SUBSTITUTE(SUBSTITUTE(SUBSTITUTE(F191,"&lt;li&gt;",CHAR(10)),"&lt;/li&gt;",""),"&lt;br&gt;",CHAR(10)),"&lt;strong&gt;",""))</f>
        <v/>
      </c>
      <c r="H191" s="13" cm="1" t="str">
        <f t="array" ref="H191">IF(G191="","",SUBSTITUTE(SUBSTITUTE(SUBSTITUTE(SUBSTITUTE(SUBSTITUTE(G191,"&lt;p&gt;",""),"&lt;/p&gt;",""),"&lt;ul&gt;",""),"&lt;/ul&gt;",""),"&lt;/strong&gt;",""))</f>
        <v/>
      </c>
      <c r="I191" s="14" cm="1" t="str">
        <f t="array" ref="I191">IF(C191="","",IF(OR(H191="",H191=0,H191=FALSE),"-",H191))</f>
        <v/>
      </c>
      <c r="J191" s="8">
</c>
      <c r="K191" s="8">
</c>
      <c r="L191" s="9" cm="1" t="str">
        <f t="array" ref="L191">IF(C191="","",IF(K191="Mort / Plus rien à faire","KO","OK"))</f>
        <v/>
      </c>
      <c r="M191" s="15">
</c>
      <c r="N191" s="15" cm="1" t="str">
        <f t="array" ref="N191">IF(OR(C191="",M191="",M191=0),"",M191)</f>
        <v/>
      </c>
      <c r="O191" s="15">
</c>
      <c r="P191" s="15" cm="1" t="str">
        <f t="array" ref="P191">IF(C191="","",IF(OR(O191="",O191=0),"-",O191))</f>
        <v/>
      </c>
      <c r="Q191" s="16">
</c>
      <c r="R191" s="16" cm="1" t="str">
        <f t="array" ref="R191">IF(C191="","",ROUND(Q191/1000000,3)&amp;" M€")</f>
        <v/>
      </c>
      <c r="S191" s="12">
</c>
      <c r="T191" s="9" cm="1" t="str">
        <f t="array" ref="T191">IF(C191="","",SUBSTITUTE(S191,"","")&amp;"%")</f>
        <v/>
      </c>
      <c r="U191" s="14" cm="1" t="str">
        <f t="array" ref="U191">IF(($N191="")*($P191=""),"",IF(($N191&lt;&gt;"")*($N191&gt;TODAY()-9)*($N191&lt;TODAY()+1)*($P191&lt;&gt;"")*($P191&gt;=TODAY())*($P191&lt;=TODAY()+13),"Semaine passée &amp; à venir",IF(($N191&lt;&gt;"")*($N191&gt;TODAY()-9)*($N191&lt;TODAY()+1),"Semaine passée",IF(($P191&lt;&gt;"")*($P191&gt;=TODAY())*($P191&lt;=TODAY()+13),"À venir","Autre"))))</f>
        <v/>
      </c>
      <c r="V191" s="8" cm="1" t="n">
        <f t="array" ref="V191">IF(C191&lt;&gt;"",1,0)</f>
        <v>0</v>
      </c>
      <c r="W191" s="8">
</c>
      <c r="X191" s="8">
</c>
      <c r="Y191" s="8">
</c>
      <c r="Z191" s="8">
</c>
      <c r="AA191" s="8">
</c>
      <c r="AB191" s="8">
</c>
      <c r="AC191" s="8">
</c>
      <c r="AD191" s="8">
</c>
      <c r="AE191" s="8">
</c>
      <c r="AF191" s="8">
</c>
      <c r="AG191" s="8">
</c>
      <c r="AH191" s="8">
</c>
      <c r="AI191" s="8">
</c>
      <c r="AJ191" s="8">
</c>
      <c r="AK191" s="8">
</c>
    </row>
    <row r="192" ht="76.5" customHeight="1">
      <c r="A192" s="9">
</c>
      <c r="B192" s="9">
</c>
      <c r="C192" s="12">
</c>
      <c r="D192" s="12">
</c>
      <c r="E192" s="9">
</c>
      <c r="F192" s="8">
</c>
      <c r="G192" s="13" cm="1" t="str">
        <f t="array" ref="G192">IF(F192="","",SUBSTITUTE(SUBSTITUTE(SUBSTITUTE(SUBSTITUTE(F192,"&lt;li&gt;",CHAR(10)),"&lt;/li&gt;",""),"&lt;br&gt;",CHAR(10)),"&lt;strong&gt;",""))</f>
        <v/>
      </c>
      <c r="H192" s="13" cm="1" t="str">
        <f t="array" ref="H192">IF(G192="","",SUBSTITUTE(SUBSTITUTE(SUBSTITUTE(SUBSTITUTE(SUBSTITUTE(G192,"&lt;p&gt;",""),"&lt;/p&gt;",""),"&lt;ul&gt;",""),"&lt;/ul&gt;",""),"&lt;/strong&gt;",""))</f>
        <v/>
      </c>
      <c r="I192" s="14" cm="1" t="str">
        <f t="array" ref="I192">IF(C192="","",IF(OR(H192="",H192=0,H192=FALSE),"-",H192))</f>
        <v/>
      </c>
      <c r="J192" s="8">
</c>
      <c r="K192" s="8">
</c>
      <c r="L192" s="9" cm="1" t="str">
        <f t="array" ref="L192">IF(C192="","",IF(K192="Mort / Plus rien à faire","KO","OK"))</f>
        <v/>
      </c>
      <c r="M192" s="15">
</c>
      <c r="N192" s="15" cm="1" t="str">
        <f t="array" ref="N192">IF(OR(C192="",M192="",M192=0),"",M192)</f>
        <v/>
      </c>
      <c r="O192" s="15">
</c>
      <c r="P192" s="15" cm="1" t="str">
        <f t="array" ref="P192">IF(C192="","",IF(OR(O192="",O192=0),"-",O192))</f>
        <v/>
      </c>
      <c r="Q192" s="16">
</c>
      <c r="R192" s="16" cm="1" t="str">
        <f t="array" ref="R192">IF(C192="","",ROUND(Q192/1000000,3)&amp;" M€")</f>
        <v/>
      </c>
      <c r="S192" s="12">
</c>
      <c r="T192" s="9" cm="1" t="str">
        <f t="array" ref="T192">IF(C192="","",SUBSTITUTE(S192,"","")&amp;"%")</f>
        <v/>
      </c>
      <c r="U192" s="14" cm="1" t="str">
        <f t="array" ref="U192">IF(($N192="")*($P192=""),"",IF(($N192&lt;&gt;"")*($N192&gt;TODAY()-9)*($N192&lt;TODAY()+1)*($P192&lt;&gt;"")*($P192&gt;=TODAY())*($P192&lt;=TODAY()+13),"Semaine passée &amp; à venir",IF(($N192&lt;&gt;"")*($N192&gt;TODAY()-9)*($N192&lt;TODAY()+1),"Semaine passée",IF(($P192&lt;&gt;"")*($P192&gt;=TODAY())*($P192&lt;=TODAY()+13),"À venir","Autre"))))</f>
        <v/>
      </c>
      <c r="V192" s="8" cm="1" t="n">
        <f t="array" ref="V192">IF(C192&lt;&gt;"",1,0)</f>
        <v>0</v>
      </c>
      <c r="W192" s="8">
</c>
      <c r="X192" s="8">
</c>
      <c r="Y192" s="8">
</c>
      <c r="Z192" s="8">
</c>
      <c r="AA192" s="8">
</c>
      <c r="AB192" s="8">
</c>
      <c r="AC192" s="8">
</c>
      <c r="AD192" s="8">
</c>
      <c r="AE192" s="8">
</c>
      <c r="AF192" s="8">
</c>
      <c r="AG192" s="8">
</c>
      <c r="AH192" s="8">
</c>
      <c r="AI192" s="8">
</c>
      <c r="AJ192" s="8">
</c>
      <c r="AK192" s="8">
</c>
    </row>
    <row r="193" ht="76.5" customHeight="1">
      <c r="A193" s="9">
</c>
      <c r="B193" s="9">
</c>
      <c r="C193" s="12">
</c>
      <c r="D193" s="12">
</c>
      <c r="E193" s="9">
</c>
      <c r="F193" s="8">
</c>
      <c r="G193" s="13" cm="1" t="str">
        <f t="array" ref="G193">IF(F193="","",SUBSTITUTE(SUBSTITUTE(SUBSTITUTE(SUBSTITUTE(F193,"&lt;li&gt;",CHAR(10)),"&lt;/li&gt;",""),"&lt;br&gt;",CHAR(10)),"&lt;strong&gt;",""))</f>
        <v/>
      </c>
      <c r="H193" s="13" cm="1" t="str">
        <f t="array" ref="H193">IF(G193="","",SUBSTITUTE(SUBSTITUTE(SUBSTITUTE(SUBSTITUTE(SUBSTITUTE(G193,"&lt;p&gt;",""),"&lt;/p&gt;",""),"&lt;ul&gt;",""),"&lt;/ul&gt;",""),"&lt;/strong&gt;",""))</f>
        <v/>
      </c>
      <c r="I193" s="14" cm="1" t="str">
        <f t="array" ref="I193">IF(C193="","",IF(OR(H193="",H193=0,H193=FALSE),"-",H193))</f>
        <v/>
      </c>
      <c r="J193" s="8">
</c>
      <c r="K193" s="8">
</c>
      <c r="L193" s="9" cm="1" t="str">
        <f t="array" ref="L193">IF(C193="","",IF(K193="Mort / Plus rien à faire","KO","OK"))</f>
        <v/>
      </c>
      <c r="M193" s="15">
</c>
      <c r="N193" s="15" cm="1" t="str">
        <f t="array" ref="N193">IF(OR(C193="",M193="",M193=0),"",M193)</f>
        <v/>
      </c>
      <c r="O193" s="15">
</c>
      <c r="P193" s="15" cm="1" t="str">
        <f t="array" ref="P193">IF(C193="","",IF(OR(O193="",O193=0),"-",O193))</f>
        <v/>
      </c>
      <c r="Q193" s="16">
</c>
      <c r="R193" s="16" cm="1" t="str">
        <f t="array" ref="R193">IF(C193="","",ROUND(Q193/1000000,3)&amp;" M€")</f>
        <v/>
      </c>
      <c r="S193" s="12">
</c>
      <c r="T193" s="9" cm="1" t="str">
        <f t="array" ref="T193">IF(C193="","",SUBSTITUTE(S193,"","")&amp;"%")</f>
        <v/>
      </c>
      <c r="U193" s="14" cm="1" t="str">
        <f t="array" ref="U193">IF(($N193="")*($P193=""),"",IF(($N193&lt;&gt;"")*($N193&gt;TODAY()-9)*($N193&lt;TODAY()+1)*($P193&lt;&gt;"")*($P193&gt;=TODAY())*($P193&lt;=TODAY()+13),"Semaine passée &amp; à venir",IF(($N193&lt;&gt;"")*($N193&gt;TODAY()-9)*($N193&lt;TODAY()+1),"Semaine passée",IF(($P193&lt;&gt;"")*($P193&gt;=TODAY())*($P193&lt;=TODAY()+13),"À venir","Autre"))))</f>
        <v/>
      </c>
      <c r="V193" s="8" cm="1" t="n">
        <f t="array" ref="V193">IF(C193&lt;&gt;"",1,0)</f>
        <v>0</v>
      </c>
      <c r="W193" s="8">
</c>
      <c r="X193" s="8">
</c>
      <c r="Y193" s="8">
</c>
      <c r="Z193" s="8">
</c>
      <c r="AA193" s="8">
</c>
      <c r="AB193" s="8">
</c>
      <c r="AC193" s="8">
</c>
      <c r="AD193" s="8">
</c>
      <c r="AE193" s="8">
</c>
      <c r="AF193" s="8">
</c>
      <c r="AG193" s="8">
</c>
      <c r="AH193" s="8">
</c>
      <c r="AI193" s="8">
</c>
      <c r="AJ193" s="8">
</c>
      <c r="AK193" s="8">
</c>
    </row>
    <row r="194" ht="76.5" customHeight="1">
      <c r="A194" s="9">
</c>
      <c r="B194" s="9">
</c>
      <c r="C194" s="12">
</c>
      <c r="D194" s="12">
</c>
      <c r="E194" s="9">
</c>
      <c r="F194" s="8">
</c>
      <c r="G194" s="13" cm="1" t="str">
        <f t="array" ref="G194">IF(F194="","",SUBSTITUTE(SUBSTITUTE(SUBSTITUTE(SUBSTITUTE(F194,"&lt;li&gt;",CHAR(10)),"&lt;/li&gt;",""),"&lt;br&gt;",CHAR(10)),"&lt;strong&gt;",""))</f>
        <v/>
      </c>
      <c r="H194" s="13" cm="1" t="str">
        <f t="array" ref="H194">IF(G194="","",SUBSTITUTE(SUBSTITUTE(SUBSTITUTE(SUBSTITUTE(SUBSTITUTE(G194,"&lt;p&gt;",""),"&lt;/p&gt;",""),"&lt;ul&gt;",""),"&lt;/ul&gt;",""),"&lt;/strong&gt;",""))</f>
        <v/>
      </c>
      <c r="I194" s="14" cm="1" t="str">
        <f t="array" ref="I194">IF(C194="","",IF(OR(H194="",H194=0,H194=FALSE),"-",H194))</f>
        <v/>
      </c>
      <c r="J194" s="8">
</c>
      <c r="K194" s="8">
</c>
      <c r="L194" s="9" cm="1" t="str">
        <f t="array" ref="L194">IF(C194="","",IF(K194="Mort / Plus rien à faire","KO","OK"))</f>
        <v/>
      </c>
      <c r="M194" s="15">
</c>
      <c r="N194" s="15" cm="1" t="str">
        <f t="array" ref="N194">IF(OR(C194="",M194="",M194=0),"",M194)</f>
        <v/>
      </c>
      <c r="O194" s="15">
</c>
      <c r="P194" s="15" cm="1" t="str">
        <f t="array" ref="P194">IF(C194="","",IF(OR(O194="",O194=0),"-",O194))</f>
        <v/>
      </c>
      <c r="Q194" s="16">
</c>
      <c r="R194" s="16" cm="1" t="str">
        <f t="array" ref="R194">IF(C194="","",ROUND(Q194/1000000,3)&amp;" M€")</f>
        <v/>
      </c>
      <c r="S194" s="12">
</c>
      <c r="T194" s="9" cm="1" t="str">
        <f t="array" ref="T194">IF(C194="","",SUBSTITUTE(S194,"","")&amp;"%")</f>
        <v/>
      </c>
      <c r="U194" s="14" cm="1" t="str">
        <f t="array" ref="U194">IF(($N194="")*($P194=""),"",IF(($N194&lt;&gt;"")*($N194&gt;TODAY()-9)*($N194&lt;TODAY()+1)*($P194&lt;&gt;"")*($P194&gt;=TODAY())*($P194&lt;=TODAY()+13),"Semaine passée &amp; à venir",IF(($N194&lt;&gt;"")*($N194&gt;TODAY()-9)*($N194&lt;TODAY()+1),"Semaine passée",IF(($P194&lt;&gt;"")*($P194&gt;=TODAY())*($P194&lt;=TODAY()+13),"À venir","Autre"))))</f>
        <v/>
      </c>
      <c r="V194" s="8" cm="1" t="n">
        <f t="array" ref="V194">IF(C194&lt;&gt;"",1,0)</f>
        <v>0</v>
      </c>
      <c r="W194" s="8">
</c>
      <c r="X194" s="8">
</c>
      <c r="Y194" s="8">
</c>
      <c r="Z194" s="8">
</c>
      <c r="AA194" s="8">
</c>
      <c r="AB194" s="8">
</c>
      <c r="AC194" s="8">
</c>
      <c r="AD194" s="8">
</c>
      <c r="AE194" s="8">
</c>
      <c r="AF194" s="8">
</c>
      <c r="AG194" s="8">
</c>
      <c r="AH194" s="8">
</c>
      <c r="AI194" s="8">
</c>
      <c r="AJ194" s="8">
</c>
      <c r="AK194" s="8">
</c>
    </row>
    <row r="195" ht="76.5" customHeight="1">
      <c r="A195" s="9">
</c>
      <c r="B195" s="9">
</c>
      <c r="C195" s="12">
</c>
      <c r="D195" s="12">
</c>
      <c r="E195" s="9">
</c>
      <c r="F195" s="8">
</c>
      <c r="G195" s="13" cm="1" t="str">
        <f t="array" ref="G195">IF(F195="","",SUBSTITUTE(SUBSTITUTE(SUBSTITUTE(SUBSTITUTE(F195,"&lt;li&gt;",CHAR(10)),"&lt;/li&gt;",""),"&lt;br&gt;",CHAR(10)),"&lt;strong&gt;",""))</f>
        <v/>
      </c>
      <c r="H195" s="13" cm="1" t="str">
        <f t="array" ref="H195">IF(G195="","",SUBSTITUTE(SUBSTITUTE(SUBSTITUTE(SUBSTITUTE(SUBSTITUTE(G195,"&lt;p&gt;",""),"&lt;/p&gt;",""),"&lt;ul&gt;",""),"&lt;/ul&gt;",""),"&lt;/strong&gt;",""))</f>
        <v/>
      </c>
      <c r="I195" s="14" cm="1" t="str">
        <f t="array" ref="I195">IF(C195="","",IF(OR(H195="",H195=0,H195=FALSE),"-",H195))</f>
        <v/>
      </c>
      <c r="J195" s="8">
</c>
      <c r="K195" s="8">
</c>
      <c r="L195" s="9" cm="1" t="str">
        <f t="array" ref="L195">IF(C195="","",IF(K195="Mort / Plus rien à faire","KO","OK"))</f>
        <v/>
      </c>
      <c r="M195" s="15">
</c>
      <c r="N195" s="15" cm="1" t="str">
        <f t="array" ref="N195">IF(OR(C195="",M195="",M195=0),"",M195)</f>
        <v/>
      </c>
      <c r="O195" s="15">
</c>
      <c r="P195" s="15" cm="1" t="str">
        <f t="array" ref="P195">IF(C195="","",IF(OR(O195="",O195=0),"-",O195))</f>
        <v/>
      </c>
      <c r="Q195" s="16">
</c>
      <c r="R195" s="16" cm="1" t="str">
        <f t="array" ref="R195">IF(C195="","",ROUND(Q195/1000000,3)&amp;" M€")</f>
        <v/>
      </c>
      <c r="S195" s="12">
</c>
      <c r="T195" s="9" cm="1" t="str">
        <f t="array" ref="T195">IF(C195="","",SUBSTITUTE(S195,"","")&amp;"%")</f>
        <v/>
      </c>
      <c r="U195" s="14" cm="1" t="str">
        <f t="array" ref="U195">IF(($N195="")*($P195=""),"",IF(($N195&lt;&gt;"")*($N195&gt;TODAY()-9)*($N195&lt;TODAY()+1)*($P195&lt;&gt;"")*($P195&gt;=TODAY())*($P195&lt;=TODAY()+13),"Semaine passée &amp; à venir",IF(($N195&lt;&gt;"")*($N195&gt;TODAY()-9)*($N195&lt;TODAY()+1),"Semaine passée",IF(($P195&lt;&gt;"")*($P195&gt;=TODAY())*($P195&lt;=TODAY()+13),"À venir","Autre"))))</f>
        <v/>
      </c>
      <c r="V195" s="8" cm="1" t="n">
        <f t="array" ref="V195">IF(C195&lt;&gt;"",1,0)</f>
        <v>0</v>
      </c>
      <c r="W195" s="8">
</c>
      <c r="X195" s="8">
</c>
      <c r="Y195" s="8">
</c>
      <c r="Z195" s="8">
</c>
      <c r="AA195" s="8">
</c>
      <c r="AB195" s="8">
</c>
      <c r="AC195" s="8">
</c>
      <c r="AD195" s="8">
</c>
      <c r="AE195" s="8">
</c>
      <c r="AF195" s="8">
</c>
      <c r="AG195" s="8">
</c>
      <c r="AH195" s="8">
</c>
      <c r="AI195" s="8">
</c>
      <c r="AJ195" s="8">
</c>
      <c r="AK195" s="8">
</c>
    </row>
    <row r="196" ht="76.5" customHeight="1">
      <c r="A196" s="9">
</c>
      <c r="B196" s="9">
</c>
      <c r="C196" s="12">
</c>
      <c r="D196" s="12">
</c>
      <c r="E196" s="9">
</c>
      <c r="F196" s="8">
</c>
      <c r="G196" s="13" cm="1" t="str">
        <f t="array" ref="G196">IF(F196="","",SUBSTITUTE(SUBSTITUTE(SUBSTITUTE(SUBSTITUTE(F196,"&lt;li&gt;",CHAR(10)),"&lt;/li&gt;",""),"&lt;br&gt;",CHAR(10)),"&lt;strong&gt;",""))</f>
        <v/>
      </c>
      <c r="H196" s="13" cm="1" t="str">
        <f t="array" ref="H196">IF(G196="","",SUBSTITUTE(SUBSTITUTE(SUBSTITUTE(SUBSTITUTE(SUBSTITUTE(G196,"&lt;p&gt;",""),"&lt;/p&gt;",""),"&lt;ul&gt;",""),"&lt;/ul&gt;",""),"&lt;/strong&gt;",""))</f>
        <v/>
      </c>
      <c r="I196" s="14" cm="1" t="str">
        <f t="array" ref="I196">IF(C196="","",IF(OR(H196="",H196=0,H196=FALSE),"-",H196))</f>
        <v/>
      </c>
      <c r="J196" s="8">
</c>
      <c r="K196" s="8">
</c>
      <c r="L196" s="9" cm="1" t="str">
        <f t="array" ref="L196">IF(C196="","",IF(K196="Mort / Plus rien à faire","KO","OK"))</f>
        <v/>
      </c>
      <c r="M196" s="15">
</c>
      <c r="N196" s="15" cm="1" t="str">
        <f t="array" ref="N196">IF(OR(C196="",M196="",M196=0),"",M196)</f>
        <v/>
      </c>
      <c r="O196" s="15">
</c>
      <c r="P196" s="15" cm="1" t="str">
        <f t="array" ref="P196">IF(C196="","",IF(OR(O196="",O196=0),"-",O196))</f>
        <v/>
      </c>
      <c r="Q196" s="16">
</c>
      <c r="R196" s="16" cm="1" t="str">
        <f t="array" ref="R196">IF(C196="","",ROUND(Q196/1000000,3)&amp;" M€")</f>
        <v/>
      </c>
      <c r="S196" s="12">
</c>
      <c r="T196" s="9" cm="1" t="str">
        <f t="array" ref="T196">IF(C196="","",SUBSTITUTE(S196,"","")&amp;"%")</f>
        <v/>
      </c>
      <c r="U196" s="14" cm="1" t="str">
        <f t="array" ref="U196">IF(($N196="")*($P196=""),"",IF(($N196&lt;&gt;"")*($N196&gt;TODAY()-9)*($N196&lt;TODAY()+1)*($P196&lt;&gt;"")*($P196&gt;=TODAY())*($P196&lt;=TODAY()+13),"Semaine passée &amp; à venir",IF(($N196&lt;&gt;"")*($N196&gt;TODAY()-9)*($N196&lt;TODAY()+1),"Semaine passée",IF(($P196&lt;&gt;"")*($P196&gt;=TODAY())*($P196&lt;=TODAY()+13),"À venir","Autre"))))</f>
        <v/>
      </c>
      <c r="V196" s="8" cm="1" t="n">
        <f t="array" ref="V196">IF(C196&lt;&gt;"",1,0)</f>
        <v>0</v>
      </c>
      <c r="W196" s="8">
</c>
      <c r="X196" s="8">
</c>
      <c r="Y196" s="8">
</c>
      <c r="Z196" s="8">
</c>
      <c r="AA196" s="8">
</c>
      <c r="AB196" s="8">
</c>
      <c r="AC196" s="8">
</c>
      <c r="AD196" s="8">
</c>
      <c r="AE196" s="8">
</c>
      <c r="AF196" s="8">
</c>
      <c r="AG196" s="8">
</c>
      <c r="AH196" s="8">
</c>
      <c r="AI196" s="8">
</c>
      <c r="AJ196" s="8">
</c>
      <c r="AK196" s="8">
</c>
    </row>
    <row r="197" ht="76.5" customHeight="1">
      <c r="A197" s="9">
</c>
      <c r="B197" s="9">
</c>
      <c r="C197" s="12">
</c>
      <c r="D197" s="12">
</c>
      <c r="E197" s="9">
</c>
      <c r="F197" s="8">
</c>
      <c r="G197" s="13" cm="1" t="str">
        <f t="array" ref="G197">IF(F197="","",SUBSTITUTE(SUBSTITUTE(SUBSTITUTE(SUBSTITUTE(F197,"&lt;li&gt;",CHAR(10)),"&lt;/li&gt;",""),"&lt;br&gt;",CHAR(10)),"&lt;strong&gt;",""))</f>
        <v/>
      </c>
      <c r="H197" s="13" cm="1" t="str">
        <f t="array" ref="H197">IF(G197="","",SUBSTITUTE(SUBSTITUTE(SUBSTITUTE(SUBSTITUTE(SUBSTITUTE(G197,"&lt;p&gt;",""),"&lt;/p&gt;",""),"&lt;ul&gt;",""),"&lt;/ul&gt;",""),"&lt;/strong&gt;",""))</f>
        <v/>
      </c>
      <c r="I197" s="14" cm="1" t="str">
        <f t="array" ref="I197">IF(C197="","",IF(OR(H197="",H197=0,H197=FALSE),"-",H197))</f>
        <v/>
      </c>
      <c r="J197" s="8">
</c>
      <c r="K197" s="8">
</c>
      <c r="L197" s="9" cm="1" t="str">
        <f t="array" ref="L197">IF(C197="","",IF(K197="Mort / Plus rien à faire","KO","OK"))</f>
        <v/>
      </c>
      <c r="M197" s="15">
</c>
      <c r="N197" s="15" cm="1" t="str">
        <f t="array" ref="N197">IF(OR(C197="",M197="",M197=0),"",M197)</f>
        <v/>
      </c>
      <c r="O197" s="15">
</c>
      <c r="P197" s="15" cm="1" t="str">
        <f t="array" ref="P197">IF(C197="","",IF(OR(O197="",O197=0),"-",O197))</f>
        <v/>
      </c>
      <c r="Q197" s="16">
</c>
      <c r="R197" s="16" cm="1" t="str">
        <f t="array" ref="R197">IF(C197="","",ROUND(Q197/1000000,3)&amp;" M€")</f>
        <v/>
      </c>
      <c r="S197" s="12">
</c>
      <c r="T197" s="9" cm="1" t="str">
        <f t="array" ref="T197">IF(C197="","",SUBSTITUTE(S197,"","")&amp;"%")</f>
        <v/>
      </c>
      <c r="U197" s="14" cm="1" t="str">
        <f t="array" ref="U197">IF(($N197="")*($P197=""),"",IF(($N197&lt;&gt;"")*($N197&gt;TODAY()-9)*($N197&lt;TODAY()+1)*($P197&lt;&gt;"")*($P197&gt;=TODAY())*($P197&lt;=TODAY()+13),"Semaine passée &amp; à venir",IF(($N197&lt;&gt;"")*($N197&gt;TODAY()-9)*($N197&lt;TODAY()+1),"Semaine passée",IF(($P197&lt;&gt;"")*($P197&gt;=TODAY())*($P197&lt;=TODAY()+13),"À venir","Autre"))))</f>
        <v/>
      </c>
      <c r="V197" s="8" cm="1" t="n">
        <f t="array" ref="V197">IF(C197&lt;&gt;"",1,0)</f>
        <v>0</v>
      </c>
      <c r="W197" s="8">
</c>
      <c r="X197" s="8">
</c>
      <c r="Y197" s="8">
</c>
      <c r="Z197" s="8">
</c>
      <c r="AA197" s="8">
</c>
      <c r="AB197" s="8">
</c>
      <c r="AC197" s="8">
</c>
      <c r="AD197" s="8">
</c>
      <c r="AE197" s="8">
</c>
      <c r="AF197" s="8">
</c>
      <c r="AG197" s="8">
</c>
      <c r="AH197" s="8">
</c>
      <c r="AI197" s="8">
</c>
      <c r="AJ197" s="8">
</c>
      <c r="AK197" s="8">
</c>
    </row>
    <row r="198" ht="76.5" customHeight="1">
      <c r="A198" s="9">
</c>
      <c r="B198" s="9">
</c>
      <c r="C198" s="12">
</c>
      <c r="D198" s="12">
</c>
      <c r="E198" s="9">
</c>
      <c r="F198" s="8">
</c>
      <c r="G198" s="13" cm="1" t="str">
        <f t="array" ref="G198">IF(F198="","",SUBSTITUTE(SUBSTITUTE(SUBSTITUTE(SUBSTITUTE(F198,"&lt;li&gt;",CHAR(10)),"&lt;/li&gt;",""),"&lt;br&gt;",CHAR(10)),"&lt;strong&gt;",""))</f>
        <v/>
      </c>
      <c r="H198" s="13" cm="1" t="str">
        <f t="array" ref="H198">IF(G198="","",SUBSTITUTE(SUBSTITUTE(SUBSTITUTE(SUBSTITUTE(SUBSTITUTE(G198,"&lt;p&gt;",""),"&lt;/p&gt;",""),"&lt;ul&gt;",""),"&lt;/ul&gt;",""),"&lt;/strong&gt;",""))</f>
        <v/>
      </c>
      <c r="I198" s="14" cm="1" t="str">
        <f t="array" ref="I198">IF(C198="","",IF(OR(H198="",H198=0,H198=FALSE),"-",H198))</f>
        <v/>
      </c>
      <c r="J198" s="8">
</c>
      <c r="K198" s="8">
</c>
      <c r="L198" s="9" cm="1" t="str">
        <f t="array" ref="L198">IF(C198="","",IF(K198="Mort / Plus rien à faire","KO","OK"))</f>
        <v/>
      </c>
      <c r="M198" s="15">
</c>
      <c r="N198" s="15" cm="1" t="str">
        <f t="array" ref="N198">IF(OR(C198="",M198="",M198=0),"",M198)</f>
        <v/>
      </c>
      <c r="O198" s="15">
</c>
      <c r="P198" s="15" cm="1" t="str">
        <f t="array" ref="P198">IF(C198="","",IF(OR(O198="",O198=0),"-",O198))</f>
        <v/>
      </c>
      <c r="Q198" s="16">
</c>
      <c r="R198" s="16" cm="1" t="str">
        <f t="array" ref="R198">IF(C198="","",ROUND(Q198/1000000,3)&amp;" M€")</f>
        <v/>
      </c>
      <c r="S198" s="12">
</c>
      <c r="T198" s="9" cm="1" t="str">
        <f t="array" ref="T198">IF(C198="","",SUBSTITUTE(S198,"","")&amp;"%")</f>
        <v/>
      </c>
      <c r="U198" s="14" cm="1" t="str">
        <f t="array" ref="U198">IF(($N198="")*($P198=""),"",IF(($N198&lt;&gt;"")*($N198&gt;TODAY()-9)*($N198&lt;TODAY()+1)*($P198&lt;&gt;"")*($P198&gt;=TODAY())*($P198&lt;=TODAY()+13),"Semaine passée &amp; à venir",IF(($N198&lt;&gt;"")*($N198&gt;TODAY()-9)*($N198&lt;TODAY()+1),"Semaine passée",IF(($P198&lt;&gt;"")*($P198&gt;=TODAY())*($P198&lt;=TODAY()+13),"À venir","Autre"))))</f>
        <v/>
      </c>
      <c r="V198" s="8" cm="1" t="n">
        <f t="array" ref="V198">IF(C198&lt;&gt;"",1,0)</f>
        <v>0</v>
      </c>
      <c r="W198" s="8">
</c>
      <c r="X198" s="8">
</c>
      <c r="Y198" s="8">
</c>
      <c r="Z198" s="8">
</c>
      <c r="AA198" s="8">
</c>
      <c r="AB198" s="8">
</c>
      <c r="AC198" s="8">
</c>
      <c r="AD198" s="8">
</c>
      <c r="AE198" s="8">
</c>
      <c r="AF198" s="8">
</c>
      <c r="AG198" s="8">
</c>
      <c r="AH198" s="8">
</c>
      <c r="AI198" s="8">
</c>
      <c r="AJ198" s="8">
</c>
      <c r="AK198" s="8">
</c>
    </row>
    <row r="199" ht="76.5" customHeight="1">
      <c r="A199" s="9">
</c>
      <c r="B199" s="9">
</c>
      <c r="C199" s="12">
</c>
      <c r="D199" s="12">
</c>
      <c r="E199" s="9">
</c>
      <c r="F199" s="8">
</c>
      <c r="G199" s="13" cm="1" t="str">
        <f t="array" ref="G199">IF(F199="","",SUBSTITUTE(SUBSTITUTE(SUBSTITUTE(SUBSTITUTE(F199,"&lt;li&gt;",CHAR(10)),"&lt;/li&gt;",""),"&lt;br&gt;",CHAR(10)),"&lt;strong&gt;",""))</f>
        <v/>
      </c>
      <c r="H199" s="13" cm="1" t="str">
        <f t="array" ref="H199">IF(G199="","",SUBSTITUTE(SUBSTITUTE(SUBSTITUTE(SUBSTITUTE(SUBSTITUTE(G199,"&lt;p&gt;",""),"&lt;/p&gt;",""),"&lt;ul&gt;",""),"&lt;/ul&gt;",""),"&lt;/strong&gt;",""))</f>
        <v/>
      </c>
      <c r="I199" s="14" cm="1" t="str">
        <f t="array" ref="I199">IF(C199="","",IF(OR(H199="",H199=0,H199=FALSE),"-",H199))</f>
        <v/>
      </c>
      <c r="J199" s="8">
</c>
      <c r="K199" s="8">
</c>
      <c r="L199" s="9" cm="1" t="str">
        <f t="array" ref="L199">IF(C199="","",IF(K199="Mort / Plus rien à faire","KO","OK"))</f>
        <v/>
      </c>
      <c r="M199" s="15">
</c>
      <c r="N199" s="15" cm="1" t="str">
        <f t="array" ref="N199">IF(OR(C199="",M199="",M199=0),"",M199)</f>
        <v/>
      </c>
      <c r="O199" s="15">
</c>
      <c r="P199" s="15" cm="1" t="str">
        <f t="array" ref="P199">IF(C199="","",IF(OR(O199="",O199=0),"-",O199))</f>
        <v/>
      </c>
      <c r="Q199" s="16">
</c>
      <c r="R199" s="16" cm="1" t="str">
        <f t="array" ref="R199">IF(C199="","",ROUND(Q199/1000000,3)&amp;" M€")</f>
        <v/>
      </c>
      <c r="S199" s="12">
</c>
      <c r="T199" s="9" cm="1" t="str">
        <f t="array" ref="T199">IF(C199="","",SUBSTITUTE(S199,"","")&amp;"%")</f>
        <v/>
      </c>
      <c r="U199" s="14" cm="1" t="str">
        <f t="array" ref="U199">IF(($N199="")*($P199=""),"",IF(($N199&lt;&gt;"")*($N199&gt;TODAY()-9)*($N199&lt;TODAY()+1)*($P199&lt;&gt;"")*($P199&gt;=TODAY())*($P199&lt;=TODAY()+13),"Semaine passée &amp; à venir",IF(($N199&lt;&gt;"")*($N199&gt;TODAY()-9)*($N199&lt;TODAY()+1),"Semaine passée",IF(($P199&lt;&gt;"")*($P199&gt;=TODAY())*($P199&lt;=TODAY()+13),"À venir","Autre"))))</f>
        <v/>
      </c>
      <c r="V199" s="8" cm="1" t="n">
        <f t="array" ref="V199">IF(C199&lt;&gt;"",1,0)</f>
        <v>0</v>
      </c>
      <c r="W199" s="8">
</c>
      <c r="X199" s="8">
</c>
      <c r="Y199" s="8">
</c>
      <c r="Z199" s="8">
</c>
      <c r="AA199" s="8">
</c>
      <c r="AB199" s="8">
</c>
      <c r="AC199" s="8">
</c>
      <c r="AD199" s="8">
</c>
      <c r="AE199" s="8">
</c>
      <c r="AF199" s="8">
</c>
      <c r="AG199" s="8">
</c>
      <c r="AH199" s="8">
</c>
      <c r="AI199" s="8">
</c>
      <c r="AJ199" s="8">
</c>
      <c r="AK199" s="8">
</c>
    </row>
    <row r="200" ht="76.5" customHeight="1">
      <c r="A200" s="9">
</c>
      <c r="B200" s="9">
</c>
      <c r="C200" s="12">
</c>
      <c r="D200" s="12">
</c>
      <c r="E200" s="9">
</c>
      <c r="F200" s="8">
</c>
      <c r="G200" s="13" cm="1" t="str">
        <f t="array" ref="G200">IF(F200="","",SUBSTITUTE(SUBSTITUTE(SUBSTITUTE(SUBSTITUTE(F200,"&lt;li&gt;",CHAR(10)),"&lt;/li&gt;",""),"&lt;br&gt;",CHAR(10)),"&lt;strong&gt;",""))</f>
        <v/>
      </c>
      <c r="H200" s="13" cm="1" t="str">
        <f t="array" ref="H200">IF(G200="","",SUBSTITUTE(SUBSTITUTE(SUBSTITUTE(SUBSTITUTE(SUBSTITUTE(G200,"&lt;p&gt;",""),"&lt;/p&gt;",""),"&lt;ul&gt;",""),"&lt;/ul&gt;",""),"&lt;/strong&gt;",""))</f>
        <v/>
      </c>
      <c r="I200" s="14" cm="1" t="str">
        <f t="array" ref="I200">IF(C200="","",IF(OR(H200="",H200=0,H200=FALSE),"-",H200))</f>
        <v/>
      </c>
      <c r="J200" s="8">
</c>
      <c r="K200" s="8">
</c>
      <c r="L200" s="9" cm="1" t="str">
        <f t="array" ref="L200">IF(C200="","",IF(K200="Mort / Plus rien à faire","KO","OK"))</f>
        <v/>
      </c>
      <c r="M200" s="15">
</c>
      <c r="N200" s="15" cm="1" t="str">
        <f t="array" ref="N200">IF(OR(C200="",M200="",M200=0),"",M200)</f>
        <v/>
      </c>
      <c r="O200" s="15">
</c>
      <c r="P200" s="15" cm="1" t="str">
        <f t="array" ref="P200">IF(C200="","",IF(OR(O200="",O200=0),"-",O200))</f>
        <v/>
      </c>
      <c r="Q200" s="16">
</c>
      <c r="R200" s="16" cm="1" t="str">
        <f t="array" ref="R200">IF(C200="","",ROUND(Q200/1000000,3)&amp;" M€")</f>
        <v/>
      </c>
      <c r="S200" s="12">
</c>
      <c r="T200" s="9" cm="1" t="str">
        <f t="array" ref="T200">IF(C200="","",SUBSTITUTE(S200,"","")&amp;"%")</f>
        <v/>
      </c>
      <c r="U200" s="14" cm="1" t="str">
        <f t="array" ref="U200">IF(($N200="")*($P200=""),"",IF(($N200&lt;&gt;"")*($N200&gt;TODAY()-9)*($N200&lt;TODAY()+1)*($P200&lt;&gt;"")*($P200&gt;=TODAY())*($P200&lt;=TODAY()+13),"Semaine passée &amp; à venir",IF(($N200&lt;&gt;"")*($N200&gt;TODAY()-9)*($N200&lt;TODAY()+1),"Semaine passée",IF(($P200&lt;&gt;"")*($P200&gt;=TODAY())*($P200&lt;=TODAY()+13),"À venir","Autre"))))</f>
        <v/>
      </c>
      <c r="V200" s="8" cm="1" t="n">
        <f t="array" ref="V200">IF(C200&lt;&gt;"",1,0)</f>
        <v>0</v>
      </c>
      <c r="W200" s="8">
</c>
      <c r="X200" s="8">
</c>
      <c r="Y200" s="8">
</c>
      <c r="Z200" s="8">
</c>
      <c r="AA200" s="8">
</c>
      <c r="AB200" s="8">
</c>
      <c r="AC200" s="8">
</c>
      <c r="AD200" s="8">
</c>
      <c r="AE200" s="8">
</c>
      <c r="AF200" s="8">
</c>
      <c r="AG200" s="8">
</c>
      <c r="AH200" s="8">
</c>
      <c r="AI200" s="8">
</c>
      <c r="AJ200" s="8">
</c>
      <c r="AK200" s="8">
</c>
    </row>
    <row r="201" ht="76.5" customHeight="1">
      <c r="A201" s="9">
</c>
      <c r="B201" s="9">
</c>
      <c r="C201" s="12">
</c>
      <c r="D201" s="12">
</c>
      <c r="E201" s="9">
</c>
      <c r="F201" s="8">
</c>
      <c r="G201" s="13" cm="1" t="str">
        <f t="array" ref="G201">IF(F201="","",SUBSTITUTE(SUBSTITUTE(SUBSTITUTE(SUBSTITUTE(F201,"&lt;li&gt;",CHAR(10)),"&lt;/li&gt;",""),"&lt;br&gt;",CHAR(10)),"&lt;strong&gt;",""))</f>
        <v/>
      </c>
      <c r="H201" s="13" cm="1" t="str">
        <f t="array" ref="H201">IF(G201="","",SUBSTITUTE(SUBSTITUTE(SUBSTITUTE(SUBSTITUTE(SUBSTITUTE(G201,"&lt;p&gt;",""),"&lt;/p&gt;",""),"&lt;ul&gt;",""),"&lt;/ul&gt;",""),"&lt;/strong&gt;",""))</f>
        <v/>
      </c>
      <c r="I201" s="14" cm="1" t="str">
        <f t="array" ref="I201">IF(C201="","",IF(OR(H201="",H201=0,H201=FALSE),"-",H201))</f>
        <v/>
      </c>
      <c r="J201" s="8">
</c>
      <c r="K201" s="8">
</c>
      <c r="L201" s="9" cm="1" t="str">
        <f t="array" ref="L201">IF(C201="","",IF(K201="Mort / Plus rien à faire","KO","OK"))</f>
        <v/>
      </c>
      <c r="M201" s="15">
</c>
      <c r="N201" s="15" cm="1" t="str">
        <f t="array" ref="N201">IF(OR(C201="",M201="",M201=0),"",M201)</f>
        <v/>
      </c>
      <c r="O201" s="15">
</c>
      <c r="P201" s="15" cm="1" t="str">
        <f t="array" ref="P201">IF(C201="","",IF(OR(O201="",O201=0),"-",O201))</f>
        <v/>
      </c>
      <c r="Q201" s="16">
</c>
      <c r="R201" s="16" cm="1" t="str">
        <f t="array" ref="R201">IF(C201="","",ROUND(Q201/1000000,3)&amp;" M€")</f>
        <v/>
      </c>
      <c r="S201" s="12">
</c>
      <c r="T201" s="9" cm="1" t="str">
        <f t="array" ref="T201">IF(C201="","",SUBSTITUTE(S201,"","")&amp;"%")</f>
        <v/>
      </c>
      <c r="U201" s="14" cm="1" t="str">
        <f t="array" ref="U201">IF(($N201="")*($P201=""),"",IF(($N201&lt;&gt;"")*($N201&gt;TODAY()-9)*($N201&lt;TODAY()+1)*($P201&lt;&gt;"")*($P201&gt;=TODAY())*($P201&lt;=TODAY()+13),"Semaine passée &amp; à venir",IF(($N201&lt;&gt;"")*($N201&gt;TODAY()-9)*($N201&lt;TODAY()+1),"Semaine passée",IF(($P201&lt;&gt;"")*($P201&gt;=TODAY())*($P201&lt;=TODAY()+13),"À venir","Autre"))))</f>
        <v/>
      </c>
      <c r="V201" s="8" cm="1" t="n">
        <f t="array" ref="V201">IF(C201&lt;&gt;"",1,0)</f>
        <v>0</v>
      </c>
      <c r="W201" s="8">
</c>
      <c r="X201" s="8">
</c>
      <c r="Y201" s="8">
</c>
      <c r="Z201" s="8">
</c>
      <c r="AA201" s="8">
</c>
      <c r="AB201" s="8">
</c>
      <c r="AC201" s="8">
</c>
      <c r="AD201" s="8">
</c>
      <c r="AE201" s="8">
</c>
      <c r="AF201" s="8">
</c>
      <c r="AG201" s="8">
</c>
      <c r="AH201" s="8">
</c>
      <c r="AI201" s="8">
</c>
      <c r="AJ201" s="8">
</c>
      <c r="AK201" s="8">
</c>
    </row>
    <row r="202" ht="76.5" customHeight="1">
      <c r="A202" s="9">
</c>
      <c r="B202" s="9">
</c>
      <c r="C202" s="12">
</c>
      <c r="D202" s="12">
</c>
      <c r="E202" s="9">
</c>
      <c r="F202" s="8">
</c>
      <c r="G202" s="13" cm="1" t="str">
        <f t="array" ref="G202">IF(F202="","",SUBSTITUTE(SUBSTITUTE(SUBSTITUTE(SUBSTITUTE(F202,"&lt;li&gt;",CHAR(10)),"&lt;/li&gt;",""),"&lt;br&gt;",CHAR(10)),"&lt;strong&gt;",""))</f>
        <v/>
      </c>
      <c r="H202" s="13" cm="1" t="str">
        <f t="array" ref="H202">IF(G202="","",SUBSTITUTE(SUBSTITUTE(SUBSTITUTE(SUBSTITUTE(SUBSTITUTE(G202,"&lt;p&gt;",""),"&lt;/p&gt;",""),"&lt;ul&gt;",""),"&lt;/ul&gt;",""),"&lt;/strong&gt;",""))</f>
        <v/>
      </c>
      <c r="I202" s="14" cm="1" t="str">
        <f t="array" ref="I202">IF(C202="","",IF(OR(H202="",H202=0,H202=FALSE),"-",H202))</f>
        <v/>
      </c>
      <c r="J202" s="8">
</c>
      <c r="K202" s="8">
</c>
      <c r="L202" s="9" cm="1" t="str">
        <f t="array" ref="L202">IF(C202="","",IF(K202="Mort / Plus rien à faire","KO","OK"))</f>
        <v/>
      </c>
      <c r="M202" s="15">
</c>
      <c r="N202" s="15" cm="1" t="str">
        <f t="array" ref="N202">IF(OR(C202="",M202="",M202=0),"",M202)</f>
        <v/>
      </c>
      <c r="O202" s="15">
</c>
      <c r="P202" s="15" cm="1" t="str">
        <f t="array" ref="P202">IF(C202="","",IF(OR(O202="",O202=0),"-",O202))</f>
        <v/>
      </c>
      <c r="Q202" s="16">
</c>
      <c r="R202" s="16" cm="1" t="str">
        <f t="array" ref="R202">IF(C202="","",ROUND(Q202/1000000,3)&amp;" M€")</f>
        <v/>
      </c>
      <c r="S202" s="12">
</c>
      <c r="T202" s="9" cm="1" t="str">
        <f t="array" ref="T202">IF(C202="","",SUBSTITUTE(S202,"","")&amp;"%")</f>
        <v/>
      </c>
      <c r="U202" s="14" cm="1" t="str">
        <f t="array" ref="U202">IF(($N202="")*($P202=""),"",IF(($N202&lt;&gt;"")*($N202&gt;TODAY()-9)*($N202&lt;TODAY()+1)*($P202&lt;&gt;"")*($P202&gt;=TODAY())*($P202&lt;=TODAY()+13),"Semaine passée &amp; à venir",IF(($N202&lt;&gt;"")*($N202&gt;TODAY()-9)*($N202&lt;TODAY()+1),"Semaine passée",IF(($P202&lt;&gt;"")*($P202&gt;=TODAY())*($P202&lt;=TODAY()+13),"À venir","Autre"))))</f>
        <v/>
      </c>
      <c r="V202" s="8" cm="1" t="n">
        <f t="array" ref="V202">IF(C202&lt;&gt;"",1,0)</f>
        <v>0</v>
      </c>
      <c r="W202" s="8">
</c>
      <c r="X202" s="8">
</c>
      <c r="Y202" s="8">
</c>
      <c r="Z202" s="8">
</c>
      <c r="AA202" s="8">
</c>
      <c r="AB202" s="8">
</c>
      <c r="AC202" s="8">
</c>
      <c r="AD202" s="8">
</c>
      <c r="AE202" s="8">
</c>
      <c r="AF202" s="8">
</c>
      <c r="AG202" s="8">
</c>
      <c r="AH202" s="8">
</c>
      <c r="AI202" s="8">
</c>
      <c r="AJ202" s="8">
</c>
      <c r="AK202" s="8">
</c>
    </row>
  </sheetData>
  <conditionalFormatting sqref="N4:N202">
    <cfRule priority="1" stopIfTrue="0" type="expression" dxfId="0">
      <formula>($N4&lt;&gt;"")*(($N4&gt;TODAY()-9)*($N4&lt;TODAY()+1)+(INT($N4)=TODAY()))
</formula>
    </cfRule>
  </conditionalFormatting>
  <conditionalFormatting sqref="P4:P202">
    <cfRule priority="1" stopIfTrue="0" type="expression" dxfId="1">
      <formula>($P4&lt;&gt;"")*($P4&gt;=TODAY())*($P4&lt;=TODAY()+13)</formula>
    </cfRule>
  </conditionalFormatting>
  <conditionalFormatting sqref="I4:I202">
    <cfRule priority="1" stopIfTrue="0" type="expression" dxfId="0">
      <formula>(($N4&lt;&gt;"")*($N4&gt;TODAY()-9)*($N4&lt;=TODAY())) + (($P4&lt;&gt;"")*($P4&gt;=TODAY())*($P4&lt;=TODAY()+13))</formula>
    </cfRule>
  </conditionalFormatting>
  <conditionalFormatting sqref="U4:U202">
    <cfRule priority="1" stopIfTrue="0" type="containsText" text="À venir" operator="containsText" dxfId="0">
      <formula>NOT(ISERROR(SEARCH("À venir",U4)))</formula>
    </cfRule>
  </conditionalFormatting>
  <conditionalFormatting sqref="U4:U202">
    <cfRule priority="1" stopIfTrue="0" type="containsText" text="Semaine passée" operator="containsText" dxfId="0">
      <formula>NOT(ISERROR(SEARCH("Semaine passée",U4)))</formula>
    </cfRule>
  </conditionalFormatting>
  <conditionalFormatting sqref="U4:U202">
    <cfRule priority="1" stopIfTrue="0" type="containsText" text="Semaine passée &amp; à venir" operator="containsText" dxfId="0">
      <formula>NOT(ISERROR(SEARCH("Semaine passée &amp; à venir",U4)))</formula>
    </cfRule>
  </conditionalFormatting>
  <tableParts count="1">
    <tablePart r:id="rId1"/>
  </tableParts>
</worksheet>
</file>
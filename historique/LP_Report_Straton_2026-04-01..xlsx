
<file path=[Content_Types].xml><?xml version="1.0" encoding="utf-8"?>
<Types xmlns="http://schemas.openxmlformats.org/package/2006/content-types">
  <Default Extension="avif" ContentType="image/avif"/>
  <Default Extension="bmp" ContentType="image/bmp"/>
  <Default Extension="gif" ContentType="image/gif"/>
  <Default Extension="ico" ContentType="image/vnd.microsoft.icon"/>
  <Default Extension="jpeg" ContentType="image/jpeg"/>
  <Default Extension="png" ContentType="image/png"/>
  <Default Extension="tiff" ContentType="image/tiff"/>
  <Default Extension="webp" ContentType="image/webp"/>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table+xml" PartName="/xl/tables/table1.xml"/>
  <Override ContentType="application/vnd.openxmlformats-officedocument.spreadsheetml.worksheet+xml" PartName="/xl/worksheets/sheet0.xml"/>
  <Override ContentType="application/vnd.openxmlformats-officedocument.spreadsheetml.sheetMetadata+xml" PartName="/xl/metadata.xml"/>
  <Override ContentType="application/vnd.openxmlformats-officedocument.spreadsheetml.styles+xml" PartName="/xl/styles.xml"/>
  <Override ContentType="application/vnd.openxmlformats-officedocument.spreadsheetml.sharedStrings+xml" PartName="/xl/sharedStrings.xml"/>
</Types>
</file>

<file path=_rels/.rels><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state="visible" name="Pipeline (Liste #1)" sheetId="1" r:id="rId1"/>
  </sheets>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<sst xmlns="http://schemas.openxmlformats.org/spreadsheetml/2006/main" count="483" uniqueCount="483">
  <si>
    <t xml:space="preserve">    Fichier LP</t>
  </si>
  <si>
    <t>Fonds</t>
  </si>
  <si>
    <t>Typologie</t>
  </si>
  <si>
    <t>Entité</t>
  </si>
  <si>
    <t>Contact</t>
  </si>
  <si>
    <t>Contact Levée</t>
  </si>
  <si>
    <t>Commentaire</t>
  </si>
  <si>
    <t>Commentaire2</t>
  </si>
  <si>
    <t>Commentaire3</t>
  </si>
  <si>
    <t>Commentaire4</t>
  </si>
  <si>
    <t>Activités</t>
  </si>
  <si>
    <t>Étape</t>
  </si>
  <si>
    <t>Intérêt</t>
  </si>
  <si>
    <t>Date de dernière activité</t>
  </si>
  <si>
    <t>Dernière activité</t>
  </si>
  <si>
    <t>Date de prochaine activité</t>
  </si>
  <si>
    <t>Prochaine activité</t>
  </si>
  <si>
    <t>Revenu attendu</t>
  </si>
  <si>
    <t>Ticket</t>
  </si>
  <si>
    <t>% de Maturation</t>
  </si>
  <si>
    <t>Matu.</t>
  </si>
  <si>
    <t>Tri</t>
  </si>
  <si>
    <t>compteur</t>
  </si>
  <si>
    <t>CAP-DEV - Straton</t>
  </si>
  <si>
    <t>Fondation</t>
  </si>
  <si>
    <t>MUTILES ET VICTIMES DE GUERRE - FONDATION ANDRE MAGINOT</t>
  </si>
  <si>
    <t>Patrick Remm</t>
  </si>
  <si>
    <t>Romain Andrieu</t>
  </si>
  <si>
    <t>&lt;p&gt;CA juin : décision 1M€ SIENNA IM, 1M€ STRATON, investissement prévu 2026, SIENNA prioritaire. Défense jugé trop tôt, non coté. Demande RDV gal Peter, Patrick Remm, copie Christien Piquet. 25/03 : finalisation appels de marge, toujours pas de BS signé. Prochaine étape : relance avant 03/04.&lt;/p&gt;</t>
  </si>
  <si>
    <t>le 25 mars / finalisation des appels de marge</t>
  </si>
  <si>
    <t>Souscription réalisée</t>
  </si>
  <si>
    <t>100</t>
  </si>
  <si>
    <t>Assurance/Mutuelle</t>
  </si>
  <si>
    <t>SACRA</t>
  </si>
  <si>
    <t>Steve BAUMANN</t>
  </si>
  <si>
    <t>&lt;p&gt;Nouvelle piste créée pour équipe Ventes, aucune activité ou échange significatif enregistré ensuite. Mention d'une finalisation en janvier 2026 mais sans détail sur actions ou retours prospect. Pas d'étape ou prochaine action identifiée. Aucun retour prospect sur fonds présenté. Aucun suivi supplémentaire.&lt;/p&gt;</t>
  </si>
  <si>
    <t>HNWI</t>
  </si>
  <si>
    <t>Pierre Auberdiac</t>
  </si>
  <si>
    <t>&lt;p&gt;Nouvelle piste créée équipe Ventes. Aucun enrichissement possible via email. Dernière action : appel entrant STRATON, résumé non renseigné, prochaine étape à planifier avant 26/03. Pas de retour prospect ni synthèse d'échange, aucune conclusion sur fonds présentés. Pas d'autres activités notables.&lt;/p&gt;</t>
  </si>
  <si>
    <t>appel entrant STRATON</t>
  </si>
  <si>
    <t>Intérêt à qualifier</t>
  </si>
  <si>
    <t>50</t>
  </si>
  <si>
    <t>Romain Laroche</t>
  </si>
  <si>
    <t>Levée de Fonds</t>
  </si>
  <si>
    <t>&lt;p&gt;Piste créée pour équipe Ventes le 16/03, enrichissement tenté sans données trouvées, lead identifié comme "Lead de CB" le 23/03. Aucun échange, activité ou retour prospect, aucune action planifiée ni feedback sur fonds présentés. Pas d'activité menée sur le prospect depuis la création.&lt;/p&gt;</t>
  </si>
  <si>
    <t>Interêt indicatif - A creuser</t>
  </si>
  <si>
    <t>Clément Police</t>
  </si>
  <si>
    <t>&lt;p&gt;Piste créée équipe Ventes. Lead enrichi, pas de données société trouvées via email. Action récente : apple entrant STRATON, RDV 2 prévu fin d'année après vente 300 ha à Reims. Prochaine étape : RDV physique planifié 01/12/2026. Pas d'autres retours ni avis prospect sur fonds à ce stade.&lt;/p&gt;</t>
  </si>
  <si>
    <t>apple entrant STRATON / RDV 2 fin d'année suite à la vente des 300 hectares à Reims</t>
  </si>
  <si>
    <t>Julien Psomas</t>
  </si>
  <si>
    <t>&lt;p&gt;Lead créé pour équipe Ventes, origine CB. Tentative d'enrichissement via email sans résultat, aucune donnée société trouvée, aucun crédit consommé. Pas d'autres interactions, activités ou retours prospects. Aucune action planifiée ni prochaine étape identifiée à ce jour.&lt;/p&gt;</t>
  </si>
  <si>
    <t>Banque privée</t>
  </si>
  <si>
    <t>ROTHSCHILD &amp; CO</t>
  </si>
  <si>
    <t>Vincent Danjoux</t>
  </si>
  <si>
    <t>Edouard Gaurier</t>
  </si>
  <si>
    <t>&lt;p&gt;Contact OdP, mail envoyé 16/02 pour connaître la marche à suivre, relance sans réponse 06/03. Intérêt exprimé pour Straton, Quanto II, Calderion, doc Straton demandée. Enrichissement lead impossible (email invalide). Prochaine étape : prise de news prévue, pas de retour récent du prospect.&lt;/p&gt;</t>
  </si>
  <si>
    <t>Prise de news</t>
  </si>
  <si>
    <t>Caisse de retraite/Institution de prévoyance</t>
  </si>
  <si>
    <t>CAISSE D'EPARGNE PREVOYANCE COTE D'AZUR</t>
  </si>
  <si>
    <t>Romain Parinello</t>
  </si>
  <si>
    <t>&lt;p&gt;RDV STRATON, échanges sur fonds Quadrille (strat majo) pour 1M€, décision fin mars pour Straton en comité d'invest, capacité restante 1M€, proba 50%. Prospect regarde aussi TIKHEAU/WINEBERG, intérêt pour side business. Prochaine étape : RDV fin mars pour décision passage Straton.&lt;/p&gt;</t>
  </si>
  <si>
    <t>Rdv fin Mars pour connaitre la décision de passage pour STRATON</t>
  </si>
  <si>
    <t>En Due Diligence</t>
  </si>
  <si>
    <t>Bruno Rohée</t>
  </si>
  <si>
    <t>&lt;p&gt;Nouvelle piste créée pour équipe Ventes le 16/03. Lead identifié par CB le 23/03. Aucun échange, action ou retour prospect enregistré depuis la création. Pas d'activité, pas de suivi, aucune prochaine étape planifiée à ce jour. Aucun retour prospect sur fonds présentés. Suivi à initier.&lt;/p&gt;</t>
  </si>
  <si>
    <t>Holding</t>
  </si>
  <si>
    <t>Edouard Michaud</t>
  </si>
  <si>
    <t>&lt;p&gt;Aucune activité menée sur le prospect. Lead venant de CB.&lt;/p&gt;</t>
  </si>
  <si>
    <t>Clotaire Marchal</t>
  </si>
  <si>
    <t>&lt;p&gt;Nouvelle piste créée pour équipe Ventes le 16/03. Lead enrichi, mais aucune donnée société trouvée via l’email, aucun crédit consommé. Lead identifié comme provenant de CB le 23/03. Aucune activité ou échange supplémentaire, pas d’action ou retour prospect à ce stade, prochaines étapes non définies.&lt;/p&gt;</t>
  </si>
  <si>
    <t>Thierry Jullien</t>
  </si>
  <si>
    <t>&lt;p&gt;Lead venant de CB, aucune activité menée sur le prospect à ce jour, aucune interaction ou action enregistrée entre l'utilisateur propriétaire et le prospect, pas de suivi, pas de retour ni d'étape planifiée, aucune information sur l'intérêt ou les conclusions du prospect concernant les fonds présentés.&lt;/p&gt;</t>
  </si>
  <si>
    <t>Xavier Lugherini</t>
  </si>
  <si>
    <t>&lt;p&gt;Piste créée pour équipe Ventes le 16/03. Tentative d'enrichissement par email sans résultat, pas de données société trouvées. Lead identifié comme "Lead de CB" le 23/03. Aucun échange, action ou retour prospect enregistré depuis. Pas d'activité ni prochaine étape connue à ce jour.&lt;/p&gt;</t>
  </si>
  <si>
    <t>Matthieu Milandi</t>
  </si>
  <si>
    <t>Matthieu Milandri</t>
  </si>
  <si>
    <t>&lt;p&gt;Nouvelle piste créée pour équipe Ventes, lead identifié par CB, enrichissement tenté sans données trouvées (email générique), aucune info société récupérée, aucun appel ni activité complémentaire, pas de retour prospect, aucune action ou étape suivante planifiée à ce jour.&lt;/p&gt;</t>
  </si>
  <si>
    <t>Multi Family Office</t>
  </si>
  <si>
    <t>INHESTIA</t>
  </si>
  <si>
    <t>Benoit COINTE</t>
  </si>
  <si>
    <t>Pauline Cavalié</t>
  </si>
  <si>
    <t>&lt;p&gt;RDV physique 24/03 à Toulouse : reporting Constellation 3, clients appétents PME/non coté, focus philanthropie (éducation/environnement), intérêt Straton (défense/PME). Prochaines étapes : rappeler en avril/mai, début phase investissement clients, possible ticket C4 si cash dispo. Prise de nouvelles prévue 15/04.&lt;/p&gt;</t>
  </si>
  <si>
    <t>Prise de nouvelles en avril</t>
  </si>
  <si>
    <t>30</t>
  </si>
  <si>
    <t>CGP</t>
  </si>
  <si>
    <t>EMERAUDE CAPITAL</t>
  </si>
  <si>
    <t>Benjamin Continente</t>
  </si>
  <si>
    <t>&lt;p&gt;Multiples relances mail (29/01, 16/02, 31/03) et appels pour organiser RDV Paris/Toulouse avec B. Continente, sans réponse à ce jour. Envoi deck Straton à jour, proposition réunion CGP Emeraude pour présentation fonds. Prochaine action : relance invitation événement Défense 09/04.&lt;/p&gt;</t>
  </si>
  <si>
    <t>Pas encore prêt - A alimenter</t>
  </si>
  <si>
    <t>Frédéric Duponchel</t>
  </si>
  <si>
    <t>&lt;p&gt;Nouvelle piste créée pour équipe Ventes, mention d'un lead OdP, aucune activité ou échange supplémentaire enregistré, pas de suivi ni d'action menée à ce jour, aucune interaction prospect identifiée, aucune prochaine étape planifiée, aucun retour prospect sur fonds présentés.&lt;/p&gt;</t>
  </si>
  <si>
    <t>Gwenn Delamaire</t>
  </si>
  <si>
    <t>Gwen Delamer</t>
  </si>
  <si>
    <t>&lt;p&gt;Nouvelle piste créée équipe Ventes 11/03. Lead OdP, tentative d'enrichissement échouée (email invalide). Aucun échange ou activité significative, pas de retour prospect ni action planifiée. Pas d'indication sur l'origine précise de la piste ni de prochaines étapes identifiées à ce stade.&lt;/p&gt;</t>
  </si>
  <si>
    <t>AG Patrimoine</t>
  </si>
  <si>
    <t>Anais Gouirand</t>
  </si>
  <si>
    <t>&lt;p&gt;Visio 27/11/25 : découverte, intérêt marqué pour fonds Défense, doc à envoyer. 01/12/25 : présentation Straton+ATDI envoyée. 22/01/26 : relance suite envoi présentation. Cabinet créé 09/25, clientèle dirigeants/M&amp;amp;A, forte conviction PE/défense, évite fonds fiscaux, travaille avec Opale.&lt;/p&gt;</t>
  </si>
  <si>
    <t>M. et Mme Picchioli</t>
  </si>
  <si>
    <t>&lt;p&gt;Investisseurs historiques Audacia (Constellation 1: 500k, 3: 122k). Call Teams 02/02, visio 10/02 avec CB, EG, CP pour 400k tréso. Relances 03/02, 10/02, 16/02, 02/03, 03/04 pour présentation gérant, 400k à placer. Prochaine étape&amp;nbsp;: organiser présentation gérant, suivi relance.&lt;/p&gt;</t>
  </si>
  <si>
    <t>&lt;p&gt;RDV 02/02/2026 CB, EG, CP pour investir 400K tréso. Visio terminée, discussions sur investissement. Relances et proposition RDV gérant pour diversification Straton envoyées fin mars. Pas de retour prospect sur fonds présentés. Prochaine étape : attendre réponse relance RDV gérant.&lt;/p&gt;</t>
  </si>
  <si>
    <t>Saint Jacques Patrimoine</t>
  </si>
  <si>
    <t>Louis Marie Collin</t>
  </si>
  <si>
    <t>&lt;p&gt;03/02/2026: client intéressé pour 250 K dans le spatial diversification, relance info AK en cours. Plusieurs relances menées, dernier échange mail le 30/03/2026 pour relance client. Prochaine étape : poursuivre relance client pour concrétiser l'intérêt exprimé, pas de retour prospect sur fonds à ce stade.&lt;/p&gt;</t>
  </si>
  <si>
    <t>Fonds de fonds</t>
  </si>
  <si>
    <t>ARKEA CAPITAL</t>
  </si>
  <si>
    <t>Pierre-Emmanuel Boulic</t>
  </si>
  <si>
    <t>&lt;p&gt;Aucune activité ni échange significatif enregistré sur cette opportunité depuis la création de la piste par Romain Andrieu pour l'équipe Ventes. Aucun suivi, action ou retour prospect identifié à ce jour. Pas de prochaines étapes planifiées ni d'informations complémentaires disponibles.&lt;/p&gt;</t>
  </si>
  <si>
    <t>Banque (haut de bilan)</t>
  </si>
  <si>
    <t>BPCE SA</t>
  </si>
  <si>
    <t>Maxime Pech</t>
  </si>
  <si>
    <t>&lt;p&gt;RDV physique 19/02 : discussion marché Luxembourgeois, question sur référencement fonds, sujet clos (taux d'emprise, taille fonds/ticket). Déjeuner 25/03 planifié. Prochaine étape : reprendre RDV pour planifier 2027. Pas de retour prospect sur fonds, pas de mention de comité.&lt;/p&gt;</t>
  </si>
  <si>
    <t>Déjeuner 25 mars 2026 / Pistes à explorer MIROVA et NATIXIS Wealth</t>
  </si>
  <si>
    <t>Abeille Assurances</t>
  </si>
  <si>
    <t>Nicolas Dechaux</t>
  </si>
  <si>
    <t>&lt;p&gt;Déj. S. Goirand, revue actu STRATON/ABEILLE, tickets 10Me min, intérêt mino, besoin EIF/BPI pour Due Dil, préférence second closing, BS conditionnel 9/04, data room. Prospect ok pour regarder STRATON 2026, 5-10Me possible. Prochaine étape&amp;nbsp;: envoyer détails closing tech + deck à jour (avant 02/04).&lt;/p&gt;</t>
  </si>
  <si>
    <t>envoyer les detals du closing tech + Deck à jour, Déjeuner S. Goirand / Revue d'actualité sur STRATON</t>
  </si>
  <si>
    <t>DAYLIGHT CONSEILS</t>
  </si>
  <si>
    <t>Dorian Lagarnaudi</t>
  </si>
  <si>
    <t>&lt;p&gt;Déj. Bourrienne CB, OPNF, TS avec Daylight FO (D. Lagarnaudie) : très bon échange, refinancement ptf global évoqué, possible 1M dans Géodesic, 1M dans Straton. Offre refinancement PTF patrimonial en cours. Décision attendue, prospect attendait 2026 suite incertitudes fiscales. Prochaines étapes à caler.&lt;/p&gt;</t>
  </si>
  <si>
    <t>Caisse Régionale du Crédit Agricole Brie-Picardie</t>
  </si>
  <si>
    <t>Benjamin GREBET</t>
  </si>
  <si>
    <t>Amaury Daignes</t>
  </si>
  <si>
    <t>&lt;p&gt;RDV physique 28/01/26 : présentation offre gestion de fortune PE, 3 fonds externes, 2bn d'assets, volonté de diversification, comité direction demande process référencement, potentiel levée 1-5M€. 10/02 : reprise de contact, envoi lien Dataroom Straton. Prochaine étape : relancer Benjamin (deadline 12/02).&lt;/p&gt;</t>
  </si>
  <si>
    <t>Relancer Benjamin, l'appeler</t>
  </si>
  <si>
    <t>Single Family Office</t>
  </si>
  <si>
    <t>FAMILY PARTNERS</t>
  </si>
  <si>
    <t>Stéphane Rogron</t>
  </si>
  <si>
    <t>&lt;p&gt;Multiples relances et échanges (calls, mails, RDV) depuis 10/2025. RDV café 06/11, présentation fonds Audacia, intérêt pour spatial, quantique, défense. Stéphane pousse en interne, peu ouvert rétro, préfère honoraires. Dernière action&amp;nbsp;: relance invitation Rencontres Bourrienne 09/04. Prochaine étape&amp;nbsp;: suivi relance.&lt;/p&gt;</t>
  </si>
  <si>
    <t>Uniprevoyance</t>
  </si>
  <si>
    <t>Catherine Lombard</t>
  </si>
  <si>
    <t>&lt;p&gt;Relance mail 12/02/2026 pour connaître stratégie d'investissement, focus PE non cotés souveraineté. Aucun retour ni activité récente. Piste créée pour équipe Ventes. Pas d'autres échanges, notes ou actions récentes. Prochaine étape : attente réponse prospect sur stratégie.&lt;/p&gt;</t>
  </si>
  <si>
    <t>20</t>
  </si>
  <si>
    <t>Union des Mutuelles Retraites</t>
  </si>
  <si>
    <t>Lyes Larezki</t>
  </si>
  <si>
    <t>&lt;p&gt;05/02: UmR discute fonds défense, CA impliqué, administrateurs Éducation nationale, principe OK pour 2 petits tickets. 3 fonds en lice: EMERGENCE (growth majo), AUDACIA/NewAlpha (mino), fonds dettes (pas SIENNA IM), Weinberg fermé. RDV en cours avec Liez Arezky, interviews à lancer. Pas d'autres actions récentes.&lt;/p&gt;</t>
  </si>
  <si>
    <t>Arwen MFO</t>
  </si>
  <si>
    <t>Gwendal Garrigue</t>
  </si>
  <si>
    <t>&lt;p&gt;09/02: Point PTF C2 avec Thomas. Lead enrichissement impossible (email invalide). Nouvelle piste créée pour équipe Ventes. Pas d'autres activités ou prochaines étapes renseignées. Aucun retour prospect sur fonds ni conclusion mentionnée.&lt;/p&gt;</t>
  </si>
  <si>
    <t>Opportunité de Picket Wealth</t>
  </si>
  <si>
    <t>Karine Wilkinson</t>
  </si>
  <si>
    <t>&lt;p&gt;05/02/2026&amp;nbsp;: Actus et ak en cours, client potentiellement intéressé, attente confirmation pour fixer rencontre avec Charles. Lead créé pour équipe Ventes, tentative d'enrichissement impossible (email non valide). Prochaine étape&amp;nbsp;: retour client pour RDV.&lt;/p&gt;</t>
  </si>
  <si>
    <t>Klésia</t>
  </si>
  <si>
    <t>Christian SCHMIDT DE LA BRÉLIE</t>
  </si>
  <si>
    <t>&lt;p&gt;RDV fait avec Emmanuelle Cales (AGPM) : nettoyage lancé, vente d’actions cotées, marge retrouvée en PE. Deck envoyé, suivi sur levées/investissements. Tickets envisagés 2026 : Straton 5-10M€, gros ticket &amp;gt;20M€ (ADIT ?). Concurrence présente. Prochaine étape : point d’actu Straton, besoin de temps, deadline 27/03/2026.&lt;/p&gt;</t>
  </si>
  <si>
    <t>Défense / tout le marché les interroge / Point d'actu sur STRATON / Besoin de temps</t>
  </si>
  <si>
    <t>Rydge KPMG</t>
  </si>
  <si>
    <t>Edouard Sommade</t>
  </si>
  <si>
    <t>&lt;p&gt;Accord de partenariat Audacia pour fonds remploi, conditions financières à préparer. Intérêt fort confirmé par le prospect pour diversification/remploi, cabinet réalise screening complet avant signature. Dernière action&amp;nbsp;: message laissé pour suivi avancement convention partenaires. Prochaine étape&amp;nbsp;: retour attendu.&lt;/p&gt;</t>
  </si>
  <si>
    <t>Caisse Régionale du Crédit Agricole Centre France</t>
  </si>
  <si>
    <t>Didier Ramond</t>
  </si>
  <si>
    <t>&lt;p&gt;RDV 7/01 avec CRCA Centre France (Didier Ramond). Présentation fonds dédié 6/03, attente retour qualifié CRCA depuis 17/03. Relances faites, pas de réponse à ce jour. CRCA veut co-investir, focus capdev/innovation, intérêt BITD/défense, réflexion fonds d'ancrage. Prochaine étape : retour CRCA.&lt;/p&gt;</t>
  </si>
  <si>
    <t>relance faite</t>
  </si>
  <si>
    <t>CAISSE D'EPARGNE ILE DE FRANCE - CEIDF</t>
  </si>
  <si>
    <t>Guillaume GUIN</t>
  </si>
  <si>
    <t>&lt;p&gt;Déj 21/01/26 : Chabot (BDR) part, successeur inconnu, nouveau président CEIDF en mars, intérêt marqué pour 150 O B ter + side business territoire, présenter offre sous prisme territoire. Dernier échange 04/02. Demande fonds de fonds en cours, issue mars 2025. Focus direct, value add, co-invest, pédagogie attendue.&lt;/p&gt;</t>
  </si>
  <si>
    <t>AGAMI Family Office</t>
  </si>
  <si>
    <t>François Simon</t>
  </si>
  <si>
    <t>&lt;p&gt;Intérêt exprimé pour fonds Straton, pas de deeptech, focus cap dev défense et dossiers remploi. Prochaine étape&amp;nbsp;: trouver dates avec Thomas. Enrichissement lead impossible (email non valide). Nouvelle piste créée pour équipe Ventes. Pas d'autres actions ni retours prospect notables.&lt;/p&gt;</t>
  </si>
  <si>
    <t>SOLIDARM-MUTUELLE SOCIALE DES FORCES ARMEES</t>
  </si>
  <si>
    <t>Jean-François Furet-Coste</t>
  </si>
  <si>
    <t>&lt;p&gt;Offre présentée, instruction commune avec UNEO. Blocage UNEO (Président Leclaire) car déjà 5 offres, questionnement sur la démarche. Relance via directeur investissements, attente retour. Coordination passée avec UNEI, dossier instruit indépendamment. Prochaine étape : attente décision, pas d'action planifiée.&lt;/p&gt;</t>
  </si>
  <si>
    <t>soirée ULTRAOPS &lt;&gt; presence de Marc Leclere avec La nouvelle DG de SOLIDARM Marie Chabaud</t>
  </si>
  <si>
    <t>Olivia Laplane</t>
  </si>
  <si>
    <t>&lt;p&gt;RDV physique 30/01/26 avec Olivia Laplane (BPCE SA) : animation CE/BP BITD, référent défense par caisse, prise de parole prévue mars 2026. Prospect connectée au webinar Straton, montée en gamme validée, cible témoignage Straton 9 avril. En attente de commande. Prochaine action : pousser offre retail HNWIO.&lt;/p&gt;</t>
  </si>
  <si>
    <t>10</t>
  </si>
  <si>
    <t>Bred Banque Privée</t>
  </si>
  <si>
    <t>Caroline Thiebaud</t>
  </si>
  <si>
    <t>&lt;p&gt;Nouvelle piste créée pour équipe Ventes. Discussion reprise sur fonds Audacia, mais enrichissement lead impossible (email invalide). Aucun retour prospect sur fonds, pas d'activité ni d'action récente enregistrée, aucune prochaine étape planifiée, pas de suivi supplémentaire identifié à ce jour.&lt;/p&gt;</t>
  </si>
  <si>
    <t>Corporate</t>
  </si>
  <si>
    <t>SNCF</t>
  </si>
  <si>
    <t>Lucas RUDOLF</t>
  </si>
  <si>
    <t>&lt;p&gt;Mail présentation Straton envoyé 10/02, attribution initiale Romain Andrieu. Enrichissement lead impossible (email non valide). Nouvelle piste créée pour équipe Ventes. Pas d'activité ou retour prospect, prochaines étapes non définies. Suivi à relancer si besoin.&lt;/p&gt;</t>
  </si>
  <si>
    <t>MIF Mutuelle d'Ivry</t>
  </si>
  <si>
    <t>Walid Sanna</t>
  </si>
  <si>
    <t>&lt;p&gt;13/01/2026 : deck envoyé, à alimenter en 2026. Lead créé pour équipe Ventes. Tentative d'enrichissement échouée (email non valide). Aucune activité ni échange prospect identifié depuis, pas de retour ni prochaine étape précisée. Suivi à relancer ou compléter.&lt;/p&gt;</t>
  </si>
  <si>
    <t>MIFAssur</t>
  </si>
  <si>
    <t>Walid SANAA</t>
  </si>
  <si>
    <t>&lt;p&gt;RDV physique réalisé, prospect pas intéressé par le fonds coté à ce stade (taux jugés peu attractifs). Allocation en réflexion, suivi à alimenter. Relance prévue pour un déjeuner, pas de retour sur évolution depuis. Prochaine étape&amp;nbsp;: relancer pour déjeuner, pas d'autres actions planifiées.&lt;/p&gt;</t>
  </si>
  <si>
    <t>nouvelles dates de déjeuner proposées</t>
  </si>
  <si>
    <t>KL Conseil Notaires</t>
  </si>
  <si>
    <t>Caroline Emerique</t>
  </si>
  <si>
    <t>&lt;p&gt;Présentation fonds Audacia au prospect pour étudier un partenariat et envoi de dossiers. Aucun retour du prospect sur l'intérêt ou les suites à donner. Tentative d'enrichissement lead échouée (email invalide). Pas d'autres actions ou activités planifiées à ce jour.&lt;/p&gt;</t>
  </si>
  <si>
    <t>Caisse de Retraite du Personnel Naviguant (CRPN)</t>
  </si>
  <si>
    <t>Arthur Harmel</t>
  </si>
  <si>
    <t>&lt;p&gt;Depuis départ O. Groleau, contact pris avec successeur D. Tomi. Plusieurs relances mail faites. RDV physique 24/03 avec JY Mary : CRPN KO sur fonds non cotés, allocations PE saturées, aucun dossier examiné à ce stade. Prochaine étape : relancer CRPN avant deadline 20/07/2026.&lt;/p&gt;</t>
  </si>
  <si>
    <t>A relancer sur PE</t>
  </si>
  <si>
    <t>CHEVAL BLANC PATRIMOINE</t>
  </si>
  <si>
    <t>Nam Delpierre</t>
  </si>
  <si>
    <t>&lt;p&gt;25/02/2026 : RDV café Paris 16 avec Directeur Cheval Blanc Patrimoine CGP, présentation offre globale. Intérêt mais pas de suite, préfère fonds de dette privés, réticent sur fonds fiscaux (mauvaise réputation). 28/01/2026 : call vœux, collecte FCPI Wind. Pas d'action future prévue à ce stade.&lt;/p&gt;</t>
  </si>
  <si>
    <t>Conseil</t>
  </si>
  <si>
    <t>DESJARDINS (CC DESJARDINS)</t>
  </si>
  <si>
    <t>Mathieu Gouin</t>
  </si>
  <si>
    <t>&lt;p&gt;Multiples RDV et relances avec Pierre Tessier, Louis Potvin, Danielle Filistin, Georges Mitchell. Désaccord sur critères géographiques Desjardins, ouverture possible si évolution doctrine. Mandat SIPAREX gagné, attente retour Danielle/Georges. Prochaine étape&amp;nbsp;: relancer Pierre/Louis, suivi défense évolutive.&lt;/p&gt;</t>
  </si>
  <si>
    <t>Relancer Pierre Tessier et Louis Potvin suite au rdv de février (thése defense évolutive), RDV En cours avec le directeur du dev et partenariat (Louis Potvot), relance faite., en attente d'un retoue de Danielle et Georges</t>
  </si>
  <si>
    <t>Carac</t>
  </si>
  <si>
    <t>Estelle KERENFLEC'H</t>
  </si>
  <si>
    <t>&lt;p&gt;Appel update 24/02/2026 avec Estelle : fonds de dette impact en cours, pas de réinvestissement Weinberg, mapping des fonds en France prévu, Partners group en stand-by pour due dil Tikehau, Fabrice réticent au non côté, échanges courtier, chasse Mgen pour Géraldine Brasseur, RDV Partners en mars.&lt;/p&gt;</t>
  </si>
  <si>
    <t>Strat&amp;Fi Solutions</t>
  </si>
  <si>
    <t>Pauline de Sanderval</t>
  </si>
  <si>
    <t>&lt;p&gt;RDV qualification 22/01/26, offre axée Luxembourg, mise en relation Charlotte Donahue, action : contacter assureurs luxembourgeois, envoyer doc fonds PE. Présentation CAPDEV, Straton, Geodesic faite. Déjeuner Strat&amp;amp;Fi 03/03/26. Relance prévue fin mars 2026, proposition faite, attente retour prospect.&lt;/p&gt;</t>
  </si>
  <si>
    <t>A relancer fin mars 2026 / proposition faite.</t>
  </si>
  <si>
    <t>LA FRANCE MUTUALISTE</t>
  </si>
  <si>
    <t>Souhail KORAICHY</t>
  </si>
  <si>
    <t>&lt;p&gt;Nouvelle piste créée pour équipe Ventes par Romain Andrieu. Aucun échange, action ou retour prospect enregistré à ce jour. Pas d'activité, pas de suivi, aucune étape suivante planifiée. Aucun retour ou avis prospect sur les fonds présentés. Situation en attente de premières actions.&lt;/p&gt;</t>
  </si>
  <si>
    <t>Suite à l'échec de Nov 2025 travail de reconquete</t>
  </si>
  <si>
    <t>Jérémie Lepissier</t>
  </si>
  <si>
    <t>&lt;p&gt;Intérêt initial pour diversification/remploi (ex-CEO SDG Matjys). Café le 24/02, ticket jugé trop important par prospect. Dernier échange : prospect se consacre à l'achat de son appartement, projet mis en pause. Prochaine action : prise de news prévue le 04/01/2027.&lt;/p&gt;</t>
  </si>
  <si>
    <t>Societe Generale Private Banking</t>
  </si>
  <si>
    <t>Julie Nadal</t>
  </si>
  <si>
    <t>&lt;p&gt;Projet référencement fonds, passage en comité prévu mi-février (comité décalé). Pas d'enrichissement possible (email invalide). Nouvelle piste créée pour équipe Ventes. Prochaine étape&amp;nbsp;: attendre retour du comité mi-février. Aucun retour prospect sur fonds présenté à ce stade.&lt;/p&gt;</t>
  </si>
  <si>
    <t>RSC SAS Famille Derville</t>
  </si>
  <si>
    <t>Famille Derville</t>
  </si>
  <si>
    <t>&lt;p&gt;Déjeuner 26/03 avec Famille Derville, Charles, Olivier. Remerciements envoyés. Intérêt exprimé pour Straton et le spatial. Pas de retour négatif sur Quantonation II. Prochaine étape : approfondir Straton/spatial avec le prospect. Aucun refus ou blocage mentionné à ce stade.&lt;/p&gt;</t>
  </si>
  <si>
    <t>Déjeuner Bourrienne CB, OPNF, RSC SAS avec la Famille Derville</t>
  </si>
  <si>
    <t>Société de gestion</t>
  </si>
  <si>
    <t>NORMANDIE PARTICIPATIONS</t>
  </si>
  <si>
    <t>Franck MURRAY</t>
  </si>
  <si>
    <t>&lt;p&gt;RDV physique 27/01/2026 avec Normandie Participations : fonds régional, 100M€, 60 participations, ticket capped, focus PME/defense, lancement fonds défense et littoral, LPs institutionnels régionaux. Prochaine étape : présenter le dealflow normand, deadline 07/05/2026. Intérêt prospect : rassurant.&lt;/p&gt;</t>
  </si>
  <si>
    <t>Co-invest en Région Normandie</t>
  </si>
  <si>
    <t>ALPHIDES CONSEIL</t>
  </si>
  <si>
    <t>Fabien Guedes</t>
  </si>
  <si>
    <t>&lt;p&gt;Piste créée équipe Ventes. Tentative enrichissement lead échouée (email invalide). Échange sur fonds deeptech et remploi clients, pas de retour prospect ni prochaines étapes identifiées. Aucune activité complémentaire, pas de conclusion prospect sur fonds présentés.&lt;/p&gt;</t>
  </si>
  <si>
    <t>PREVOIR VIE GROUPE PREVOIR</t>
  </si>
  <si>
    <t>Laurent Degioanni</t>
  </si>
  <si>
    <t>&lt;p&gt;Aucune activité menée sur le prospect. Seule information disponible : une nouvelle piste a été créée pour l'équipe Ventes par Romain Andrieu le 14/01/2026. Aucun échange, action ou retour prospect enregistré à ce jour. Pas d'étape ou de conclusion sur les fonds présentés. Prochaines actions non planifiées.&lt;/p&gt;</t>
  </si>
  <si>
    <t>MEESCHAERT GESTION PRIVEE</t>
  </si>
  <si>
    <t>Nicolas Andrieu</t>
  </si>
  <si>
    <t>&lt;p&gt;Nouvelle piste créée pour équipe Ventes. Tentative d'enrichissement lead échouée (email invalide). Action prévue : organiser petit déjeuner avec clients. Aucune activité supplémentaire ni retour prospect sur fonds présentés. Prochaine étape : planification du rendez-vous.&lt;/p&gt;</t>
  </si>
  <si>
    <t>IPECA RETRAITE</t>
  </si>
  <si>
    <t>David Boyer</t>
  </si>
  <si>
    <t>&lt;p&gt;RDV physique 21/01/2025 : défense ok, dette ok, PE non coté pas de place, fonds Tourisme sans intérêt, focus 2026 sur souveraineté/défense. Déjeuner présentation STRATON calé au 17/04/2026 avec David Boyer. Prochaine étape : organiser ce déjeuner. Pas d'autres actions récentes.&lt;/p&gt;</t>
  </si>
  <si>
    <t>déjeuner calé au 17 avril / de présentation de STRATON</t>
  </si>
  <si>
    <t>Boursorama Gestion Privée</t>
  </si>
  <si>
    <t>Jean Bay</t>
  </si>
  <si>
    <t>&lt;p&gt;05/02/2026: Intérêt prospect pour solutions diversification, peu de dossiers remploi, prise de contact pour organiser RDV avec Charles. 13/03/2026: Appel avec Edouard Gaurier, proposition de dates pour rencontre gérant FCPI et Audacia, mail envoyé pour fixer RDV en avril. Prochaine étape : rencontre à planifier.&lt;/p&gt;</t>
  </si>
  <si>
    <t>MONTEFIORE</t>
  </si>
  <si>
    <t>Sébastien Barbe</t>
  </si>
  <si>
    <t>&lt;p&gt;Nouvelle piste créée pour équipe Ventes. Aucun échange, activité ou retour prospect enregistré à ce jour. Pas d'action menée ni de prochaine étape planifiée. Aucun retour sur fonds présentés, aucune conclusion ou avis prospect disponible. Suivi inexistant à ce stade.&lt;/p&gt;</t>
  </si>
  <si>
    <t>Antoine Beclin</t>
  </si>
  <si>
    <t>&lt;p&gt;RDV physique 23/02/2026, apéro Fort de France&amp;nbsp;: process référencement in-house BRED, chasse gardée Guyane/FdF, peu de concurrence gestion privée. 300 familles ciblées. Prochaine étape&amp;nbsp;: présenter fonds Straton/Géodesic. Introduction famille pour leverage bancaire, question sur fonds AUDACIA. OdP à la manoeuvre.&lt;/p&gt;</t>
  </si>
  <si>
    <t>OdP à la manoeuvre (idem CRCA Brie Picardie)</t>
  </si>
  <si>
    <t>Fiblac</t>
  </si>
  <si>
    <t>Hugo de Gérauvillier</t>
  </si>
  <si>
    <t>&lt;p&gt;Point sur fonds deeptech, docs à envoyer pour alimenter. Enrichissement lead impossible (email non valide). Nouvelle piste créée pour équipe Ventes. Pas d'autres activités ni retours prospects. Prochaine étape : envoi de documentation, attente retour sur fonds présentés.&lt;/p&gt;</t>
  </si>
  <si>
    <t>Association</t>
  </si>
  <si>
    <t>CAVP Caisse d'Assurance Vieillesse des Pharmaciens</t>
  </si>
  <si>
    <t>Alain PESTRE</t>
  </si>
  <si>
    <t>&lt;p&gt;Nouvelle piste créée pour équipe Ventes par Romain Andrieu le 06/01/2026. Aucun échange, activité ou action de suivi enregistrés depuis la création. Pas de retour prospect, pas de prochaine étape planifiée, aucune interaction significative à ce jour.&lt;/p&gt;</t>
  </si>
  <si>
    <t>CARCDSF CAISSE AUTONOME DE RETRAITE DES CHIRURGIENS DENTISTES ET DES SAGES-FEMMES</t>
  </si>
  <si>
    <t>Anne-Laure Baud</t>
  </si>
  <si>
    <t>&lt;p&gt;Aucune activité menée sur le prospect. Infos : CARCDSF, caisse de retraite obligatoire pour chirurgiens-dentistes en France, structure reconnue, gère la retraite de milliers de professionnels de santé. Nouvelle piste créée pour équipe Ventes, pas d'autres actions ou retours notés.&lt;/p&gt;</t>
  </si>
  <si>
    <t>Safra</t>
  </si>
  <si>
    <t>Hugo Belliard</t>
  </si>
  <si>
    <t>&lt;p&gt;03/02/2026: Point offre remploi. 28/01: Préparation petit déjeuner sur fonds remploi et deeptech. Enrichissement lead impossible (email invalide). Nouvelle piste créée équipe Ventes. Prochaine étape: organiser petit déjeuner thématique. Pas d'autres actions ou retours prospects notés.&lt;/p&gt;</t>
  </si>
  <si>
    <t>OUTMATCH INVEST</t>
  </si>
  <si>
    <t>Thomas Sanson</t>
  </si>
  <si>
    <t>&lt;p&gt;Intérêt souverain noté le 28/01, création piste pour équipe Ventes. Tentative d'enrichissement lead échouée (email invalide). Aucune activité ou action supplémentaire enregistrée, pas de prochaine étape identifiée à ce jour.&lt;/p&gt;</t>
  </si>
  <si>
    <t>Marie de Vaugelas</t>
  </si>
  <si>
    <t>&lt;p&gt;Aucune activité ni échange enregistré sur l'opportunité Marie de Vaugelas. Seule information : piste créée pour l'équipe Ventes, aucun suivi, action ou retour prospect identifié à ce jour. Pas de prochaine étape planifiée ni de conclusion sur l'intérêt ou le ressenti du prospect.&lt;/p&gt;</t>
  </si>
  <si>
    <t>UNOFI</t>
  </si>
  <si>
    <t>Patrick BOUCHINDOME</t>
  </si>
  <si>
    <t>&lt;p&gt;RDV physique 10/02/2026 avec Patrick Bouchindom : prospect indique ne pas avoir d’enveloppe pour investissements non-côtés en 2026, pas de veille active sur l’offre. Aucune prochaine action prévue. Nouvelle piste créée pour équipe Ventes le 28/11/2025. Pas d’autres activités récentes.&lt;/p&gt;</t>
  </si>
  <si>
    <t>à relancer fin septembre pour 2027</t>
  </si>
  <si>
    <t>Ecureuil Protection Social</t>
  </si>
  <si>
    <t>Brice PIPINO</t>
  </si>
  <si>
    <t>&lt;p&gt;Aucune activité récente ni échange détaillé enregistré sur ce prospect. Dernière info : création d'une nouvelle piste pour l'équipe Ventes par Romain Andrieu. Pas d'action, ni de retour prospect, ni de prochaine étape identifiée. Infos spécifiques ou chiffres clés non disponibles.&lt;/p&gt;</t>
  </si>
  <si>
    <t>CAMPOY-HENEAUX LTD</t>
  </si>
  <si>
    <t>Thierry Campoy Heneaux</t>
  </si>
  <si>
    <t>&lt;p&gt;Nouvelle piste créée pour équipe Ventes. Aucun échange, action ou retour prospect enregistré à ce jour. Pas d'activité, pas de suivi, pas de prochaine étape identifiée. Aucun retour ni conclusion prospect sur les fonds présentés. En attente de premières interactions ou actions concrètes.&lt;/p&gt;</t>
  </si>
  <si>
    <t>rdv fait / ok pour proposer à ses 7 Familles françaises</t>
  </si>
  <si>
    <t>MUTUELLE DE POITIERS ASSURANCES</t>
  </si>
  <si>
    <t>Nicolas Guerin</t>
  </si>
  <si>
    <t>&lt;p&gt;RDV physique Straton, passage comité 30/03. Retour prospect&amp;nbsp;: taille fonds jugée trop petite, souhaite observer la dynamique avant rediscussion possible. Prochaine étape&amp;nbsp;: tenir prospect informé de la levée, pas de seuil spécifique. Suivi à prévoir avant 06/07.&lt;/p&gt;</t>
  </si>
  <si>
    <t>KO comité du 27 mars /Tenir informé de la levées (pas de seuil de levée specifique)</t>
  </si>
  <si>
    <t>MUTUELLE EPARGNE RETRAITE - MER</t>
  </si>
  <si>
    <t>Patrice Gallou</t>
  </si>
  <si>
    <t>&lt;p&gt;Mail envoyé au nouveau DG Patrick Gallou le 01/04/2026. RDV physique terminé, échanges sur RMC, CARAC, LAFRANCEMUTUALISTE. Pas de retour prospect détaillé sur les fonds. Prochaine étape&amp;nbsp;: suivi mail en attente de réponse, relance prévue avant le 07/04/2026.&lt;/p&gt;</t>
  </si>
  <si>
    <t>Mail posté au nouveau DG / Patrick Gallou / service-gestion@mutuelleepargneretraite.fr&gt;”pour Romain Andrieu</t>
  </si>
  <si>
    <t>BANQUE POPULAIRE RIVE DE PARIS</t>
  </si>
  <si>
    <t>Mélanie salomez</t>
  </si>
  <si>
    <t>&lt;p&gt;RDV physique 06/01/2026&amp;nbsp;: intérêt OK pour STRATON sous réserve dealflow co-invest, 10% Robin Lefleve, suivi SGP AUDACIA/QUANTO, besoins bancaires identifiés, centralisation fonds de fonds (Anh→Mélanie), focus PE direct, pas de first time team, prochaine relance juin 2026 pour instruction 2027.&lt;/p&gt;</t>
  </si>
  <si>
    <t>relancer en Juin 2026 pour instruction 2027</t>
  </si>
  <si>
    <t>Belles Rives CGP</t>
  </si>
  <si>
    <t>Franck Girard</t>
  </si>
  <si>
    <t>&lt;p&gt;Piste créée pour équipe Ventes. 26/02/2026 : call pour signature convention distribution fonds. En attente KYC distributeur. Enrichissement lead impossible (email non valide). Aucune activité planifiée ou réalisée depuis, prochaine étape : finaliser KYC pour avancer.&lt;/p&gt;</t>
  </si>
  <si>
    <t>BRED</t>
  </si>
  <si>
    <t>Olivier FOUCHET</t>
  </si>
  <si>
    <t>&lt;p&gt;Nouvelle piste créée pour équipe Ventes par Romain Andrieu le 03/04/2026. Aucun échange, activité, ni suivi enregistré à ce jour. Pas d'interaction ni d'action menée avec le prospect. Prochaines étapes non définies faute d'activité ou de retour identifié.&lt;/p&gt;</t>
  </si>
  <si>
    <t>Reprise de contact / mail posté</t>
  </si>
  <si>
    <t>Le Damantin</t>
  </si>
  <si>
    <t>Anne Foucher-Mari</t>
  </si>
  <si>
    <t>&lt;p&gt;Lead créé pour équipe Ventes, mention "Lead de TS". Aucun échange, action ou retour prospect enregistré à ce jour. Pas d'activité, pas de suivi, aucune prochaine étape identifiée. Aucun avis prospect sur fonds présenté. Aucun contexte de création détaillé dans les échanges.&lt;/p&gt;</t>
  </si>
  <si>
    <t>Multi-gérant</t>
  </si>
  <si>
    <t>ADAXTRA CAPITAL</t>
  </si>
  <si>
    <t>Xavier Goblot</t>
  </si>
  <si>
    <t>&lt;p&gt;Nouvelle piste créée pour équipe Ventes. Aucun échange, action ou retour prospect enregistré à ce jour. Pas d'activité, de suivi ou de prochaine étape identifiée. Aucun retour ni conclusion prospect sur les fonds présentés. Aucun contexte de création détaillé mentionné.&lt;/p&gt;</t>
  </si>
  <si>
    <t>Remplace francois.parmentier</t>
  </si>
  <si>
    <t>SAPIANS</t>
  </si>
  <si>
    <t>Etienne de Saint-germain</t>
  </si>
  <si>
    <t>&lt;p&gt;Nouvelle piste créée équipe Ventes. Enrichissement lead impossible (email invalide). Prochaine étape : 27 mars, Charles et Olivier invités par SAPIENS (FO d’IVESTA validé sur STRATON 150 0 B ter) pour podcast + masterclass PE payante, approche Apport-Cession. Nécessité rassurance avant le 27/03.&lt;/p&gt;</t>
  </si>
  <si>
    <t>27 mars / MasterClass 150 0 B Ter dont Straton</t>
  </si>
  <si>
    <t>MUTUELLE INTERIALE</t>
  </si>
  <si>
    <t>Jean-François Tilquin</t>
  </si>
  <si>
    <t>&lt;p&gt;Relance faite, déjeuner à caler début février, relancer semaine du 25/01 si pas de retour. DG/élus attendent initiative publique défense, pas de capacité 2025 ni Q1 2026. Conseil d’admin. sceptique sur P-E, préfère dettes, report 2026. Suivi à maintenir, attente retour dates février.&lt;/p&gt;</t>
  </si>
  <si>
    <t>relance faite. A suivre</t>
  </si>
  <si>
    <t>MIE Mutuelle Intergroupes d'Entraide</t>
  </si>
  <si>
    <t>Véronique Dubois</t>
  </si>
  <si>
    <t>&lt;p&gt;RDV intro tel 10/02 : DG AUM 15M€, inv. annuel 0,8M€, 100% cotés, 4 partenaires historiques (Crédit Coopératif, BRED, courtier). Gestion directe. Relance faite pour Commission des placements prévue le 25/03/2026. Dernier échange physique : relance confirmée. Prochaine étape : retour après commission.&lt;/p&gt;</t>
  </si>
  <si>
    <t>Relance faite</t>
  </si>
  <si>
    <t>Pierre Tessier</t>
  </si>
  <si>
    <t>&lt;p&gt;Position du prospect en évolution, non finalisée. Louis Potvin (développement/partenariats) ajouté en copie pour la suite. Prochaine étape : caler un RDV de suivi Défense avec Pierre Teisser avant le 03/04/2026. Pas de retour prospect sur fonds à ce stade. Aucun passage en comité mentionné.&lt;/p&gt;</t>
  </si>
  <si>
    <t>caler un rdv de suivi Defense avec Pierre Teisser</t>
  </si>
  <si>
    <t>AG2R La Mondiale</t>
  </si>
  <si>
    <t>Cyrille ROUSTANG</t>
  </si>
  <si>
    <t>&lt;p&gt;RDV physiques et échanges réguliers AG2R/Audacia (Straton, Expansion, Quantonation). Présentation fonds, envoi docs, discussions fonds défense, nucléaire, tech, biotech, LBO, stratégie AG2R. AG2R analyse positionnement défense, contraintes internes, intérêt pour fonds sectoriels. Prochaine étape&amp;nbsp;: deck Straton, benchmark concurrents.&lt;/p&gt;</t>
  </si>
  <si>
    <t>rdv avec T Rivron calé et Cyril Roustang</t>
  </si>
  <si>
    <t>CAISSE PREVOYANCE ET RETRAITE PERS FERROVIAIRE</t>
  </si>
  <si>
    <t>Pierre Robin</t>
  </si>
  <si>
    <t>&lt;p&gt;Aucune activité menée sur le prospect. Infos : Organisme de prévoyance et retraite dédié au personnel ferroviaire, gère dispositifs complémentaires et prévoyance pour agents du rail, structure historique secteur public, mission gestion sociale et protection salariés ferroviaires.&lt;/p&gt;</t>
  </si>
  <si>
    <t>SYNAPSIS PATRIMOINE</t>
  </si>
  <si>
    <t>Guillaume Duport</t>
  </si>
  <si>
    <t>&lt;p&gt;RDV physique 24/03 à Toulouse, échanges sur fonds Audacia, contact avec Métagram/Patrinum à venir. Intérêt marqué pour fonds Défense, questions sur valos/dealflow, pas de VC ni sectoriel. Relance mail prévue, visio avec Thomas à organiser. Dernière action&amp;nbsp;: relance événement Défense 09/04.&lt;/p&gt;</t>
  </si>
  <si>
    <t>FONDATION FRANCOIS SOMMER</t>
  </si>
  <si>
    <t>Alban de Loisy</t>
  </si>
  <si>
    <t>&lt;p&gt;Déjeuner 5 mars 2025 avec DG : portefeuille couvre 90% coûts Fondation, réallocation vers infra/dettes, arrêt PE. Refus d'évaluer fonds PME Straton (préférence secondaire infra, valorisations élevées, risques, absence de distribution, stress dette souveraine). Prochaine étape : reprendre RDV avec Thierry Brevet.&lt;/p&gt;</t>
  </si>
  <si>
    <t>STRATON &lt;&gt; reprendre rdv avec Thierry Brevet</t>
  </si>
  <si>
    <t>Probablement mort</t>
  </si>
  <si>
    <t>CNP Assurances</t>
  </si>
  <si>
    <t>Raphaël BONTE</t>
  </si>
  <si>
    <t>&lt;p&gt;Présentation Expansion/Straton, bon contact, prospect a investi 15M€ dans CICLAD, cible 15M€ dans STRATON. Refus définitif sur STRATON (taille trop petite, mauvais souvenir fonds PME). Expansion jugé trop niche. Suivi à prévoir, prochaine action : prendre des nouvelles avant 19/03.&lt;/p&gt;</t>
  </si>
  <si>
    <t>prendre des nouvelles</t>
  </si>
  <si>
    <t>Thierry Campoy-Heneaux</t>
  </si>
  <si>
    <t>&lt;p&gt;RDV physique avec Thierry Campoy-Heneaux, focus FO/MFO, pas d'intérêt VC, revoir en 2027. Activités : gestion patrimoniale, Champagne, Immo, MedTech, Pharmacie. Feedback prospect : préfère solutions sur-mesure, pas de co-invest VC, AUDACIA non, Straton ok. Relance prévue l'an prochain.&lt;/p&gt;</t>
  </si>
  <si>
    <t>Pas d'intérêt sur le VC / revoir l'année prochaine</t>
  </si>
  <si>
    <t>Thierry Sanson</t>
  </si>
  <si>
    <t>&lt;p&gt;Piste créée pour équipe Ventes, lead Thomas Schmitz. RDV physique 150 0 Ber &amp;lt;&amp;gt; straton et Procession, pas d'intérêt prospect sur le VC. Dernière activité 06/03/2026. Prochaine étape non définie, pas d'action prévue à ce stade. Aucun retour prospect positif sur fonds présentés.&lt;/p&gt;</t>
  </si>
  <si>
    <t>150 0 Ber &lt;&gt; straton et Procession</t>
  </si>
  <si>
    <t>Jonathan Kieffer</t>
  </si>
  <si>
    <t>&lt;p&gt;Aucune activité significative ni échange enregistré sur l'opportunité. Seule information : une nouvelle piste a été créée pour l'équipe Ventes. Aucun suivi, aucune action menée, aucune interaction ou retour prospect, aucune prochaine étape identifiée à ce jour.&lt;/p&gt;</t>
  </si>
  <si>
    <t>Malakoff Humanis</t>
  </si>
  <si>
    <t>Boris Jacquet</t>
  </si>
  <si>
    <t>&lt;p&gt;RDV physique 2/2 : Boris gère tout l'AUM hors CT/stratégique, 40Mds€. Défense SIENNA IM/100M€ (30M LFMWeinberg), 50M€ en signature. UNOFI : 15% en rachat par Malakoff, intégration probable 2026. Prochaines étapes : déjeuner fin juin, attente RDV N de Chatellus/OdP, Straton à revoir rentrée 2026.&lt;/p&gt;</t>
  </si>
  <si>
    <t>SOFIDY GESTION PRIVEE</t>
  </si>
  <si>
    <t>David Guillemet</t>
  </si>
  <si>
    <t>&lt;p&gt;Appel terminé, prospect a des demandes sur 150-0 B ter, rdv téléphonique prévu sur offre actuelle, attend retour si intérêt clients. Enrichissement lead impossible (email non valide). Nouvelle piste créée pour équipe Ventes. Pas d'autres actions ou retours prospect notés.&lt;/p&gt;</t>
  </si>
  <si>
    <t>CAISSE D'EPARGNE LOIRE CENTRE</t>
  </si>
  <si>
    <t>Isabelle Jallet</t>
  </si>
  <si>
    <t>&lt;p&gt;05/01/25 relance via Audrey Bourdoncle (BPCE SA) sur filière défense + mandataire CAisse relancée. RDV physique STRATON terminé, mail transféré à Sylvie Loire Fabre. Action test terminée. Piste créée pour équipe Ventes. Prochaine étape non précisée, attente retour mandataire/filiale défense.&lt;/p&gt;</t>
  </si>
  <si>
    <t>NBIM - NORGES BANK INVESTMENT MANAGER</t>
  </si>
  <si>
    <t>Kenza IDMAHAMMA</t>
  </si>
  <si>
    <t>&lt;p&gt;RDV physique ARKEA AM terminé. NBIM : 2% allocation énergie infra, 4Md$ capacité fonds non cotés, focus direct/indirect, diversification. 2 fonds faits (renouvelable min70%). Pas de fonds private credit. Stratégie stable 2 ans, tickets 500M€, fonds 5Md€. Équipe limitée, flexibilité possible, suivi à maintenir.&lt;/p&gt;</t>
  </si>
  <si>
    <t>IVESTA (150 0 B ter)</t>
  </si>
  <si>
    <t>Etienne MALLENGIER</t>
  </si>
  <si>
    <t>&lt;p&gt;Déjeuner 5 mars avec T Barrey (fonds de fonds IVESTA). IVESTA gère 3bn, 100 fonds PE, 20% venture. Intérêt pour spécialistes, ticket 1M€ Straton évoqué, coalition familles possible. Processus de référencement en cours, 4 votants. Relance prévue fin mars sur décision Straton/1M€.&lt;/p&gt;</t>
  </si>
  <si>
    <t>relance fin mars sur leur choix de regarder STRATON / 1Me</t>
  </si>
  <si>
    <t>WAGNER Gestion Privée</t>
  </si>
  <si>
    <t>Franck GIRARD</t>
  </si>
  <si>
    <t>&lt;p&gt;Nouvelle piste créée pour équipe Ventes. Proposition de call rapide 30 min avec client pour discuter remploi sur deux fonds. Tentative d'enrichissement lead échouée (email invalide). Pas d'autres actions ou retours du prospect. Prochaines étapes : organiser le call proposé, attente retour client.&lt;/p&gt;</t>
  </si>
  <si>
    <t>MONCEAU GENERALE ASSURANCES</t>
  </si>
  <si>
    <t>Jérome Sennelier</t>
  </si>
  <si>
    <t>&lt;p&gt;Aucune activité récente détectée sur MONCEAU GENERALE ASSURANCES. Lead créé pour équipe Ventes, enrichissement impossible (email non valide). Pas d'échanges ni d'actions menées avec le prospect. MONCEAU GENERALE ASSURANCES : acteur historique assurance, pas d'infos CA ou effectif récentes.&lt;/p&gt;</t>
  </si>
  <si>
    <t>Olivier NANECOU</t>
  </si>
  <si>
    <t>OLIVIER NANECOU</t>
  </si>
  <si>
    <t>&lt;p&gt;Aucune activité menée sur le prospect. Nouvelle piste créée pour l'équipe "Ventes". Aucun échange, action ou retour identifié à ce jour. Pas de suivi, pas d'interaction, pas de retour prospect, aucune prochaine étape planifiée ni mention d'avis sur les fonds présentés.&lt;/p&gt;</t>
  </si>
  <si>
    <t>À Relancer</t>
  </si>
  <si>
    <t>IPECA</t>
  </si>
  <si>
    <t>&lt;p&gt;21/01/2026 : Bleuet de France intéressé par BITD mais allocation PE non coté saturée, rien avant 2 ans sauf distribution. Ticket 5M€ habituel, déçus par intervention de l'État sur sorties fonds. Ouverts à fonds de dette défense si rendement &amp;gt;8%. Déjeuner prévu 17/04 avec David Boyer pour avancer.&lt;/p&gt;</t>
  </si>
  <si>
    <t>Déjeuner le 17 avril avec David Boyer</t>
  </si>
  <si>
    <t>Cabinet d'avocats</t>
  </si>
  <si>
    <t>ARKWOOD</t>
  </si>
  <si>
    <t>Xavier GUERIN</t>
  </si>
  <si>
    <t>&lt;p&gt;25/02/26 relance Arkwood Avocats pour dossier remploi, contact tél. Présentation Audacia fonds remploi, prospect doit envoyer dossiers mais très occupé par études expatriation. 06/03/26 relance, prospect toujours très pris. Prochaine action&amp;nbsp;: prise de news, deadline 18/03/26.&lt;/p&gt;</t>
  </si>
  <si>
    <t>prise de news</t>
  </si>
  <si>
    <t>SPVM</t>
  </si>
  <si>
    <t>Aurélien Faure</t>
  </si>
  <si>
    <t>&lt;p&gt;Prospect SPVM suivi activement, échanges récents sur projet Straton. Dernière action : relance prévue avant comité janvier 2026 (échéance 29/11/2025). Activité : appel à passer. Lead créé pour équipe Ventes. Enrichissement email impossible. Prochaine étape : relancer sur Straton.&lt;/p&gt;</t>
  </si>
  <si>
    <t>ACOSS (anciennement URSSAF Caisse Nationale)</t>
  </si>
  <si>
    <t>Denis NEITER</t>
  </si>
  <si>
    <t>&lt;p&gt;Demande de RDV faite à Denis Neiter, relance en cours. Dernier échange physique terminé, pas de retour prospect encore. Nouvelle piste créée pour équipe Ventes. Prochaine étape : obtenir confirmation de RDV avec Denis Neiter. Pas d'autres actions ou retours prospect notés à ce jour.&lt;/p&gt;</t>
  </si>
  <si>
    <t>Mail adressé à jean-luc.vitre@acoss.fr pour Straton.</t>
  </si>
  <si>
    <t>Caisse d'Épargne Normandie</t>
  </si>
  <si>
    <t>Jacob HOLAY</t>
  </si>
  <si>
    <t>&lt;p&gt;RDV physique Deauville : discussion sur création fonds défense Région. Caisse d'Epargne Normandie (Aurélien Valet) non impliquée. Nouvelle piste créée pour équipe Ventes. Prochaine étape : exploiter la création du fonds défense par la Région. Pas d'avis prospect sur fonds à ce stade.&lt;/p&gt;</t>
  </si>
  <si>
    <t>Echange tel avec Aurélien Valet &lt;&gt; rdv mandataire acté. Propostion dans un mois</t>
  </si>
  <si>
    <t>NOBC</t>
  </si>
  <si>
    <t>Mayo KABA</t>
  </si>
  <si>
    <t>&lt;p&gt;Aucune activité menée sur le prospect. NOBC &amp;lt;&amp;gt; 150 O B ter STRATON. Dernière activité prévue : relancer sur straton (échéance 29/11/2025). Type récent : action à faire, appel à passer. Aucun message nécessitant action, peu d'infos détaillées, aucune donnée chiffrée ou globale identifiée à ce stade.&lt;/p&gt;</t>
  </si>
  <si>
    <t xml:space="preserve">OFILAE </t>
  </si>
  <si>
    <t>Baptiste Maes</t>
  </si>
  <si>
    <t>&lt;p&gt;Café Opéra 16/10 avec Ofilae : présentation FO, Audacia, fonds PME Défense, Straton. Intérêt pour fonds small/mid cap France/US, éligibilité fiscale recherchée. Envois docs, échanges mails réguliers, relances dont invitation Rencontres Bourrienne 9/04. Prochaine étape : relance invitation.&lt;/p&gt;</t>
  </si>
  <si>
    <t>COVEA FINANCE</t>
  </si>
  <si>
    <t>Olivier Leborgne</t>
  </si>
  <si>
    <t>&lt;p&gt;29/01/2025: COVEA FINANCE a investi 15M€ dans Weinberg, satisfait du rythme du fonds mais préoccupé par l'exit, croit à la thèse européenne. Nombreux fonds vus pour la Défense. Deck envoyé après déjeuner, relance effectuée, retour prospect neutre. Pas d'action future planifiée.&lt;/p&gt;</t>
  </si>
  <si>
    <t>FRR - Fonds de Réserve pour les Retraites</t>
  </si>
  <si>
    <t>Victoire Costa de Beauregard</t>
  </si>
  <si>
    <t>&lt;p&gt;1er RDV Straton via fonds de fonds, instruction prévue avril 2026 (mandat ad hoc FRR). Bon lien Victoire, obstacles ratios, souhaitent TIBI 2 mais pas de parrainage possible (entité publique). Thèses compatibles mandats. Prochaine étape&amp;nbsp;: instruction fonds de fonds avril 2026. Prise de nouvelles planifiée.&lt;/p&gt;</t>
  </si>
  <si>
    <t>Prise de Nouvelles</t>
  </si>
  <si>
    <t>SAINT OLIVE et Cie (BANQUE)</t>
  </si>
  <si>
    <t>François Permezel</t>
  </si>
  <si>
    <t>&lt;p&gt;Aucune activité menée sur le prospect. Un nouvelle piste a été créée pour l'équipe "Ventes". Aucun échange, action ou retour prospect enregistré depuis la création. Pas de suivi, pas de prochaines étapes identifiées, aucune interaction ou retour sur les fonds présentés.&lt;/p&gt;</t>
  </si>
  <si>
    <t>BANQUE POPULAIRE GRAND OUEST</t>
  </si>
  <si>
    <t>Delphine KERAMBRUN</t>
  </si>
  <si>
    <t>&lt;p&gt;RDV à prendre avec DGD Bruno Pain, car Delphine Kerabuam ne couvre que le LCR, le non coté géré en direct par DGD. Demande de RDV faite, relance effectuée le 19/03/2026. Attente retour DGD. Pas de retour prospect sur fonds présentés à ce stade. Prochaine étape&amp;nbsp;: obtenir RDV DGD.&lt;/p&gt;</t>
  </si>
  <si>
    <t>CAISSE D'EPARGNE ET DE PREVOYANCE HAUTS DE FRANCE</t>
  </si>
  <si>
    <t>Christophe Leguay</t>
  </si>
  <si>
    <t>&lt;p&gt;RDV physique 23/01/2026 avec CAISSE D'EPARGNE ET DE PREVOYANCE HAUTS DE FRANCE. Entreprise BCorp, aucun intérêt pour la défense. Seule piste possible : fonds de fonds capdev et Tourisme. Pas d'autres actions ou prochaines étapes mentionnées. Nouvelle piste créée équipe Ventes.&lt;/p&gt;</t>
  </si>
  <si>
    <t>rdv en 2027 sur la Défense</t>
  </si>
  <si>
    <t>Mort / Plus rien à faire</t>
  </si>
  <si>
    <t>0</t>
  </si>
  <si>
    <t>AGRICA EPARGNE</t>
  </si>
  <si>
    <t>Aurélien Leguay</t>
  </si>
  <si>
    <t>&lt;p&gt;Ouverture Data Room 10/02/26. Présentation fonds Défense Straton, due diligence menée. Commission placements AGRICA (12/03/25) avis défavorable : fonds trop orienté défense, taille jugée insuffisante. AGRICA confirme fin mars : dossier fermé, priorité agroalimentaire. Pas d'étape à venir.&lt;/p&gt;</t>
  </si>
  <si>
    <t>BPCE Life - Luxembourg</t>
  </si>
  <si>
    <t>Tristan TOUZELLIER</t>
  </si>
  <si>
    <t>&lt;p&gt;RDV physique 19/02/2026 avec Trisan Touzilier, point méthodo, suivi à faire sur chantier Luxembourgeois. Dernière activité : pas de nouvelle action, discussion sur taille du fond, % d'emprise fonds/clients. Pas de feedback prospect sur fonds. Prochaine étape non précisée.&lt;/p&gt;</t>
  </si>
  <si>
    <t>UNION DES BLESSES DE LA FACE ET DE LA TETE</t>
  </si>
  <si>
    <t>Godefry Pouch</t>
  </si>
  <si>
    <t>&lt;p&gt;Intro et demande formelle bien reçue. RDV présentation sollicité avec Colonel Eric Philippe (Union des Blessés de la Face et de la Tête) le 30/01. Avancée avec Cedrus Partners, toute relation asset manager analysée par eux. Relance faite, plus de réponse. Prochaine étape : relance d'intérêt.&lt;/p&gt;</t>
  </si>
  <si>
    <t>relance faite. Ne me répond plus</t>
  </si>
  <si>
    <t>Dominique de la Vallée Poussin</t>
  </si>
  <si>
    <t>&lt;p&gt;Aucune activité menée sur le prospect. Nouvelle piste créée pour l'équipe Ventes par Romain Andrieu. Aucun échange, action ou retour prospect enregistré à ce jour. Pas de prochaine étape planifiée ni d'information sur l'origine ou le contexte de la piste.&lt;/p&gt;</t>
  </si>
  <si>
    <t>GICAT &lt;&gt; STRATON</t>
  </si>
  <si>
    <t>Hubert Raymond</t>
  </si>
  <si>
    <t>&lt;p&gt;RDV physique STRATON &amp;lt;&amp;gt; Mecenat Doctorant réalisé, conseil dealflow/fonds, financement Doctorat validé, introduction France Mutualiste faite. Pas d'action de levée à ce stade. Prochaine étape non précisée, suivi en attente d'évolution ou nouvelles actions.&lt;/p&gt;</t>
  </si>
  <si>
    <t>Pas d'action de levées / RDV fait / OK financement Doctorat et intro France Mutualiste</t>
  </si>
  <si>
    <t>Stéphanie Olié</t>
  </si>
  <si>
    <t>&lt;p&gt;Aucune activité ni échange significatif enregistré sur cette opportunité. Seule information : nouvelle piste créée pour l'équipe Ventes par Romain Andrieu. Aucun suivi, action ou retour prospect identifié à ce jour.&lt;/p&gt;</t>
  </si>
  <si>
    <t>MGPrev Adel CHANANE</t>
  </si>
  <si>
    <t>Adel CHANANE</t>
  </si>
  <si>
    <t>&lt;p&gt;Relance mail faite 13/01/2026. Action précédente : caler un premier échange (straton), terminée 09/01/2026. Tentative d'enrichissement lead échouée (mail invalide). Piste créée pour équipe Ventes. Prochaine étape non précisée, pas de retour prospect sur fonds. Pas d'autres activités récentes.&lt;/p&gt;</t>
  </si>
  <si>
    <t>MUTUELLE MEDICIS</t>
  </si>
  <si>
    <t>Michel Clerc</t>
  </si>
  <si>
    <t>&lt;p&gt;Aucune activité menée sur le prospect. Opportunité de MUTUELLE MEDICIS : acteur reconnu en protection sociale et complémentaire santé, plus de 300 000 adhérents, spécialisé dans la couverture santé des indépendants et professions libérales. Pas d'échanges ni d'actions récentes.&lt;/p&gt;</t>
  </si>
  <si>
    <t>Vendeur de Pasqal</t>
  </si>
  <si>
    <t>Georges-Olivier Reymond</t>
  </si>
  <si>
    <t>&lt;p&gt;Nouvelle piste créée équipe Ventes. Action principale&amp;nbsp;: prise de RDV physique fin décembre, capacité totale estimée à 100M€. Pas d'autres échanges ou retours prospect enregistrés à ce jour. Prochaine étape&amp;nbsp;: fixer RDV fin décembre. Aucun retour prospect sur fonds présenté pour l'instant.&lt;/p&gt;</t>
  </si>
  <si>
    <t>prendre rdv fin decembre / capacité totale estimée 100Me</t>
  </si>
  <si>
    <t>BPIFrance</t>
  </si>
  <si>
    <t>Edoardo SAMPAIO</t>
  </si>
  <si>
    <t>&lt;p&gt;Prospect BPIFrance, aucune activité significative menée à ce jour. Prochaine action prévue : appel light à Edoardo pour sonder sur Straton (échéance 31/01/2026). Aucun retour prospect ni conclusion sur fonds présentés. Nouvelle piste créée pour équipe Ventes. Pas d'autres interactions notables.&lt;/p&gt;</t>
  </si>
  <si>
    <t>Appeler Edoardo de manière light pour le sonder sur Straton</t>
  </si>
  <si>
    <t>MATMUT</t>
  </si>
  <si>
    <t>Nicolas GOMART</t>
  </si>
  <si>
    <t>&lt;p&gt;RDV physique réalisé, demande de rdv faite avec Aurélie Dumont. JFC est intervenu, dossier renvoyé à Leovic Lecluse. Pas de retour explicite du prospect sur les fonds. Prochaine étape : suivi avec Leovic Lecluse, deadline 27/03/2026. Pas d'autres actions ou retours notables.&lt;/p&gt;</t>
  </si>
  <si>
    <t>JFC est intervenu / renvoi à Leovic Lecluse</t>
  </si>
  <si>
    <t>MUTAC</t>
  </si>
  <si>
    <t>Guilhem Pialot</t>
  </si>
  <si>
    <t>&lt;p&gt;14/01/2026 : échange avec Guilhem Pialot (Mutac), refus PE jugé trop onéreux, historique négatif, aucune réouverture possible, intérêt uniquement pour dette directe/fonds de dette, ticket 2M€. Sept 2025 : fonds trop long (14 ans), non noté, SCR élevé, absence de sûreté. Pas d'action future prévue.&lt;/p&gt;</t>
  </si>
  <si>
    <t>Caisse de retraite du Sénat</t>
  </si>
  <si>
    <t>Gian Marco Revellat</t>
  </si>
  <si>
    <t>&lt;p&gt;Contact établi avec Caisse de retraite du Sénat, attente de proposition de dates pour RDV physique. Aucun retour prospect sur fonds à ce stade, pas de conclusion exprimée. Dernière action par Romain Andrieu le 06/02/2026. Prochaine étape : fixer un rendez-vous dès réception des disponibilités.&lt;/p&gt;</t>
  </si>
  <si>
    <t>Contact établi en attente de dates</t>
  </si>
  <si>
    <t>CAVEC Caisse Assurance Vieillesse Experts Comptables</t>
  </si>
  <si>
    <t>Vincent BRETIN</t>
  </si>
  <si>
    <t>&lt;p&gt;Offre STRATON transmise à la bonne adresse suite au départ de Bretin. Nouvelle piste créée pour équipe Ventes. Aucune activité récente ni retour prospect sur les fonds présentés. Pas d'action ou étape à venir identifiée dans les échanges ou activités.&lt;/p&gt;</t>
  </si>
  <si>
    <t>Fédération AGIRC-ARRCO</t>
  </si>
  <si>
    <t>Céline NOUET</t>
  </si>
  <si>
    <t>&lt;p&gt;Aucune activité menée sur le prospect. Nouvelle piste créée pour l'équipe Ventes, aucun échange, action ou retour enregistré à ce jour. Pas de suivi, pas de prise de contact, ni d'information sur l'origine ou le contexte de création de la piste. Aucun retour ni prochaine étape identifiée.&lt;/p&gt;</t>
  </si>
  <si>
    <t>Demande de rdv faite à M Nany (assistante de C Nouet)</t>
  </si>
  <si>
    <t>CNAVPL -  Caisse nationale d’assurance vieillesse des professions libérales</t>
  </si>
  <si>
    <t>C Zinai</t>
  </si>
  <si>
    <t>&lt;p&gt;Relance effectuée par Romain Andrieu, contact en cours, aucune réponse détaillée du prospect à ce stade. Dernière activité le 20/03/2026, pas de retour sur l'intérêt ou les conclusions du prospect concernant les fonds présentés. Prochaine étape : suivi à prévoir, attente de réponse.&lt;/p&gt;</t>
  </si>
  <si>
    <t>Contact en cours / relance faite</t>
  </si>
  <si>
    <t>Mutuelle UNEO</t>
  </si>
  <si>
    <t>Marc LECLERE</t>
  </si>
  <si>
    <t>&lt;p&gt;03/03 : Offre présentée à UNEO, instruction commune. Blocage Président Leclaire (déjà 5 offres, doute sur la démarche). Demande d'appui à JFC (pas de lien). Présence Marc Leclere/Marie Chabaud à soirée ULTRAOPS. Prochaine étape : lever blocage UNEO, suivi à prévoir d'ici 20/05.&lt;/p&gt;</t>
  </si>
  <si>
    <t>soirée ULTRAOPS &lt;&gt; presence de Marc Leclere avec La nouvelle DG de SOLIDARM Marie Chabaud, “soirée ULTRAOPS &lt;&gt; presence de Marc Leclere avec La nouvelle DG de SOLIDARM Marie Chabaud”pour Romain Andrieu</t>
  </si>
  <si>
    <t>ARKEA</t>
  </si>
  <si>
    <t>Sophie COULON-RENOUVEL</t>
  </si>
  <si>
    <t>&lt;p&gt;Multiples échanges ARKEA/AUDACIA, focus fonds de fonds, STRATON/SLP EXPANSION poussés. Rdv avec Sophie Coulon-Renouvel, Olivia Inizan impliquée, mandat Pierre-Emmanuel Boulic. ARKEA hérite du sujet fonds de fonds 2026. Prochaine étape : organiser un rdv, deadline 14/01/2026.&lt;/p&gt;</t>
  </si>
  <si>
    <t>ORPHEOPOLIS</t>
  </si>
  <si>
    <t>Jean-Francois Grimaud</t>
  </si>
  <si>
    <t>&lt;p&gt;Aucune activité menée sur le prospect. ORPHEOPOLIS : acteur majeur protection enfance, gère établissements, accompagne enfants/familles en difficulté, forte implantation nationale, longue histoire. Pas d'interactions, ni retours, ni prochaines étapes identifiées à ce jour.&lt;/p&gt;</t>
  </si>
  <si>
    <t>CRPCEN (Caisse de Retraîte et de Prévoyance des Clercs et employés de Notaires)</t>
  </si>
  <si>
    <t>Bruno Vaillant</t>
  </si>
  <si>
    <t>&lt;p&gt;Aucune activité ou échange mené sur le prospect CRPCEN. Opportunité créée pour l'équipe Ventes. Prospect : CRPCEN, caisse de retraite/prévoyance dédiée aux clercs et employés de notaires, gère plus de 60 000 affiliés, acteur institutionnel historique du secteur protection sociale France.&lt;/p&gt;</t>
  </si>
  <si>
    <t>Caisse d'Epargne et de Prévoyance de Rhone Alpes</t>
  </si>
  <si>
    <t>Didier Bruno</t>
  </si>
  <si>
    <t>&lt;p&gt;16/02/2026 : RDV physique, CERA KO sur Straton, préfère soutenir autres initiatives défense, pas d'ouverture immédiate. 04/03/2026 : Suivi, secteur défense toujours à creuser, contact transmis pour immobilier. Prochaine étape : RDV requalification janvier 2027. Pas d'autre info sur création piste.&lt;/p&gt;</t>
  </si>
  <si>
    <t>Rdv en janvier 2027 pour requalifier le lead</t>
  </si>
  <si>
    <t>UNEDIC</t>
  </si>
  <si>
    <t>Jun DUMOLARD</t>
  </si>
  <si>
    <t>&lt;p&gt;RDV physique UNEDIC &amp;lt;&amp;gt; IPEM le 06/02 : UNEDIC gère 60mds€ de dettes, focus liquidité, politiques d'investissement très monétaires, très peu d'intérêt pour PE, ouverture marginale sur fonds obligataires ESG. Pas d'activité ou de suivi supplémentaire identifié à ce jour.&lt;/p&gt;</t>
  </si>
</sst>
</file>

<file path=xl/styles.xml><?xml version="1.0" encoding="utf-8"?>
<styleSheet xmlns="http://schemas.openxmlformats.org/spreadsheetml/2006/main" xmlns:r="http://schemas.openxmlformats.org/officeDocument/2006/relationships">
  <numFmts count="2">
    <numFmt numFmtId="164" formatCode="dd/mm/yyyy"/>
    <numFmt numFmtId="165" formatCode="#,##0[$€]"/>
  </numFmts>
  <fonts count="4">
    <font>
      <sz val="10"/>
      <color rgb="000000"/>
      <name val="Arial"/>
    </font>
    <font>
      <sz val="10"/>
      <color rgb="FFFFFF"/>
      <name val="Arial"/>
    </font>
    <font>
      <sz val="30"/>
      <color rgb="FFFFFF"/>
      <name val="Arial"/>
    </font>
    <font>
      <sz val="10"/>
      <color rgb="351C75"/>
      <name val="Arial"/>
    </font>
  </fonts>
  <fills count="5">
    <fill>
      <patternFill patternType="none"/>
    </fill>
    <fill>
      <patternFill patternType="gray125"/>
    </fill>
    <fill>
      <patternFill patternType="solid">
        <fgColor rgb="351C75"/>
        <bgColor indexed="64"/>
      </patternFill>
    </fill>
    <fill>
      <patternFill patternType="solid">
        <fgColor rgb="FFFFFF"/>
        <bgColor indexed="64"/>
      </patternFill>
    </fill>
    <fill>
      <patternFill patternType="solid">
        <fgColor rgb="FF9900"/>
        <bgColor indexed="64"/>
      </patternFill>
    </fill>
  </fills>
  <borders count="1">
    <border>
      <left>
        </left>
      <right>
        </right>
      <top>
        </top>
      <bottom>
        </bottom>
      <diagonal>
        </diagonal>
    </border>
  </borders>
  <cellXfs count="21">
    <xf numFmtId="0" fillId="0" fontId="0" borderId="0"/>
    <xf numFmtId="0" fillId="2" fontId="1" borderId="0" applyAlignment="1">
      <alignment vertical="center" horizontal="center"/>
    </xf>
    <xf numFmtId="0" fillId="2" fontId="1" borderId="0" applyAlignment="1">
      <alignment vertical="center" horizontal="center" wrapText="1"/>
    </xf>
    <xf numFmtId="0" fillId="2" fontId="2" borderId="0" applyAlignment="1">
      <alignment vertical="center" wrapText="1"/>
    </xf>
    <xf numFmtId="0" fillId="3" fontId="1" borderId="0" applyAlignment="1">
      <alignment vertical="center" horizontal="center"/>
    </xf>
    <xf numFmtId="164" fillId="3" fontId="1" borderId="0" applyAlignment="1">
      <alignment vertical="center" horizontal="center"/>
    </xf>
    <xf numFmtId="0" fillId="3" fontId="1" borderId="0" applyAlignment="1">
      <alignment vertical="center" horizontal="center" wrapText="1"/>
    </xf>
    <xf numFmtId="0" fillId="0" fontId="1" borderId="0"/>
    <xf numFmtId="0" fillId="0" fontId="3" borderId="0"/>
    <xf numFmtId="0" fillId="0" fontId="3" borderId="0" applyAlignment="1">
      <alignment vertical="center" horizontal="center" wrapText="1"/>
    </xf>
    <xf numFmtId="0" fillId="3" fontId="3" borderId="0" applyAlignment="1">
      <alignment vertical="center" horizontal="center" wrapText="1"/>
    </xf>
    <xf numFmtId="0" fillId="4" fontId="1" borderId="0" applyAlignment="1">
      <alignment vertical="center" horizontal="center" wrapText="1"/>
    </xf>
    <xf numFmtId="49" fillId="0" fontId="3" borderId="0" applyAlignment="1">
      <alignment vertical="center" wrapText="1"/>
    </xf>
    <xf numFmtId="49" fillId="0" fontId="3" borderId="0" applyAlignment="1">
      <alignment vertical="center" horizontal="center" wrapText="1"/>
    </xf>
    <xf numFmtId="0" fillId="0" fontId="3" borderId="0" applyAlignment="1">
      <alignment wrapText="1"/>
    </xf>
    <xf numFmtId="0" fillId="0" fontId="3" borderId="0" applyAlignment="1">
      <alignment vertical="center" wrapText="1"/>
    </xf>
    <xf numFmtId="164" fillId="0" fontId="3" borderId="0" applyAlignment="1">
      <alignment vertical="center" horizontal="center" wrapText="1"/>
    </xf>
    <xf numFmtId="165" fillId="0" fontId="3" borderId="0" applyAlignment="1">
      <alignment vertical="center" horizontal="center" wrapText="1"/>
    </xf>
    <xf numFmtId="49" fillId="0" fontId="3" borderId="0"/>
    <xf numFmtId="164" fillId="0" fontId="3" borderId="0"/>
    <xf numFmtId="165" fillId="0" fontId="3" borderId="0"/>
  </cellXfs>
  <dxfs count="2">
    <dxf>
      <fill>
        <patternFill>
          <bgColor rgb="B6D7A8"/>
        </patternFill>
      </fill>
    </dxf>
    <dxf>
      <fill>
        <patternFill>
          <bgColor rgb="D9EAD3"/>
        </patternFill>
      </fill>
    </dxf>
  </dxfs>
</styleSheet>
</file>

<file path=xl/_rels/workbook.xml.rels><Relationships xmlns="http://schemas.openxmlformats.org/package/2006/relationships">
        
        <Relationship Id="rId1" Target="worksheets/sheet0.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metadata.xml" Type="http://schemas.openxmlformats.org/officeDocument/2006/relationships/sheetMetadata"/>
      
      </Relationships>
</file>

<file path=xl/tables/table1.xml><?xml version="1.0" encoding="utf-8"?>
<table xmlns="http://schemas.openxmlformats.org/spreadsheetml/2006/main" xmlns:xr="http://schemas.microsoft.com/office/spreadsheetml/2014/revision" xmlns:xr3="http://schemas.microsoft.com/office/spreadsheetml/2016/revision3" xmlns:mc="http://schemas.openxmlformats.org/markup-compatibility/2006" id="1" name="Table1" displayName="Table1" ref="A3:V202" headerRowCount="1" totalsRowCount="0">
  <autoFilter ref="A3:V202">
  </autoFilter>
  <tableColumns count="22">
    <tableColumn id="1" name="Fonds"/>
    <tableColumn id="2" name="Typologie"/>
    <tableColumn id="3" name="Entité"/>
    <tableColumn id="4" name="Contact"/>
    <tableColumn id="5" name="Contact Levée"/>
    <tableColumn id="6" name="Commentaire"/>
    <tableColumn id="7" name="Commentaire2"/>
    <tableColumn id="8" name="Commentaire3"/>
    <tableColumn id="9" name="Commentaire4"/>
    <tableColumn id="10" name="Activités"/>
    <tableColumn id="11" name="Étape"/>
    <tableColumn id="12" name="Intérêt"/>
    <tableColumn id="13" name="Date de dernière activité"/>
    <tableColumn id="14" name="Dernière activité"/>
    <tableColumn id="15" name="Date de prochaine activité"/>
    <tableColumn id="16" name="Prochaine activité"/>
    <tableColumn id="17" name="Revenu attendu"/>
    <tableColumn id="18" name="Ticket"/>
    <tableColumn id="19" name="% de Maturation"/>
    <tableColumn id="20" name="Matu."/>
    <tableColumn id="21" name="Tri"/>
    <tableColumn id="22" name="compteur"/>
  </tableColumns>
  <tableStyleInfo name="TableStyleLight9" showFirstColumn="0" showLastColumn="0" showRowStripes="1" showColumnStripes="0"/>
</table>
</file>

<file path=xl/worksheets/_rels/sheet0.xml.rels><Relationships xmlns="http://schemas.openxmlformats.org/package/2006/relationships">
        
        <Relationship Id="rId1" Target="../tables/table1.xml" Type="http://schemas.openxmlformats.org/officeDocument/2006/relationships/table"/>
      
      </Relationships>
</file>

<file path=xl/worksheets/sheet0.xml><?xml version="1.0" encoding="utf-8"?>
<worksheet xmlns="http://schemas.openxmlformats.org/spreadsheetml/2006/main" xmlns:r="http://schemas.openxmlformats.org/officeDocument/2006/relationships">
  <sheetViews>
    <sheetView showGridLines="1" workbookViewId="0">
      <pane ySplit="3" topLeftCell="A4" activePane="bottomLeft" state="frozen"/>
      <selection pane="bottomLeft"/>
    </sheetView>
  </sheetViews>
  <sheetFormatPr defaultRowHeight="17.25" defaultColWidth="13.73"/>
  <cols>
    <col min="1" max="1" width="18.88" customWidth="1" hidden="0"/>
    <col min="2" max="2" width="27.17" customWidth="1" hidden="0"/>
    <col min="3" max="3" width="33.89" customWidth="1" hidden="0"/>
    <col min="4" max="4" width="26.31" customWidth="1" hidden="0"/>
    <col min="5" max="5" width="17.59" customWidth="1" hidden="0"/>
    <col min="6" max="6" width="24.17" customWidth="1" hidden="1"/>
    <col min="7" max="7" width="23.31" customWidth="1" hidden="1"/>
    <col min="8" max="8" width="47.9" customWidth="1" hidden="1"/>
    <col min="9" max="9" width="57.63" customWidth="1" hidden="0"/>
    <col min="10" max="10" width="77.08" customWidth="1" hidden="1"/>
    <col min="11" max="11" width="25.31" customWidth="1" hidden="1"/>
    <col min="12" max="12" width="11.01" customWidth="1" hidden="0"/>
    <col min="13" max="13" width="23.31" customWidth="1" hidden="1"/>
    <col min="14" max="14" width="11.87" customWidth="1" hidden="0"/>
    <col min="15" max="15" width="24.88" customWidth="1" hidden="1"/>
    <col min="16" max="16" width="12.3" customWidth="1" hidden="0"/>
    <col min="17" max="17" width="15.16" customWidth="1" hidden="1"/>
    <col min="18" max="18" width="15.16" customWidth="1" hidden="0"/>
    <col min="19" max="19" width="15.16" customWidth="1" hidden="1"/>
    <col min="20" max="20" width="13.3" customWidth="1" hidden="0"/>
    <col min="21" max="21" width="11.58" customWidth="1" hidden="0"/>
    <col min="22" max="22" width="13.73" customWidth="1" hidden="1"/>
    <col min="23" max="23" width="13.73" customWidth="1" hidden="0"/>
    <col min="24" max="24" width="13.73" customWidth="1" hidden="0"/>
    <col min="25" max="25" width="13.73" customWidth="1" hidden="0"/>
    <col min="26" max="26" width="13.73" customWidth="1" hidden="0"/>
    <col min="27" max="27" width="13.73" customWidth="1" hidden="0"/>
    <col min="28" max="28" width="13.73" customWidth="1" hidden="0"/>
    <col min="29" max="29" width="13.73" customWidth="1" hidden="0"/>
    <col min="30" max="30" width="13.73" customWidth="1" hidden="0"/>
    <col min="31" max="31" width="13.73" customWidth="1" hidden="0"/>
    <col min="32" max="32" width="13.73" customWidth="1" hidden="0"/>
    <col min="33" max="33" width="13.73" customWidth="1" hidden="0"/>
    <col min="34" max="34" width="13.73" customWidth="1" hidden="0"/>
    <col min="35" max="35" width="13.73" customWidth="1" hidden="0"/>
    <col min="36" max="36" width="13.73" customWidth="1" hidden="0"/>
    <col min="37" max="37" width="13.73" customWidth="1" hidden="0"/>
  </cols>
  <sheetData>
    <row r="1" ht="41.25" customHeight="1">
      <c r="A1" s="1">
</c>
      <c r="B1" s="1">
</c>
      <c r="C1" s="1">
</c>
      <c r="D1" s="2">
</c>
      <c r="E1" s="1">
</c>
      <c r="F1" s="1">
</c>
      <c r="G1" s="2">
</c>
      <c r="H1" s="1">
</c>
      <c r="I1" s="3" t="s">
        <v>0</v>
      </c>
      <c r="J1" s="1">
</c>
      <c r="K1" s="1">
</c>
      <c r="L1" s="1">
</c>
      <c r="M1" s="1">
</c>
      <c r="N1" s="3">
</c>
      <c r="O1" s="1">
</c>
      <c r="P1" s="2">
</c>
      <c r="Q1" s="1">
</c>
      <c r="R1" s="1">
</c>
      <c r="S1" s="1">
</c>
      <c r="T1" s="1">
</c>
      <c r="U1" s="2">
</c>
      <c r="V1" s="4">
</c>
      <c r="W1" s="4">
</c>
      <c r="X1" s="5">
</c>
      <c r="Y1" s="6">
</c>
      <c r="Z1" s="4">
</c>
      <c r="AA1" s="4">
</c>
      <c r="AB1" s="6">
</c>
      <c r="AC1" s="6">
</c>
      <c r="AD1" s="6">
</c>
      <c r="AE1" s="7">
</c>
      <c r="AF1" s="7">
</c>
      <c r="AG1" s="7">
</c>
      <c r="AH1" s="7">
</c>
      <c r="AI1" s="7">
</c>
      <c r="AJ1" s="7">
</c>
      <c r="AK1" s="7">
</c>
    </row>
    <row r="2" ht="31.5" customHeight="1">
      <c r="A2" s="8">
</c>
      <c r="B2" s="9">
</c>
      <c r="C2" s="9" cm="1" t="n">
        <f t="array" ref="C2">SUBTOTAL(9,V4:V202)</f>
        <v>131</v>
      </c>
      <c r="D2" s="8">
</c>
      <c r="E2" s="8">
</c>
      <c r="F2" s="8">
</c>
      <c r="G2" s="8">
</c>
      <c r="H2" s="8">
</c>
      <c r="I2" s="8">
</c>
      <c r="J2" s="8">
</c>
      <c r="K2" s="8">
</c>
      <c r="L2" s="8">
</c>
      <c r="M2" s="8">
</c>
      <c r="N2" s="8">
</c>
      <c r="O2" s="8">
</c>
      <c r="P2" s="8">
</c>
      <c r="Q2" s="10" cm="1" t="n">
        <f t="array" ref="Q2">SUBTOTAL(9,Q4:Q302)</f>
        <v>78900000</v>
      </c>
      <c r="R2" s="10" cm="1" t="str">
        <f t="array" ref="R2">ROUND(Q2/1000000,3)&amp;" M€"</f>
        <v>78.9 M€</v>
      </c>
      <c r="S2" s="8">
</c>
      <c r="T2" s="8">
</c>
      <c r="U2" s="8">
</c>
      <c r="V2" s="8">
</c>
      <c r="W2" s="8">
</c>
      <c r="X2" s="8">
</c>
      <c r="Y2" s="8">
</c>
      <c r="Z2" s="8">
</c>
      <c r="AA2" s="8">
</c>
      <c r="AB2" s="8">
</c>
      <c r="AC2" s="8">
</c>
      <c r="AD2" s="8">
</c>
      <c r="AE2" s="8">
</c>
      <c r="AF2" s="8">
</c>
      <c r="AG2" s="8">
</c>
      <c r="AH2" s="8">
</c>
      <c r="AI2" s="8">
</c>
      <c r="AJ2" s="8">
</c>
      <c r="AK2" s="8">
</c>
    </row>
    <row r="3" ht="39.75" customHeight="1">
      <c r="A3" s="2" t="s">
        <v>1</v>
      </c>
      <c r="B3" s="2" t="s">
        <v>2</v>
      </c>
      <c r="C3" s="2" t="s">
        <v>3</v>
      </c>
      <c r="D3" s="2" t="s">
        <v>4</v>
      </c>
      <c r="E3" s="2" t="s">
        <v>5</v>
      </c>
      <c r="F3" s="11" t="s">
        <v>6</v>
      </c>
      <c r="G3" s="11" t="s">
        <v>7</v>
      </c>
      <c r="H3" s="11" t="s">
        <v>8</v>
      </c>
      <c r="I3" s="2" t="s">
        <v>9</v>
      </c>
      <c r="J3" s="11" t="s">
        <v>10</v>
      </c>
      <c r="K3" s="11" t="s">
        <v>11</v>
      </c>
      <c r="L3" s="2" t="s">
        <v>12</v>
      </c>
      <c r="M3" s="11" t="s">
        <v>13</v>
      </c>
      <c r="N3" s="2" t="s">
        <v>14</v>
      </c>
      <c r="O3" s="11" t="s">
        <v>15</v>
      </c>
      <c r="P3" s="2" t="s">
        <v>16</v>
      </c>
      <c r="Q3" s="11" t="s">
        <v>17</v>
      </c>
      <c r="R3" s="2" t="s">
        <v>18</v>
      </c>
      <c r="S3" s="11" t="s">
        <v>19</v>
      </c>
      <c r="T3" s="2" t="s">
        <v>20</v>
      </c>
      <c r="U3" s="2" t="s">
        <v>21</v>
      </c>
      <c r="V3" s="7" t="s">
        <v>22</v>
      </c>
      <c r="W3" s="7">
</c>
      <c r="X3" s="7">
</c>
      <c r="Y3" s="7">
</c>
      <c r="Z3" s="7">
</c>
      <c r="AA3" s="7">
</c>
      <c r="AB3" s="7">
</c>
      <c r="AC3" s="7">
</c>
      <c r="AD3" s="7">
</c>
      <c r="AE3" s="7">
</c>
      <c r="AF3" s="7">
</c>
      <c r="AG3" s="7">
</c>
      <c r="AH3" s="7">
</c>
      <c r="AI3" s="7">
</c>
      <c r="AJ3" s="7">
</c>
      <c r="AK3" s="7">
</c>
    </row>
    <row r="4" ht="76.5" customHeight="1">
      <c r="A4" s="9" t="s">
        <v>23</v>
      </c>
      <c r="B4" s="9" t="s">
        <v>24</v>
      </c>
      <c r="C4" s="12" t="s">
        <v>25</v>
      </c>
      <c r="D4" s="13" t="s">
        <v>26</v>
      </c>
      <c r="E4" s="9" t="s">
        <v>27</v>
      </c>
      <c r="F4" s="14" t="s">
        <v>28</v>
      </c>
      <c r="G4" s="14" cm="1" t="str">
        <f t="array" ref="G4">IF(F4="","",SUBSTITUTE(SUBSTITUTE(SUBSTITUTE(SUBSTITUTE(F4,"&lt;li&gt;",CHAR(10)),"&lt;/li&gt;",""),"&lt;br&gt;",CHAR(10)),"&lt;strong&gt;",""))</f>
        <v>&lt;p&gt;CA juin : décision 1M€ SIENNA IM, 1M€ STRATON, investissement prévu 2026, SIENNA prioritaire. Défense jugé trop tôt, non coté. Demande RDV gal Peter, Patrick Remm, copie Christien Piquet. 25/03 : finalisation appels de marge, toujours pas de BS signé. Prochaine étape : relance avant 03/04.&lt;/p&gt;</v>
      </c>
      <c r="H4" s="14" cm="1" t="str">
        <f t="array" ref="H4">IF(G4="","",SUBSTITUTE(SUBSTITUTE(SUBSTITUTE(SUBSTITUTE(SUBSTITUTE(G4,"&lt;p&gt;",""),"&lt;/p&gt;",""),"&lt;ul&gt;",""),"&lt;/ul&gt;",""),"&lt;/strong&gt;",""))</f>
        <v>CA juin : décision 1M€ SIENNA IM, 1M€ STRATON, investissement prévu 2026, SIENNA prioritaire. Défense jugé trop tôt, non coté. Demande RDV gal Peter, Patrick Remm, copie Christien Piquet. 25/03 : finalisation appels de marge, toujours pas de BS signé. Prochaine étape : relance avant 03/04.</v>
      </c>
      <c r="I4" s="15" cm="1" t="str">
        <f t="array" ref="I4">IF(C4="","",IF(OR(H4="",H4=0,H4=FALSE),"-",H4))</f>
        <v>CA juin : décision 1M€ SIENNA IM, 1M€ STRATON, investissement prévu 2026, SIENNA prioritaire. Défense jugé trop tôt, non coté. Demande RDV gal Peter, Patrick Remm, copie Christien Piquet. 25/03 : finalisation appels de marge, toujours pas de BS signé. Prochaine étape : relance avant 03/04.</v>
      </c>
      <c r="J4" s="8" t="s">
        <v>29</v>
      </c>
      <c r="K4" s="8" t="s">
        <v>30</v>
      </c>
      <c r="L4" s="9" cm="1" t="str">
        <f t="array" ref="L4">IF(C4="","",IF(K4="Mort / Plus rien à faire","KO","OK"))</f>
        <v>OK</v>
      </c>
      <c r="M4" s="16">
        <v>46114.67883101852</v>
      </c>
      <c r="N4" s="16" cm="1" t="n">
        <f t="array" ref="N4">IF(OR(C4="",M4="",M4=0),"",M4)</f>
        <v>46114.67883101852</v>
      </c>
      <c r="O4" s="16">
        <v>46115.083333333336</v>
      </c>
      <c r="P4" s="16" cm="1" t="n">
        <f t="array" ref="P4">IF(C4="","",IF(OR(O4="",O4=0),"-",O4))</f>
        <v>46115.083333333336</v>
      </c>
      <c r="Q4" s="17">
        <v>1000000</v>
      </c>
      <c r="R4" s="17" cm="1" t="str">
        <f t="array" ref="R4">IF(C4="","",ROUND(Q4/1000000,3)&amp;" M€")</f>
        <v>1 M€</v>
      </c>
      <c r="S4" s="13" t="s">
        <v>31</v>
      </c>
      <c r="T4" s="9" cm="1" t="str">
        <f t="array" ref="T4">IF(C4="","",SUBSTITUTE(S4,"","")&amp;"%")</f>
        <v>100%</v>
      </c>
      <c r="U4" s="15" cm="1" t="str">
        <f t="array" ref="U4">IF(($N4="")*($P4=""),"",IF(($N4&lt;&gt;"")*($N4&gt;TODAY()-9)*($N4&lt;TODAY()+1)*($P4&lt;&gt;"")*($P4&gt;=TODAY())*($P4&lt;=TODAY()+13),"Semaine passée &amp; à venir",IF(($N4&lt;&gt;"")*($N4&gt;TODAY()-9)*($N4&lt;TODAY()+1),"Semaine passée",IF(($P4&lt;&gt;"")*($P4&gt;=TODAY())*($P4&lt;=TODAY()+13),"À venir","Autre"))))</f>
        <v>Semaine passée &amp; à venir</v>
      </c>
      <c r="V4" s="8" cm="1" t="n">
        <f t="array" ref="V4">IF(C4&lt;&gt;"",1,0)</f>
        <v>1</v>
      </c>
      <c r="W4" s="8">
</c>
      <c r="X4" s="8">
</c>
      <c r="Y4" s="8">
</c>
      <c r="Z4" s="8">
</c>
      <c r="AA4" s="8">
</c>
      <c r="AB4" s="8">
</c>
      <c r="AC4" s="8">
</c>
      <c r="AD4" s="8">
</c>
      <c r="AE4" s="8">
</c>
      <c r="AF4" s="8">
</c>
      <c r="AG4" s="8">
</c>
      <c r="AH4" s="8">
</c>
      <c r="AI4" s="8">
</c>
      <c r="AJ4" s="8">
</c>
      <c r="AK4" s="8">
</c>
    </row>
    <row r="5" ht="76.5" customHeight="1">
      <c r="A5" s="9" t="s">
        <v>23</v>
      </c>
      <c r="B5" s="9" t="s">
        <v>32</v>
      </c>
      <c r="C5" s="12" t="s">
        <v>33</v>
      </c>
      <c r="D5" s="13" t="s">
        <v>34</v>
      </c>
      <c r="E5" s="9" t="s">
        <v>27</v>
      </c>
      <c r="F5" s="8" t="s">
        <v>35</v>
      </c>
      <c r="G5" s="14" cm="1" t="str">
        <f t="array" ref="G5">IF(F5="","",SUBSTITUTE(SUBSTITUTE(SUBSTITUTE(SUBSTITUTE(F5,"&lt;li&gt;",CHAR(10)),"&lt;/li&gt;",""),"&lt;br&gt;",CHAR(10)),"&lt;strong&gt;",""))</f>
        <v>&lt;p&gt;Nouvelle piste créée pour équipe Ventes, aucune activité ou échange significatif enregistré ensuite. Mention d'une finalisation en janvier 2026 mais sans détail sur actions ou retours prospect. Pas d'étape ou prochaine action identifiée. Aucun retour prospect sur fonds présenté. Aucun suivi supplémentaire.&lt;/p&gt;</v>
      </c>
      <c r="H5" s="14" cm="1" t="str">
        <f t="array" ref="H5">IF(G5="","",SUBSTITUTE(SUBSTITUTE(SUBSTITUTE(SUBSTITUTE(SUBSTITUTE(G5,"&lt;p&gt;",""),"&lt;/p&gt;",""),"&lt;ul&gt;",""),"&lt;/ul&gt;",""),"&lt;/strong&gt;",""))</f>
        <v>Nouvelle piste créée pour équipe Ventes, aucune activité ou échange significatif enregistré ensuite. Mention d'une finalisation en janvier 2026 mais sans détail sur actions ou retours prospect. Pas d'étape ou prochaine action identifiée. Aucun retour prospect sur fonds présenté. Aucun suivi supplémentaire.</v>
      </c>
      <c r="I5" s="15" cm="1" t="str">
        <f t="array" ref="I5">IF(C5="","",IF(OR(H5="",H5=0,H5=FALSE),"-",H5))</f>
        <v>Nouvelle piste créée pour équipe Ventes, aucune activité ou échange significatif enregistré ensuite. Mention d'une finalisation en janvier 2026 mais sans détail sur actions ou retours prospect. Pas d'étape ou prochaine action identifiée. Aucun retour prospect sur fonds présenté. Aucun suivi supplémentaire.</v>
      </c>
      <c r="J5" s="8">
</c>
      <c r="K5" s="8" t="s">
        <v>30</v>
      </c>
      <c r="L5" s="9" cm="1" t="str">
        <f t="array" ref="L5">IF(C5="","",IF(K5="Mort / Plus rien à faire","KO","OK"))</f>
        <v>OK</v>
      </c>
      <c r="M5" s="16">
        <v>46053.60560185185</v>
      </c>
      <c r="N5" s="16" cm="1" t="n">
        <f t="array" ref="N5">IF(OR(C5="",M5="",M5=0),"",M5)</f>
        <v>46053.60560185185</v>
      </c>
      <c r="O5" s="16">
</c>
      <c r="P5" s="16" cm="1" t="str">
        <f t="array" ref="P5">IF(C5="","",IF(OR(O5="",O5=0),"-",O5))</f>
        <v>-</v>
      </c>
      <c r="Q5" s="17">
        <v>5000000</v>
      </c>
      <c r="R5" s="17" cm="1" t="str">
        <f t="array" ref="R5">IF(C5="","",ROUND(Q5/1000000,3)&amp;" M€")</f>
        <v>5 M€</v>
      </c>
      <c r="S5" s="13" t="s">
        <v>31</v>
      </c>
      <c r="T5" s="9" cm="1" t="str">
        <f t="array" ref="T5">IF(C5="","",SUBSTITUTE(S5,"","")&amp;"%")</f>
        <v>100%</v>
      </c>
      <c r="U5" s="15" cm="1" t="str">
        <f t="array" ref="U5">IF(($N5="")*($P5=""),"",IF(($N5&lt;&gt;"")*($N5&gt;TODAY()-9)*($N5&lt;TODAY()+1)*($P5&lt;&gt;"")*($P5&gt;=TODAY())*($P5&lt;=TODAY()+13),"Semaine passée &amp; à venir",IF(($N5&lt;&gt;"")*($N5&gt;TODAY()-9)*($N5&lt;TODAY()+1),"Semaine passée",IF(($P5&lt;&gt;"")*($P5&gt;=TODAY())*($P5&lt;=TODAY()+13),"À venir","Autre"))))</f>
        <v>Autre</v>
      </c>
      <c r="V5" s="8" cm="1" t="n">
        <f t="array" ref="V5">IF(C5&lt;&gt;"",1,0)</f>
        <v>1</v>
      </c>
      <c r="W5" s="8">
</c>
      <c r="X5" s="15">
</c>
      <c r="Y5" s="8">
</c>
      <c r="Z5" s="8">
</c>
      <c r="AA5" s="8">
</c>
      <c r="AB5" s="8">
</c>
      <c r="AC5" s="8">
</c>
      <c r="AD5" s="8">
</c>
      <c r="AE5" s="8">
</c>
      <c r="AF5" s="8">
</c>
      <c r="AG5" s="8">
</c>
      <c r="AH5" s="8">
</c>
      <c r="AI5" s="8">
</c>
      <c r="AJ5" s="8">
</c>
      <c r="AK5" s="8">
</c>
    </row>
    <row r="6" ht="76.5" customHeight="1">
      <c r="A6" s="9" t="s">
        <v>23</v>
      </c>
      <c r="B6" s="9" t="s">
        <v>36</v>
      </c>
      <c r="C6" s="12" t="s">
        <v>37</v>
      </c>
      <c r="D6" s="13" t="s">
        <v>37</v>
      </c>
      <c r="E6" s="9" t="s">
        <v>27</v>
      </c>
      <c r="F6" s="8" t="s">
        <v>38</v>
      </c>
      <c r="G6" s="14" cm="1" t="str">
        <f t="array" ref="G6">IF(F6="","",SUBSTITUTE(SUBSTITUTE(SUBSTITUTE(SUBSTITUTE(F6,"&lt;li&gt;",CHAR(10)),"&lt;/li&gt;",""),"&lt;br&gt;",CHAR(10)),"&lt;strong&gt;",""))</f>
        <v>&lt;p&gt;Nouvelle piste créée équipe Ventes. Aucun enrichissement possible via email. Dernière action : appel entrant STRATON, résumé non renseigné, prochaine étape à planifier avant 26/03. Pas de retour prospect ni synthèse d'échange, aucune conclusion sur fonds présentés. Pas d'autres activités notables.&lt;/p&gt;</v>
      </c>
      <c r="H6" s="14" cm="1" t="str">
        <f t="array" ref="H6">IF(G6="","",SUBSTITUTE(SUBSTITUTE(SUBSTITUTE(SUBSTITUTE(SUBSTITUTE(G6,"&lt;p&gt;",""),"&lt;/p&gt;",""),"&lt;ul&gt;",""),"&lt;/ul&gt;",""),"&lt;/strong&gt;",""))</f>
        <v>Nouvelle piste créée équipe Ventes. Aucun enrichissement possible via email. Dernière action : appel entrant STRATON, résumé non renseigné, prochaine étape à planifier avant 26/03. Pas de retour prospect ni synthèse d'échange, aucune conclusion sur fonds présentés. Pas d'autres activités notables.</v>
      </c>
      <c r="I6" s="15" cm="1" t="str">
        <f t="array" ref="I6">IF(C6="","",IF(OR(H6="",H6=0,H6=FALSE),"-",H6))</f>
        <v>Nouvelle piste créée équipe Ventes. Aucun enrichissement possible via email. Dernière action : appel entrant STRATON, résumé non renseigné, prochaine étape à planifier avant 26/03. Pas de retour prospect ni synthèse d'échange, aucune conclusion sur fonds présentés. Pas d'autres activités notables.</v>
      </c>
      <c r="J6" s="8" t="s">
        <v>39</v>
      </c>
      <c r="K6" s="8" t="s">
        <v>40</v>
      </c>
      <c r="L6" s="9" cm="1" t="str">
        <f t="array" ref="L6">IF(C6="","",IF(K6="Mort / Plus rien à faire","KO","OK"))</f>
        <v>OK</v>
      </c>
      <c r="M6" s="16">
        <v>46104.425833333335</v>
      </c>
      <c r="N6" s="16" cm="1" t="n">
        <f t="array" ref="N6">IF(OR(C6="",M6="",M6=0),"",M6)</f>
        <v>46104.425833333335</v>
      </c>
      <c r="O6" s="16">
</c>
      <c r="P6" s="16" cm="1" t="str">
        <f t="array" ref="P6">IF(C6="","",IF(OR(O6="",O6=0),"-",O6))</f>
        <v>-</v>
      </c>
      <c r="Q6" s="17">
        <v>0</v>
      </c>
      <c r="R6" s="17" cm="1" t="str">
        <f t="array" ref="R6">IF(C6="","",ROUND(Q6/1000000,3)&amp;" M€")</f>
        <v>0 M€</v>
      </c>
      <c r="S6" s="13" t="s">
        <v>41</v>
      </c>
      <c r="T6" s="9" cm="1" t="str">
        <f t="array" ref="T6">IF(C6="","",SUBSTITUTE(S6,"","")&amp;"%")</f>
        <v>50%</v>
      </c>
      <c r="U6" s="15" cm="1" t="str">
        <f t="array" ref="U6">IF(($N6="")*($P6=""),"",IF(($N6&lt;&gt;"")*($N6&gt;TODAY()-9)*($N6&lt;TODAY()+1)*($P6&lt;&gt;"")*($P6&gt;=TODAY())*($P6&lt;=TODAY()+13),"Semaine passée &amp; à venir",IF(($N6&lt;&gt;"")*($N6&gt;TODAY()-9)*($N6&lt;TODAY()+1),"Semaine passée",IF(($P6&lt;&gt;"")*($P6&gt;=TODAY())*($P6&lt;=TODAY()+13),"À venir","Autre"))))</f>
        <v>Autre</v>
      </c>
      <c r="V6" s="8" cm="1" t="n">
        <f t="array" ref="V6">IF(C6&lt;&gt;"",1,0)</f>
        <v>1</v>
      </c>
      <c r="W6" s="8">
</c>
      <c r="X6" s="8">
</c>
      <c r="Y6" s="8">
</c>
      <c r="Z6" s="8">
</c>
      <c r="AA6" s="8">
</c>
      <c r="AB6" s="8">
</c>
      <c r="AC6" s="8">
</c>
      <c r="AD6" s="8">
</c>
      <c r="AE6" s="8">
</c>
      <c r="AF6" s="8">
</c>
      <c r="AG6" s="8">
</c>
      <c r="AH6" s="8">
</c>
      <c r="AI6" s="8">
</c>
      <c r="AJ6" s="8">
</c>
      <c r="AK6" s="8">
</c>
    </row>
    <row r="7" ht="76.5" customHeight="1">
      <c r="A7" s="9" t="s">
        <v>23</v>
      </c>
      <c r="B7" s="9" t="s">
        <v>36</v>
      </c>
      <c r="C7" s="12" t="s">
        <v>42</v>
      </c>
      <c r="D7" s="13" t="s">
        <v>42</v>
      </c>
      <c r="E7" s="9" t="s">
        <v>43</v>
      </c>
      <c r="F7" s="8" t="s">
        <v>44</v>
      </c>
      <c r="G7" s="14" cm="1" t="str">
        <f t="array" ref="G7">IF(F7="","",SUBSTITUTE(SUBSTITUTE(SUBSTITUTE(SUBSTITUTE(F7,"&lt;li&gt;",CHAR(10)),"&lt;/li&gt;",""),"&lt;br&gt;",CHAR(10)),"&lt;strong&gt;",""))</f>
        <v>&lt;p&gt;Piste créée pour équipe Ventes le 16/03, enrichissement tenté sans données trouvées, lead identifié comme "Lead de CB" le 23/03. Aucun échange, activité ou retour prospect, aucune action planifiée ni feedback sur fonds présentés. Pas d'activité menée sur le prospect depuis la création.&lt;/p&gt;</v>
      </c>
      <c r="H7" s="14" cm="1" t="str">
        <f t="array" ref="H7">IF(G7="","",SUBSTITUTE(SUBSTITUTE(SUBSTITUTE(SUBSTITUTE(SUBSTITUTE(G7,"&lt;p&gt;",""),"&lt;/p&gt;",""),"&lt;ul&gt;",""),"&lt;/ul&gt;",""),"&lt;/strong&gt;",""))</f>
        <v>Piste créée pour équipe Ventes le 16/03, enrichissement tenté sans données trouvées, lead identifié comme "Lead de CB" le 23/03. Aucun échange, activité ou retour prospect, aucune action planifiée ni feedback sur fonds présentés. Pas d'activité menée sur le prospect depuis la création.</v>
      </c>
      <c r="I7" s="15" cm="1" t="str">
        <f t="array" ref="I7">IF(C7="","",IF(OR(H7="",H7=0,H7=FALSE),"-",H7))</f>
        <v>Piste créée pour équipe Ventes le 16/03, enrichissement tenté sans données trouvées, lead identifié comme "Lead de CB" le 23/03. Aucun échange, activité ou retour prospect, aucune action planifiée ni feedback sur fonds présentés. Pas d'activité menée sur le prospect depuis la création.</v>
      </c>
      <c r="J7" s="8">
</c>
      <c r="K7" s="8" t="s">
        <v>45</v>
      </c>
      <c r="L7" s="9" cm="1" t="str">
        <f t="array" ref="L7">IF(C7="","",IF(K7="Mort / Plus rien à faire","KO","OK"))</f>
        <v>OK</v>
      </c>
      <c r="M7" s="16">
        <v>46105.58773148148</v>
      </c>
      <c r="N7" s="16" cm="1" t="n">
        <f t="array" ref="N7">IF(OR(C7="",M7="",M7=0),"",M7)</f>
        <v>46105.58773148148</v>
      </c>
      <c r="O7" s="16">
</c>
      <c r="P7" s="16" cm="1" t="str">
        <f t="array" ref="P7">IF(C7="","",IF(OR(O7="",O7=0),"-",O7))</f>
        <v>-</v>
      </c>
      <c r="Q7" s="17">
        <v>0</v>
      </c>
      <c r="R7" s="17" cm="1" t="str">
        <f t="array" ref="R7">IF(C7="","",ROUND(Q7/1000000,3)&amp;" M€")</f>
        <v>0 M€</v>
      </c>
      <c r="S7" s="13" t="s">
        <v>41</v>
      </c>
      <c r="T7" s="9" cm="1" t="str">
        <f t="array" ref="T7">IF(C7="","",SUBSTITUTE(S7,"","")&amp;"%")</f>
        <v>50%</v>
      </c>
      <c r="U7" s="15" cm="1" t="str">
        <f t="array" ref="U7">IF(($N7="")*($P7=""),"",IF(($N7&lt;&gt;"")*($N7&gt;TODAY()-9)*($N7&lt;TODAY()+1)*($P7&lt;&gt;"")*($P7&gt;=TODAY())*($P7&lt;=TODAY()+13),"Semaine passée &amp; à venir",IF(($N7&lt;&gt;"")*($N7&gt;TODAY()-9)*($N7&lt;TODAY()+1),"Semaine passée",IF(($P7&lt;&gt;"")*($P7&gt;=TODAY())*($P7&lt;=TODAY()+13),"À venir","Autre"))))</f>
        <v>Autre</v>
      </c>
      <c r="V7" s="8" cm="1" t="n">
        <f t="array" ref="V7">IF(C7&lt;&gt;"",1,0)</f>
        <v>1</v>
      </c>
      <c r="W7" s="8">
</c>
      <c r="X7" s="8">
</c>
      <c r="Y7" s="8">
</c>
      <c r="Z7" s="8">
</c>
      <c r="AA7" s="8">
</c>
      <c r="AB7" s="8">
</c>
      <c r="AC7" s="8">
</c>
      <c r="AD7" s="8">
</c>
      <c r="AE7" s="8">
</c>
      <c r="AF7" s="8">
</c>
      <c r="AG7" s="8">
</c>
      <c r="AH7" s="8">
</c>
      <c r="AI7" s="8">
</c>
      <c r="AJ7" s="8">
</c>
      <c r="AK7" s="8">
</c>
    </row>
    <row r="8" ht="76.5" customHeight="1">
      <c r="A8" s="9" t="s">
        <v>23</v>
      </c>
      <c r="B8" s="9" t="s">
        <v>36</v>
      </c>
      <c r="C8" s="12" t="s">
        <v>36</v>
      </c>
      <c r="D8" s="13" t="s">
        <v>46</v>
      </c>
      <c r="E8" s="9" t="s">
        <v>27</v>
      </c>
      <c r="F8" s="8" t="s">
        <v>47</v>
      </c>
      <c r="G8" s="14" cm="1" t="str">
        <f t="array" ref="G8">IF(F8="","",SUBSTITUTE(SUBSTITUTE(SUBSTITUTE(SUBSTITUTE(F8,"&lt;li&gt;",CHAR(10)),"&lt;/li&gt;",""),"&lt;br&gt;",CHAR(10)),"&lt;strong&gt;",""))</f>
        <v>&lt;p&gt;Piste créée équipe Ventes. Lead enrichi, pas de données société trouvées via email. Action récente : apple entrant STRATON, RDV 2 prévu fin d'année après vente 300 ha à Reims. Prochaine étape : RDV physique planifié 01/12/2026. Pas d'autres retours ni avis prospect sur fonds à ce stade.&lt;/p&gt;</v>
      </c>
      <c r="H8" s="14" cm="1" t="str">
        <f t="array" ref="H8">IF(G8="","",SUBSTITUTE(SUBSTITUTE(SUBSTITUTE(SUBSTITUTE(SUBSTITUTE(G8,"&lt;p&gt;",""),"&lt;/p&gt;",""),"&lt;ul&gt;",""),"&lt;/ul&gt;",""),"&lt;/strong&gt;",""))</f>
        <v>Piste créée équipe Ventes. Lead enrichi, pas de données société trouvées via email. Action récente : apple entrant STRATON, RDV 2 prévu fin d'année après vente 300 ha à Reims. Prochaine étape : RDV physique planifié 01/12/2026. Pas d'autres retours ni avis prospect sur fonds à ce stade.</v>
      </c>
      <c r="I8" s="15" cm="1" t="str">
        <f t="array" ref="I8">IF(C8="","",IF(OR(H8="",H8=0,H8=FALSE),"-",H8))</f>
        <v>Piste créée équipe Ventes. Lead enrichi, pas de données société trouvées via email. Action récente : apple entrant STRATON, RDV 2 prévu fin d'année après vente 300 ha à Reims. Prochaine étape : RDV physique planifié 01/12/2026. Pas d'autres retours ni avis prospect sur fonds à ce stade.</v>
      </c>
      <c r="J8" s="8" t="s">
        <v>48</v>
      </c>
      <c r="K8" s="8" t="s">
        <v>40</v>
      </c>
      <c r="L8" s="9" cm="1" t="str">
        <f t="array" ref="L8">IF(C8="","",IF(K8="Mort / Plus rien à faire","KO","OK"))</f>
        <v>OK</v>
      </c>
      <c r="M8" s="16">
        <v>46097.50136574074</v>
      </c>
      <c r="N8" s="16" cm="1" t="n">
        <f t="array" ref="N8">IF(OR(C8="",M8="",M8=0),"",M8)</f>
        <v>46097.50136574074</v>
      </c>
      <c r="O8" s="16">
        <v>46357.041666666664</v>
      </c>
      <c r="P8" s="16" cm="1" t="n">
        <f t="array" ref="P8">IF(C8="","",IF(OR(O8="",O8=0),"-",O8))</f>
        <v>46357.041666666664</v>
      </c>
      <c r="Q8" s="17">
        <v>100000</v>
      </c>
      <c r="R8" s="17" cm="1" t="str">
        <f t="array" ref="R8">IF(C8="","",ROUND(Q8/1000000,3)&amp;" M€")</f>
        <v>0.1 M€</v>
      </c>
      <c r="S8" s="13" t="s">
        <v>41</v>
      </c>
      <c r="T8" s="9" cm="1" t="str">
        <f t="array" ref="T8">IF(C8="","",SUBSTITUTE(S8,"","")&amp;"%")</f>
        <v>50%</v>
      </c>
      <c r="U8" s="15" cm="1" t="str">
        <f t="array" ref="U8">IF(($N8="")*($P8=""),"",IF(($N8&lt;&gt;"")*($N8&gt;TODAY()-9)*($N8&lt;TODAY()+1)*($P8&lt;&gt;"")*($P8&gt;=TODAY())*($P8&lt;=TODAY()+13),"Semaine passée &amp; à venir",IF(($N8&lt;&gt;"")*($N8&gt;TODAY()-9)*($N8&lt;TODAY()+1),"Semaine passée",IF(($P8&lt;&gt;"")*($P8&gt;=TODAY())*($P8&lt;=TODAY()+13),"À venir","Autre"))))</f>
        <v>Autre</v>
      </c>
      <c r="V8" s="8" cm="1" t="n">
        <f t="array" ref="V8">IF(C8&lt;&gt;"",1,0)</f>
        <v>1</v>
      </c>
      <c r="W8" s="8">
</c>
      <c r="X8" s="8">
</c>
      <c r="Y8" s="8">
</c>
      <c r="Z8" s="8">
</c>
      <c r="AA8" s="8">
</c>
      <c r="AB8" s="8">
</c>
      <c r="AC8" s="8">
</c>
      <c r="AD8" s="8">
</c>
      <c r="AE8" s="8">
</c>
      <c r="AF8" s="8">
</c>
      <c r="AG8" s="8">
</c>
      <c r="AH8" s="8">
</c>
      <c r="AI8" s="8">
</c>
      <c r="AJ8" s="8">
</c>
      <c r="AK8" s="8">
</c>
    </row>
    <row r="9" ht="76.5" customHeight="1">
      <c r="A9" s="9" t="s">
        <v>23</v>
      </c>
      <c r="B9" s="9" t="s">
        <v>36</v>
      </c>
      <c r="C9" s="12" t="s">
        <v>49</v>
      </c>
      <c r="D9" s="13" t="s">
        <v>49</v>
      </c>
      <c r="E9" s="9" t="s">
        <v>43</v>
      </c>
      <c r="F9" s="8" t="s">
        <v>50</v>
      </c>
      <c r="G9" s="14" cm="1" t="str">
        <f t="array" ref="G9">IF(F9="","",SUBSTITUTE(SUBSTITUTE(SUBSTITUTE(SUBSTITUTE(F9,"&lt;li&gt;",CHAR(10)),"&lt;/li&gt;",""),"&lt;br&gt;",CHAR(10)),"&lt;strong&gt;",""))</f>
        <v>&lt;p&gt;Lead créé pour équipe Ventes, origine CB. Tentative d'enrichissement via email sans résultat, aucune donnée société trouvée, aucun crédit consommé. Pas d'autres interactions, activités ou retours prospects. Aucune action planifiée ni prochaine étape identifiée à ce jour.&lt;/p&gt;</v>
      </c>
      <c r="H9" s="14" cm="1" t="str">
        <f t="array" ref="H9">IF(G9="","",SUBSTITUTE(SUBSTITUTE(SUBSTITUTE(SUBSTITUTE(SUBSTITUTE(G9,"&lt;p&gt;",""),"&lt;/p&gt;",""),"&lt;ul&gt;",""),"&lt;/ul&gt;",""),"&lt;/strong&gt;",""))</f>
        <v>Lead créé pour équipe Ventes, origine CB. Tentative d'enrichissement via email sans résultat, aucune donnée société trouvée, aucun crédit consommé. Pas d'autres interactions, activités ou retours prospects. Aucune action planifiée ni prochaine étape identifiée à ce jour.</v>
      </c>
      <c r="I9" s="15" cm="1" t="str">
        <f t="array" ref="I9">IF(C9="","",IF(OR(H9="",H9=0,H9=FALSE),"-",H9))</f>
        <v>Lead créé pour équipe Ventes, origine CB. Tentative d'enrichissement via email sans résultat, aucune donnée société trouvée, aucun crédit consommé. Pas d'autres interactions, activités ou retours prospects. Aucune action planifiée ni prochaine étape identifiée à ce jour.</v>
      </c>
      <c r="J9" s="8">
</c>
      <c r="K9" s="8" t="s">
        <v>45</v>
      </c>
      <c r="L9" s="9" cm="1" t="str">
        <f t="array" ref="L9">IF(C9="","",IF(K9="Mort / Plus rien à faire","KO","OK"))</f>
        <v>OK</v>
      </c>
      <c r="M9" s="16">
        <v>46105.591516203705</v>
      </c>
      <c r="N9" s="16" cm="1" t="n">
        <f t="array" ref="N9">IF(OR(C9="",M9="",M9=0),"",M9)</f>
        <v>46105.591516203705</v>
      </c>
      <c r="O9" s="16">
</c>
      <c r="P9" s="16" cm="1" t="str">
        <f t="array" ref="P9">IF(C9="","",IF(OR(O9="",O9=0),"-",O9))</f>
        <v>-</v>
      </c>
      <c r="Q9" s="17">
        <v>0</v>
      </c>
      <c r="R9" s="17" cm="1" t="str">
        <f t="array" ref="R9">IF(C9="","",ROUND(Q9/1000000,3)&amp;" M€")</f>
        <v>0 M€</v>
      </c>
      <c r="S9" s="13" t="s">
        <v>41</v>
      </c>
      <c r="T9" s="9" cm="1" t="str">
        <f t="array" ref="T9">IF(C9="","",SUBSTITUTE(S9,"","")&amp;"%")</f>
        <v>50%</v>
      </c>
      <c r="U9" s="15" cm="1" t="str">
        <f t="array" ref="U9">IF(($N9="")*($P9=""),"",IF(($N9&lt;&gt;"")*($N9&gt;TODAY()-9)*($N9&lt;TODAY()+1)*($P9&lt;&gt;"")*($P9&gt;=TODAY())*($P9&lt;=TODAY()+13),"Semaine passée &amp; à venir",IF(($N9&lt;&gt;"")*($N9&gt;TODAY()-9)*($N9&lt;TODAY()+1),"Semaine passée",IF(($P9&lt;&gt;"")*($P9&gt;=TODAY())*($P9&lt;=TODAY()+13),"À venir","Autre"))))</f>
        <v>Autre</v>
      </c>
      <c r="V9" s="8" cm="1" t="n">
        <f t="array" ref="V9">IF(C9&lt;&gt;"",1,0)</f>
        <v>1</v>
      </c>
      <c r="W9" s="8">
</c>
      <c r="X9" s="8">
</c>
      <c r="Y9" s="8">
</c>
      <c r="Z9" s="8">
</c>
      <c r="AA9" s="8">
</c>
      <c r="AB9" s="8">
</c>
      <c r="AC9" s="8">
</c>
      <c r="AD9" s="8">
</c>
      <c r="AE9" s="8">
</c>
      <c r="AF9" s="8">
</c>
      <c r="AG9" s="8">
</c>
      <c r="AH9" s="8">
</c>
      <c r="AI9" s="8">
</c>
      <c r="AJ9" s="8">
</c>
      <c r="AK9" s="8">
</c>
    </row>
    <row r="10" ht="76.5" customHeight="1">
      <c r="A10" s="9" t="s">
        <v>23</v>
      </c>
      <c r="B10" s="9" t="s">
        <v>51</v>
      </c>
      <c r="C10" s="12" t="s">
        <v>52</v>
      </c>
      <c r="D10" s="13" t="s">
        <v>53</v>
      </c>
      <c r="E10" s="9" t="s">
        <v>54</v>
      </c>
      <c r="F10" s="8" t="s">
        <v>55</v>
      </c>
      <c r="G10" s="14" cm="1" t="str">
        <f t="array" ref="G10">IF(F10="","",SUBSTITUTE(SUBSTITUTE(SUBSTITUTE(SUBSTITUTE(F10,"&lt;li&gt;",CHAR(10)),"&lt;/li&gt;",""),"&lt;br&gt;",CHAR(10)),"&lt;strong&gt;",""))</f>
        <v>&lt;p&gt;Contact OdP, mail envoyé 16/02 pour connaître la marche à suivre, relance sans réponse 06/03. Intérêt exprimé pour Straton, Quanto II, Calderion, doc Straton demandée. Enrichissement lead impossible (email invalide). Prochaine étape : prise de news prévue, pas de retour récent du prospect.&lt;/p&gt;</v>
      </c>
      <c r="H10" s="14" cm="1" t="str">
        <f t="array" ref="H10">IF(G10="","",SUBSTITUTE(SUBSTITUTE(SUBSTITUTE(SUBSTITUTE(SUBSTITUTE(G10,"&lt;p&gt;",""),"&lt;/p&gt;",""),"&lt;ul&gt;",""),"&lt;/ul&gt;",""),"&lt;/strong&gt;",""))</f>
        <v>Contact OdP, mail envoyé 16/02 pour connaître la marche à suivre, relance sans réponse 06/03. Intérêt exprimé pour Straton, Quanto II, Calderion, doc Straton demandée. Enrichissement lead impossible (email invalide). Prochaine étape : prise de news prévue, pas de retour récent du prospect.</v>
      </c>
      <c r="I10" s="15" cm="1" t="str">
        <f t="array" ref="I10">IF(C10="","",IF(OR(H10="",H10=0,H10=FALSE),"-",H10))</f>
        <v>Contact OdP, mail envoyé 16/02 pour connaître la marche à suivre, relance sans réponse 06/03. Intérêt exprimé pour Straton, Quanto II, Calderion, doc Straton demandée. Enrichissement lead impossible (email invalide). Prochaine étape : prise de news prévue, pas de retour récent du prospect.</v>
      </c>
      <c r="J10" s="8" t="s">
        <v>56</v>
      </c>
      <c r="K10" s="8" t="s">
        <v>45</v>
      </c>
      <c r="L10" s="9" cm="1" t="str">
        <f t="array" ref="L10">IF(C10="","",IF(K10="Mort / Plus rien à faire","KO","OK"))</f>
        <v>OK</v>
      </c>
      <c r="M10" s="16">
        <v>46087.69940972222</v>
      </c>
      <c r="N10" s="16" cm="1" t="n">
        <f t="array" ref="N10">IF(OR(C10="",M10="",M10=0),"",M10)</f>
        <v>46087.69940972222</v>
      </c>
      <c r="O10" s="16">
</c>
      <c r="P10" s="16" cm="1" t="str">
        <f t="array" ref="P10">IF(C10="","",IF(OR(O10="",O10=0),"-",O10))</f>
        <v>-</v>
      </c>
      <c r="Q10" s="17">
        <v>500000</v>
      </c>
      <c r="R10" s="17" cm="1" t="str">
        <f t="array" ref="R10">IF(C10="","",ROUND(Q10/1000000,3)&amp;" M€")</f>
        <v>0.5 M€</v>
      </c>
      <c r="S10" s="13" t="s">
        <v>41</v>
      </c>
      <c r="T10" s="9" cm="1" t="str">
        <f t="array" ref="T10">IF(C10="","",SUBSTITUTE(S10,"","")&amp;"%")</f>
        <v>50%</v>
      </c>
      <c r="U10" s="15" cm="1" t="str">
        <f t="array" ref="U10">IF(($N10="")*($P10=""),"",IF(($N10&lt;&gt;"")*($N10&gt;TODAY()-9)*($N10&lt;TODAY()+1)*($P10&lt;&gt;"")*($P10&gt;=TODAY())*($P10&lt;=TODAY()+13),"Semaine passée &amp; à venir",IF(($N10&lt;&gt;"")*($N10&gt;TODAY()-9)*($N10&lt;TODAY()+1),"Semaine passée",IF(($P10&lt;&gt;"")*($P10&gt;=TODAY())*($P10&lt;=TODAY()+13),"À venir","Autre"))))</f>
        <v>Autre</v>
      </c>
      <c r="V10" s="8" cm="1" t="n">
        <f t="array" ref="V10">IF(C10&lt;&gt;"",1,0)</f>
        <v>1</v>
      </c>
      <c r="W10" s="8">
</c>
      <c r="X10" s="8">
</c>
      <c r="Y10" s="8">
</c>
      <c r="Z10" s="8">
</c>
      <c r="AA10" s="8">
</c>
      <c r="AB10" s="8">
</c>
      <c r="AC10" s="8">
</c>
      <c r="AD10" s="8">
</c>
      <c r="AE10" s="8">
</c>
      <c r="AF10" s="8">
</c>
      <c r="AG10" s="8">
</c>
      <c r="AH10" s="8">
</c>
      <c r="AI10" s="8">
</c>
      <c r="AJ10" s="8">
</c>
      <c r="AK10" s="8">
</c>
    </row>
    <row r="11" ht="76.5" customHeight="1">
      <c r="A11" s="9" t="s">
        <v>23</v>
      </c>
      <c r="B11" s="9" t="s">
        <v>57</v>
      </c>
      <c r="C11" s="12" t="s">
        <v>58</v>
      </c>
      <c r="D11" s="13" t="s">
        <v>59</v>
      </c>
      <c r="E11" s="9" t="s">
        <v>27</v>
      </c>
      <c r="F11" s="8" t="s">
        <v>60</v>
      </c>
      <c r="G11" s="14" cm="1" t="str">
        <f t="array" ref="G11">IF(F11="","",SUBSTITUTE(SUBSTITUTE(SUBSTITUTE(SUBSTITUTE(F11,"&lt;li&gt;",CHAR(10)),"&lt;/li&gt;",""),"&lt;br&gt;",CHAR(10)),"&lt;strong&gt;",""))</f>
        <v>&lt;p&gt;RDV STRATON, échanges sur fonds Quadrille (strat majo) pour 1M€, décision fin mars pour Straton en comité d'invest, capacité restante 1M€, proba 50%. Prospect regarde aussi TIKHEAU/WINEBERG, intérêt pour side business. Prochaine étape : RDV fin mars pour décision passage Straton.&lt;/p&gt;</v>
      </c>
      <c r="H11" s="14" cm="1" t="str">
        <f t="array" ref="H11">IF(G11="","",SUBSTITUTE(SUBSTITUTE(SUBSTITUTE(SUBSTITUTE(SUBSTITUTE(G11,"&lt;p&gt;",""),"&lt;/p&gt;",""),"&lt;ul&gt;",""),"&lt;/ul&gt;",""),"&lt;/strong&gt;",""))</f>
        <v>RDV STRATON, échanges sur fonds Quadrille (strat majo) pour 1M€, décision fin mars pour Straton en comité d'invest, capacité restante 1M€, proba 50%. Prospect regarde aussi TIKHEAU/WINEBERG, intérêt pour side business. Prochaine étape : RDV fin mars pour décision passage Straton.</v>
      </c>
      <c r="I11" s="15" cm="1" t="str">
        <f t="array" ref="I11">IF(C11="","",IF(OR(H11="",H11=0,H11=FALSE),"-",H11))</f>
        <v>RDV STRATON, échanges sur fonds Quadrille (strat majo) pour 1M€, décision fin mars pour Straton en comité d'invest, capacité restante 1M€, proba 50%. Prospect regarde aussi TIKHEAU/WINEBERG, intérêt pour side business. Prochaine étape : RDV fin mars pour décision passage Straton.</v>
      </c>
      <c r="J11" s="8" t="s">
        <v>61</v>
      </c>
      <c r="K11" s="8" t="s">
        <v>62</v>
      </c>
      <c r="L11" s="9" cm="1" t="str">
        <f t="array" ref="L11">IF(C11="","",IF(K11="Mort / Plus rien à faire","KO","OK"))</f>
        <v>OK</v>
      </c>
      <c r="M11" s="16">
        <v>46088.437430555554</v>
      </c>
      <c r="N11" s="16" cm="1" t="n">
        <f t="array" ref="N11">IF(OR(C11="",M11="",M11=0),"",M11)</f>
        <v>46088.437430555554</v>
      </c>
      <c r="O11" s="16">
</c>
      <c r="P11" s="16" cm="1" t="str">
        <f t="array" ref="P11">IF(C11="","",IF(OR(O11="",O11=0),"-",O11))</f>
        <v>-</v>
      </c>
      <c r="Q11" s="17">
        <v>1000000</v>
      </c>
      <c r="R11" s="17" cm="1" t="str">
        <f t="array" ref="R11">IF(C11="","",ROUND(Q11/1000000,3)&amp;" M€")</f>
        <v>1 M€</v>
      </c>
      <c r="S11" s="13" t="s">
        <v>41</v>
      </c>
      <c r="T11" s="9" cm="1" t="str">
        <f t="array" ref="T11">IF(C11="","",SUBSTITUTE(S11,"","")&amp;"%")</f>
        <v>50%</v>
      </c>
      <c r="U11" s="15" cm="1" t="str">
        <f t="array" ref="U11">IF(($N11="")*($P11=""),"",IF(($N11&lt;&gt;"")*($N11&gt;TODAY()-9)*($N11&lt;TODAY()+1)*($P11&lt;&gt;"")*($P11&gt;=TODAY())*($P11&lt;=TODAY()+13),"Semaine passée &amp; à venir",IF(($N11&lt;&gt;"")*($N11&gt;TODAY()-9)*($N11&lt;TODAY()+1),"Semaine passée",IF(($P11&lt;&gt;"")*($P11&gt;=TODAY())*($P11&lt;=TODAY()+13),"À venir","Autre"))))</f>
        <v>Autre</v>
      </c>
      <c r="V11" s="8" cm="1" t="n">
        <f t="array" ref="V11">IF(C11&lt;&gt;"",1,0)</f>
        <v>1</v>
      </c>
      <c r="W11" s="8">
</c>
      <c r="X11" s="8">
</c>
      <c r="Y11" s="8">
</c>
      <c r="Z11" s="8">
</c>
      <c r="AA11" s="8">
</c>
      <c r="AB11" s="8">
</c>
      <c r="AC11" s="8">
</c>
      <c r="AD11" s="8">
</c>
      <c r="AE11" s="8">
</c>
      <c r="AF11" s="8">
</c>
      <c r="AG11" s="8">
</c>
      <c r="AH11" s="8">
</c>
      <c r="AI11" s="8">
</c>
      <c r="AJ11" s="8">
</c>
      <c r="AK11" s="8">
</c>
    </row>
    <row r="12" ht="76.5" customHeight="1">
      <c r="A12" s="9" t="s">
        <v>23</v>
      </c>
      <c r="B12" s="9" t="s">
        <v>36</v>
      </c>
      <c r="C12" s="12" t="s">
        <v>63</v>
      </c>
      <c r="D12" s="13" t="s">
        <v>63</v>
      </c>
      <c r="E12" s="9" t="s">
        <v>43</v>
      </c>
      <c r="F12" s="8" t="s">
        <v>64</v>
      </c>
      <c r="G12" s="14" cm="1" t="str">
        <f t="array" ref="G12">IF(F12="","",SUBSTITUTE(SUBSTITUTE(SUBSTITUTE(SUBSTITUTE(F12,"&lt;li&gt;",CHAR(10)),"&lt;/li&gt;",""),"&lt;br&gt;",CHAR(10)),"&lt;strong&gt;",""))</f>
        <v>&lt;p&gt;Nouvelle piste créée pour équipe Ventes le 16/03. Lead identifié par CB le 23/03. Aucun échange, action ou retour prospect enregistré depuis la création. Pas d'activité, pas de suivi, aucune prochaine étape planifiée à ce jour. Aucun retour prospect sur fonds présentés. Suivi à initier.&lt;/p&gt;</v>
      </c>
      <c r="H12" s="14" cm="1" t="str">
        <f t="array" ref="H12">IF(G12="","",SUBSTITUTE(SUBSTITUTE(SUBSTITUTE(SUBSTITUTE(SUBSTITUTE(G12,"&lt;p&gt;",""),"&lt;/p&gt;",""),"&lt;ul&gt;",""),"&lt;/ul&gt;",""),"&lt;/strong&gt;",""))</f>
        <v>Nouvelle piste créée pour équipe Ventes le 16/03. Lead identifié par CB le 23/03. Aucun échange, action ou retour prospect enregistré depuis la création. Pas d'activité, pas de suivi, aucune prochaine étape planifiée à ce jour. Aucun retour prospect sur fonds présentés. Suivi à initier.</v>
      </c>
      <c r="I12" s="15" cm="1" t="str">
        <f t="array" ref="I12">IF(C12="","",IF(OR(H12="",H12=0,H12=FALSE),"-",H12))</f>
        <v>Nouvelle piste créée pour équipe Ventes le 16/03. Lead identifié par CB le 23/03. Aucun échange, action ou retour prospect enregistré depuis la création. Pas d'activité, pas de suivi, aucune prochaine étape planifiée à ce jour. Aucun retour prospect sur fonds présentés. Suivi à initier.</v>
      </c>
      <c r="J12" s="8">
</c>
      <c r="K12" s="8" t="s">
        <v>45</v>
      </c>
      <c r="L12" s="9" cm="1" t="str">
        <f t="array" ref="L12">IF(C12="","",IF(K12="Mort / Plus rien à faire","KO","OK"))</f>
        <v>OK</v>
      </c>
      <c r="M12" s="16">
        <v>46105.587696759256</v>
      </c>
      <c r="N12" s="16" cm="1" t="n">
        <f t="array" ref="N12">IF(OR(C12="",M12="",M12=0),"",M12)</f>
        <v>46105.587696759256</v>
      </c>
      <c r="O12" s="16">
</c>
      <c r="P12" s="16" cm="1" t="str">
        <f t="array" ref="P12">IF(C12="","",IF(OR(O12="",O12=0),"-",O12))</f>
        <v>-</v>
      </c>
      <c r="Q12" s="17">
        <v>0</v>
      </c>
      <c r="R12" s="17" cm="1" t="str">
        <f t="array" ref="R12">IF(C12="","",ROUND(Q12/1000000,3)&amp;" M€")</f>
        <v>0 M€</v>
      </c>
      <c r="S12" s="13" t="s">
        <v>41</v>
      </c>
      <c r="T12" s="9" cm="1" t="str">
        <f t="array" ref="T12">IF(C12="","",SUBSTITUTE(S12,"","")&amp;"%")</f>
        <v>50%</v>
      </c>
      <c r="U12" s="15" cm="1" t="str">
        <f t="array" ref="U12">IF(($N12="")*($P12=""),"",IF(($N12&lt;&gt;"")*($N12&gt;TODAY()-9)*($N12&lt;TODAY()+1)*($P12&lt;&gt;"")*($P12&gt;=TODAY())*($P12&lt;=TODAY()+13),"Semaine passée &amp; à venir",IF(($N12&lt;&gt;"")*($N12&gt;TODAY()-9)*($N12&lt;TODAY()+1),"Semaine passée",IF(($P12&lt;&gt;"")*($P12&gt;=TODAY())*($P12&lt;=TODAY()+13),"À venir","Autre"))))</f>
        <v>Autre</v>
      </c>
      <c r="V12" s="8" cm="1" t="n">
        <f t="array" ref="V12">IF(C12&lt;&gt;"",1,0)</f>
        <v>1</v>
      </c>
      <c r="W12" s="8">
</c>
      <c r="X12" s="8">
</c>
      <c r="Y12" s="8">
</c>
      <c r="Z12" s="8">
</c>
      <c r="AA12" s="8">
</c>
      <c r="AB12" s="8">
</c>
      <c r="AC12" s="8">
</c>
      <c r="AD12" s="8">
</c>
      <c r="AE12" s="8">
</c>
      <c r="AF12" s="8">
</c>
      <c r="AG12" s="8">
</c>
      <c r="AH12" s="8">
</c>
      <c r="AI12" s="8">
</c>
      <c r="AJ12" s="8">
</c>
      <c r="AK12" s="8">
</c>
    </row>
    <row r="13" ht="76.5" customHeight="1">
      <c r="A13" s="9" t="s">
        <v>23</v>
      </c>
      <c r="B13" s="9" t="s">
        <v>65</v>
      </c>
      <c r="C13" s="12" t="s">
        <v>66</v>
      </c>
      <c r="D13" s="13" t="s">
        <v>66</v>
      </c>
      <c r="E13" s="9" t="s">
        <v>43</v>
      </c>
      <c r="F13" s="8" t="s">
        <v>67</v>
      </c>
      <c r="G13" s="14" cm="1" t="str">
        <f t="array" ref="G13">IF(F13="","",SUBSTITUTE(SUBSTITUTE(SUBSTITUTE(SUBSTITUTE(F13,"&lt;li&gt;",CHAR(10)),"&lt;/li&gt;",""),"&lt;br&gt;",CHAR(10)),"&lt;strong&gt;",""))</f>
        <v>&lt;p&gt;Aucune activité menée sur le prospect. Lead venant de CB.&lt;/p&gt;</v>
      </c>
      <c r="H13" s="14" cm="1" t="str">
        <f t="array" ref="H13">IF(G13="","",SUBSTITUTE(SUBSTITUTE(SUBSTITUTE(SUBSTITUTE(SUBSTITUTE(G13,"&lt;p&gt;",""),"&lt;/p&gt;",""),"&lt;ul&gt;",""),"&lt;/ul&gt;",""),"&lt;/strong&gt;",""))</f>
        <v>Aucune activité menée sur le prospect. Lead venant de CB.</v>
      </c>
      <c r="I13" s="15" cm="1" t="str">
        <f t="array" ref="I13">IF(C13="","",IF(OR(H13="",H13=0,H13=FALSE),"-",H13))</f>
        <v>Aucune activité menée sur le prospect. Lead venant de CB.</v>
      </c>
      <c r="J13" s="8">
</c>
      <c r="K13" s="8" t="s">
        <v>45</v>
      </c>
      <c r="L13" s="9" cm="1" t="str">
        <f t="array" ref="L13">IF(C13="","",IF(K13="Mort / Plus rien à faire","KO","OK"))</f>
        <v>OK</v>
      </c>
      <c r="M13" s="16">
        <v>46104.42766203704</v>
      </c>
      <c r="N13" s="16" cm="1" t="n">
        <f t="array" ref="N13">IF(OR(C13="",M13="",M13=0),"",M13)</f>
        <v>46104.42766203704</v>
      </c>
      <c r="O13" s="16">
</c>
      <c r="P13" s="16" cm="1" t="str">
        <f t="array" ref="P13">IF(C13="","",IF(OR(O13="",O13=0),"-",O13))</f>
        <v>-</v>
      </c>
      <c r="Q13" s="17">
        <v>0</v>
      </c>
      <c r="R13" s="17" cm="1" t="str">
        <f t="array" ref="R13">IF(C13="","",ROUND(Q13/1000000,3)&amp;" M€")</f>
        <v>0 M€</v>
      </c>
      <c r="S13" s="13" t="s">
        <v>41</v>
      </c>
      <c r="T13" s="9" cm="1" t="str">
        <f t="array" ref="T13">IF(C13="","",SUBSTITUTE(S13,"","")&amp;"%")</f>
        <v>50%</v>
      </c>
      <c r="U13" s="15" cm="1" t="str">
        <f t="array" ref="U13">IF(($N13="")*($P13=""),"",IF(($N13&lt;&gt;"")*($N13&gt;TODAY()-9)*($N13&lt;TODAY()+1)*($P13&lt;&gt;"")*($P13&gt;=TODAY())*($P13&lt;=TODAY()+13),"Semaine passée &amp; à venir",IF(($N13&lt;&gt;"")*($N13&gt;TODAY()-9)*($N13&lt;TODAY()+1),"Semaine passée",IF(($P13&lt;&gt;"")*($P13&gt;=TODAY())*($P13&lt;=TODAY()+13),"À venir","Autre"))))</f>
        <v>Autre</v>
      </c>
      <c r="V13" s="8" cm="1" t="n">
        <f t="array" ref="V13">IF(C13&lt;&gt;"",1,0)</f>
        <v>1</v>
      </c>
      <c r="W13" s="8">
</c>
      <c r="X13" s="8">
</c>
      <c r="Y13" s="8">
</c>
      <c r="Z13" s="8">
</c>
      <c r="AA13" s="8">
</c>
      <c r="AB13" s="8">
</c>
      <c r="AC13" s="8">
</c>
      <c r="AD13" s="8">
</c>
      <c r="AE13" s="8">
</c>
      <c r="AF13" s="8">
</c>
      <c r="AG13" s="8">
</c>
      <c r="AH13" s="8">
</c>
      <c r="AI13" s="8">
</c>
      <c r="AJ13" s="8">
</c>
      <c r="AK13" s="8">
</c>
    </row>
    <row r="14" ht="76.5" customHeight="1">
      <c r="A14" s="9" t="s">
        <v>23</v>
      </c>
      <c r="B14" s="9" t="s">
        <v>36</v>
      </c>
      <c r="C14" s="12" t="s">
        <v>68</v>
      </c>
      <c r="D14" s="13" t="s">
        <v>68</v>
      </c>
      <c r="E14" s="9" t="s">
        <v>43</v>
      </c>
      <c r="F14" s="8" t="s">
        <v>69</v>
      </c>
      <c r="G14" s="14" cm="1" t="str">
        <f t="array" ref="G14">IF(F14="","",SUBSTITUTE(SUBSTITUTE(SUBSTITUTE(SUBSTITUTE(F14,"&lt;li&gt;",CHAR(10)),"&lt;/li&gt;",""),"&lt;br&gt;",CHAR(10)),"&lt;strong&gt;",""))</f>
        <v>&lt;p&gt;Nouvelle piste créée pour équipe Ventes le 16/03. Lead enrichi, mais aucune donnée société trouvée via l’email, aucun crédit consommé. Lead identifié comme provenant de CB le 23/03. Aucune activité ou échange supplémentaire, pas d’action ou retour prospect à ce stade, prochaines étapes non définies.&lt;/p&gt;</v>
      </c>
      <c r="H14" s="14" cm="1" t="str">
        <f t="array" ref="H14">IF(G14="","",SUBSTITUTE(SUBSTITUTE(SUBSTITUTE(SUBSTITUTE(SUBSTITUTE(G14,"&lt;p&gt;",""),"&lt;/p&gt;",""),"&lt;ul&gt;",""),"&lt;/ul&gt;",""),"&lt;/strong&gt;",""))</f>
        <v>Nouvelle piste créée pour équipe Ventes le 16/03. Lead enrichi, mais aucune donnée société trouvée via l’email, aucun crédit consommé. Lead identifié comme provenant de CB le 23/03. Aucune activité ou échange supplémentaire, pas d’action ou retour prospect à ce stade, prochaines étapes non définies.</v>
      </c>
      <c r="I14" s="15" cm="1" t="str">
        <f t="array" ref="I14">IF(C14="","",IF(OR(H14="",H14=0,H14=FALSE),"-",H14))</f>
        <v>Nouvelle piste créée pour équipe Ventes le 16/03. Lead enrichi, mais aucune donnée société trouvée via l’email, aucun crédit consommé. Lead identifié comme provenant de CB le 23/03. Aucune activité ou échange supplémentaire, pas d’action ou retour prospect à ce stade, prochaines étapes non définies.</v>
      </c>
      <c r="J14" s="8">
</c>
      <c r="K14" s="8" t="s">
        <v>45</v>
      </c>
      <c r="L14" s="9" cm="1" t="str">
        <f t="array" ref="L14">IF(C14="","",IF(K14="Mort / Plus rien à faire","KO","OK"))</f>
        <v>OK</v>
      </c>
      <c r="M14" s="16">
        <v>46105.5878125</v>
      </c>
      <c r="N14" s="16" cm="1" t="n">
        <f t="array" ref="N14">IF(OR(C14="",M14="",M14=0),"",M14)</f>
        <v>46105.5878125</v>
      </c>
      <c r="O14" s="16">
</c>
      <c r="P14" s="16" cm="1" t="str">
        <f t="array" ref="P14">IF(C14="","",IF(OR(O14="",O14=0),"-",O14))</f>
        <v>-</v>
      </c>
      <c r="Q14" s="17">
        <v>100000</v>
      </c>
      <c r="R14" s="17" cm="1" t="str">
        <f t="array" ref="R14">IF(C14="","",ROUND(Q14/1000000,3)&amp;" M€")</f>
        <v>0.1 M€</v>
      </c>
      <c r="S14" s="13" t="s">
        <v>41</v>
      </c>
      <c r="T14" s="9" cm="1" t="str">
        <f t="array" ref="T14">IF(C14="","",SUBSTITUTE(S14,"","")&amp;"%")</f>
        <v>50%</v>
      </c>
      <c r="U14" s="15" cm="1" t="str">
        <f t="array" ref="U14">IF(($N14="")*($P14=""),"",IF(($N14&lt;&gt;"")*($N14&gt;TODAY()-9)*($N14&lt;TODAY()+1)*($P14&lt;&gt;"")*($P14&gt;=TODAY())*($P14&lt;=TODAY()+13),"Semaine passée &amp; à venir",IF(($N14&lt;&gt;"")*($N14&gt;TODAY()-9)*($N14&lt;TODAY()+1),"Semaine passée",IF(($P14&lt;&gt;"")*($P14&gt;=TODAY())*($P14&lt;=TODAY()+13),"À venir","Autre"))))</f>
        <v>Autre</v>
      </c>
      <c r="V14" s="8" cm="1" t="n">
        <f t="array" ref="V14">IF(C14&lt;&gt;"",1,0)</f>
        <v>1</v>
      </c>
      <c r="W14" s="8">
</c>
      <c r="X14" s="8">
</c>
      <c r="Y14" s="8">
</c>
      <c r="Z14" s="8">
</c>
      <c r="AA14" s="8">
</c>
      <c r="AB14" s="8">
</c>
      <c r="AC14" s="8">
</c>
      <c r="AD14" s="8">
</c>
      <c r="AE14" s="8">
</c>
      <c r="AF14" s="8">
</c>
      <c r="AG14" s="8">
</c>
      <c r="AH14" s="8">
</c>
      <c r="AI14" s="8">
</c>
      <c r="AJ14" s="8">
</c>
      <c r="AK14" s="8">
</c>
    </row>
    <row r="15" ht="76.5" customHeight="1">
      <c r="A15" s="9" t="s">
        <v>23</v>
      </c>
      <c r="B15" s="9" t="s">
        <v>65</v>
      </c>
      <c r="C15" s="12" t="s">
        <v>70</v>
      </c>
      <c r="D15" s="13" t="s">
        <v>70</v>
      </c>
      <c r="E15" s="9" t="s">
        <v>43</v>
      </c>
      <c r="F15" s="8" t="s">
        <v>71</v>
      </c>
      <c r="G15" s="14" cm="1" t="str">
        <f t="array" ref="G15">IF(F15="","",SUBSTITUTE(SUBSTITUTE(SUBSTITUTE(SUBSTITUTE(F15,"&lt;li&gt;",CHAR(10)),"&lt;/li&gt;",""),"&lt;br&gt;",CHAR(10)),"&lt;strong&gt;",""))</f>
        <v>&lt;p&gt;Lead venant de CB, aucune activité menée sur le prospect à ce jour, aucune interaction ou action enregistrée entre l'utilisateur propriétaire et le prospect, pas de suivi, pas de retour ni d'étape planifiée, aucune information sur l'intérêt ou les conclusions du prospect concernant les fonds présentés.&lt;/p&gt;</v>
      </c>
      <c r="H15" s="14" cm="1" t="str">
        <f t="array" ref="H15">IF(G15="","",SUBSTITUTE(SUBSTITUTE(SUBSTITUTE(SUBSTITUTE(SUBSTITUTE(G15,"&lt;p&gt;",""),"&lt;/p&gt;",""),"&lt;ul&gt;",""),"&lt;/ul&gt;",""),"&lt;/strong&gt;",""))</f>
        <v>Lead venant de CB, aucune activité menée sur le prospect à ce jour, aucune interaction ou action enregistrée entre l'utilisateur propriétaire et le prospect, pas de suivi, pas de retour ni d'étape planifiée, aucune information sur l'intérêt ou les conclusions du prospect concernant les fonds présentés.</v>
      </c>
      <c r="I15" s="15" cm="1" t="str">
        <f t="array" ref="I15">IF(C15="","",IF(OR(H15="",H15=0,H15=FALSE),"-",H15))</f>
        <v>Lead venant de CB, aucune activité menée sur le prospect à ce jour, aucune interaction ou action enregistrée entre l'utilisateur propriétaire et le prospect, pas de suivi, pas de retour ni d'étape planifiée, aucune information sur l'intérêt ou les conclusions du prospect concernant les fonds présentés.</v>
      </c>
      <c r="J15" s="8">
</c>
      <c r="K15" s="8" t="s">
        <v>45</v>
      </c>
      <c r="L15" s="9" cm="1" t="str">
        <f t="array" ref="L15">IF(C15="","",IF(K15="Mort / Plus rien à faire","KO","OK"))</f>
        <v>OK</v>
      </c>
      <c r="M15" s="16">
        <v>46104.427569444444</v>
      </c>
      <c r="N15" s="16" cm="1" t="n">
        <f t="array" ref="N15">IF(OR(C15="",M15="",M15=0),"",M15)</f>
        <v>46104.427569444444</v>
      </c>
      <c r="O15" s="16">
</c>
      <c r="P15" s="16" cm="1" t="str">
        <f t="array" ref="P15">IF(C15="","",IF(OR(O15="",O15=0),"-",O15))</f>
        <v>-</v>
      </c>
      <c r="Q15" s="17">
        <v>0</v>
      </c>
      <c r="R15" s="17" cm="1" t="str">
        <f t="array" ref="R15">IF(C15="","",ROUND(Q15/1000000,3)&amp;" M€")</f>
        <v>0 M€</v>
      </c>
      <c r="S15" s="13" t="s">
        <v>41</v>
      </c>
      <c r="T15" s="9" cm="1" t="str">
        <f t="array" ref="T15">IF(C15="","",SUBSTITUTE(S15,"","")&amp;"%")</f>
        <v>50%</v>
      </c>
      <c r="U15" s="15" cm="1" t="str">
        <f t="array" ref="U15">IF(($N15="")*($P15=""),"",IF(($N15&lt;&gt;"")*($N15&gt;TODAY()-9)*($N15&lt;TODAY()+1)*($P15&lt;&gt;"")*($P15&gt;=TODAY())*($P15&lt;=TODAY()+13),"Semaine passée &amp; à venir",IF(($N15&lt;&gt;"")*($N15&gt;TODAY()-9)*($N15&lt;TODAY()+1),"Semaine passée",IF(($P15&lt;&gt;"")*($P15&gt;=TODAY())*($P15&lt;=TODAY()+13),"À venir","Autre"))))</f>
        <v>Autre</v>
      </c>
      <c r="V15" s="8" cm="1" t="n">
        <f t="array" ref="V15">IF(C15&lt;&gt;"",1,0)</f>
        <v>1</v>
      </c>
      <c r="W15" s="8">
</c>
      <c r="X15" s="8">
</c>
      <c r="Y15" s="8">
</c>
      <c r="Z15" s="8">
</c>
      <c r="AA15" s="8">
</c>
      <c r="AB15" s="8">
</c>
      <c r="AC15" s="8">
</c>
      <c r="AD15" s="8">
</c>
      <c r="AE15" s="8">
</c>
      <c r="AF15" s="8">
</c>
      <c r="AG15" s="8">
</c>
      <c r="AH15" s="8">
</c>
      <c r="AI15" s="8">
</c>
      <c r="AJ15" s="8">
</c>
      <c r="AK15" s="8">
</c>
    </row>
    <row r="16" ht="76.5" customHeight="1">
      <c r="A16" s="9" t="s">
        <v>23</v>
      </c>
      <c r="B16" s="9" t="s">
        <v>36</v>
      </c>
      <c r="C16" s="12" t="s">
        <v>72</v>
      </c>
      <c r="D16" s="13" t="s">
        <v>72</v>
      </c>
      <c r="E16" s="9" t="s">
        <v>54</v>
      </c>
      <c r="F16" s="8" t="s">
        <v>73</v>
      </c>
      <c r="G16" s="14" cm="1" t="str">
        <f t="array" ref="G16">IF(F16="","",SUBSTITUTE(SUBSTITUTE(SUBSTITUTE(SUBSTITUTE(F16,"&lt;li&gt;",CHAR(10)),"&lt;/li&gt;",""),"&lt;br&gt;",CHAR(10)),"&lt;strong&gt;",""))</f>
        <v>&lt;p&gt;Piste créée pour équipe Ventes le 16/03. Tentative d'enrichissement par email sans résultat, pas de données société trouvées. Lead identifié comme "Lead de CB" le 23/03. Aucun échange, action ou retour prospect enregistré depuis. Pas d'activité ni prochaine étape connue à ce jour.&lt;/p&gt;</v>
      </c>
      <c r="H16" s="14" cm="1" t="str">
        <f t="array" ref="H16">IF(G16="","",SUBSTITUTE(SUBSTITUTE(SUBSTITUTE(SUBSTITUTE(SUBSTITUTE(G16,"&lt;p&gt;",""),"&lt;/p&gt;",""),"&lt;ul&gt;",""),"&lt;/ul&gt;",""),"&lt;/strong&gt;",""))</f>
        <v>Piste créée pour équipe Ventes le 16/03. Tentative d'enrichissement par email sans résultat, pas de données société trouvées. Lead identifié comme "Lead de CB" le 23/03. Aucun échange, action ou retour prospect enregistré depuis. Pas d'activité ni prochaine étape connue à ce jour.</v>
      </c>
      <c r="I16" s="15" cm="1" t="str">
        <f t="array" ref="I16">IF(C16="","",IF(OR(H16="",H16=0,H16=FALSE),"-",H16))</f>
        <v>Piste créée pour équipe Ventes le 16/03. Tentative d'enrichissement par email sans résultat, pas de données société trouvées. Lead identifié comme "Lead de CB" le 23/03. Aucun échange, action ou retour prospect enregistré depuis. Pas d'activité ni prochaine étape connue à ce jour.</v>
      </c>
      <c r="J16" s="8">
</c>
      <c r="K16" s="8" t="s">
        <v>45</v>
      </c>
      <c r="L16" s="9" cm="1" t="str">
        <f t="array" ref="L16">IF(C16="","",IF(K16="Mort / Plus rien à faire","KO","OK"))</f>
        <v>OK</v>
      </c>
      <c r="M16" s="16">
        <v>46105.60457175926</v>
      </c>
      <c r="N16" s="16" cm="1" t="n">
        <f t="array" ref="N16">IF(OR(C16="",M16="",M16=0),"",M16)</f>
        <v>46105.60457175926</v>
      </c>
      <c r="O16" s="16">
</c>
      <c r="P16" s="16" cm="1" t="str">
        <f t="array" ref="P16">IF(C16="","",IF(OR(O16="",O16=0),"-",O16))</f>
        <v>-</v>
      </c>
      <c r="Q16" s="17">
        <v>100000</v>
      </c>
      <c r="R16" s="17" cm="1" t="str">
        <f t="array" ref="R16">IF(C16="","",ROUND(Q16/1000000,3)&amp;" M€")</f>
        <v>0.1 M€</v>
      </c>
      <c r="S16" s="13" t="s">
        <v>41</v>
      </c>
      <c r="T16" s="9" cm="1" t="str">
        <f t="array" ref="T16">IF(C16="","",SUBSTITUTE(S16,"","")&amp;"%")</f>
        <v>50%</v>
      </c>
      <c r="U16" s="15" cm="1" t="str">
        <f t="array" ref="U16">IF(($N16="")*($P16=""),"",IF(($N16&lt;&gt;"")*($N16&gt;TODAY()-9)*($N16&lt;TODAY()+1)*($P16&lt;&gt;"")*($P16&gt;=TODAY())*($P16&lt;=TODAY()+13),"Semaine passée &amp; à venir",IF(($N16&lt;&gt;"")*($N16&gt;TODAY()-9)*($N16&lt;TODAY()+1),"Semaine passée",IF(($P16&lt;&gt;"")*($P16&gt;=TODAY())*($P16&lt;=TODAY()+13),"À venir","Autre"))))</f>
        <v>Autre</v>
      </c>
      <c r="V16" s="8" cm="1" t="n">
        <f t="array" ref="V16">IF(C16&lt;&gt;"",1,0)</f>
        <v>1</v>
      </c>
      <c r="W16" s="8">
</c>
      <c r="X16" s="8">
</c>
      <c r="Y16" s="8">
</c>
      <c r="Z16" s="8">
</c>
      <c r="AA16" s="8">
</c>
      <c r="AB16" s="8">
</c>
      <c r="AC16" s="8">
</c>
      <c r="AD16" s="8">
</c>
      <c r="AE16" s="8">
</c>
      <c r="AF16" s="8">
</c>
      <c r="AG16" s="8">
</c>
      <c r="AH16" s="8">
</c>
      <c r="AI16" s="8">
</c>
      <c r="AJ16" s="8">
</c>
      <c r="AK16" s="8">
</c>
    </row>
    <row r="17" ht="76.5" customHeight="1">
      <c r="A17" s="9" t="s">
        <v>23</v>
      </c>
      <c r="B17" s="9" t="s">
        <v>36</v>
      </c>
      <c r="C17" s="12" t="s">
        <v>74</v>
      </c>
      <c r="D17" s="13" t="s">
        <v>75</v>
      </c>
      <c r="E17" s="9" t="s">
        <v>43</v>
      </c>
      <c r="F17" s="8" t="s">
        <v>76</v>
      </c>
      <c r="G17" s="14" cm="1" t="str">
        <f t="array" ref="G17">IF(F17="","",SUBSTITUTE(SUBSTITUTE(SUBSTITUTE(SUBSTITUTE(F17,"&lt;li&gt;",CHAR(10)),"&lt;/li&gt;",""),"&lt;br&gt;",CHAR(10)),"&lt;strong&gt;",""))</f>
        <v>&lt;p&gt;Nouvelle piste créée pour équipe Ventes, lead identifié par CB, enrichissement tenté sans données trouvées (email générique), aucune info société récupérée, aucun appel ni activité complémentaire, pas de retour prospect, aucune action ou étape suivante planifiée à ce jour.&lt;/p&gt;</v>
      </c>
      <c r="H17" s="14" cm="1" t="str">
        <f t="array" ref="H17">IF(G17="","",SUBSTITUTE(SUBSTITUTE(SUBSTITUTE(SUBSTITUTE(SUBSTITUTE(G17,"&lt;p&gt;",""),"&lt;/p&gt;",""),"&lt;ul&gt;",""),"&lt;/ul&gt;",""),"&lt;/strong&gt;",""))</f>
        <v>Nouvelle piste créée pour équipe Ventes, lead identifié par CB, enrichissement tenté sans données trouvées (email générique), aucune info société récupérée, aucun appel ni activité complémentaire, pas de retour prospect, aucune action ou étape suivante planifiée à ce jour.</v>
      </c>
      <c r="I17" s="15" cm="1" t="str">
        <f t="array" ref="I17">IF(C17="","",IF(OR(H17="",H17=0,H17=FALSE),"-",H17))</f>
        <v>Nouvelle piste créée pour équipe Ventes, lead identifié par CB, enrichissement tenté sans données trouvées (email générique), aucune info société récupérée, aucun appel ni activité complémentaire, pas de retour prospect, aucune action ou étape suivante planifiée à ce jour.</v>
      </c>
      <c r="J17" s="8">
</c>
      <c r="K17" s="8" t="s">
        <v>45</v>
      </c>
      <c r="L17" s="9" cm="1" t="str">
        <f t="array" ref="L17">IF(C17="","",IF(K17="Mort / Plus rien à faire","KO","OK"))</f>
        <v>OK</v>
      </c>
      <c r="M17" s="16">
        <v>46105.59144675926</v>
      </c>
      <c r="N17" s="16" cm="1" t="n">
        <f t="array" ref="N17">IF(OR(C17="",M17="",M17=0),"",M17)</f>
        <v>46105.59144675926</v>
      </c>
      <c r="O17" s="16">
</c>
      <c r="P17" s="16" cm="1" t="str">
        <f t="array" ref="P17">IF(C17="","",IF(OR(O17="",O17=0),"-",O17))</f>
        <v>-</v>
      </c>
      <c r="Q17" s="17">
        <v>0</v>
      </c>
      <c r="R17" s="17" cm="1" t="str">
        <f t="array" ref="R17">IF(C17="","",ROUND(Q17/1000000,3)&amp;" M€")</f>
        <v>0 M€</v>
      </c>
      <c r="S17" s="13" t="s">
        <v>41</v>
      </c>
      <c r="T17" s="9" cm="1" t="str">
        <f t="array" ref="T17">IF(C17="","",SUBSTITUTE(S17,"","")&amp;"%")</f>
        <v>50%</v>
      </c>
      <c r="U17" s="15" cm="1" t="str">
        <f t="array" ref="U17">IF(($N17="")*($P17=""),"",IF(($N17&lt;&gt;"")*($N17&gt;TODAY()-9)*($N17&lt;TODAY()+1)*($P17&lt;&gt;"")*($P17&gt;=TODAY())*($P17&lt;=TODAY()+13),"Semaine passée &amp; à venir",IF(($N17&lt;&gt;"")*($N17&gt;TODAY()-9)*($N17&lt;TODAY()+1),"Semaine passée",IF(($P17&lt;&gt;"")*($P17&gt;=TODAY())*($P17&lt;=TODAY()+13),"À venir","Autre"))))</f>
        <v>Autre</v>
      </c>
      <c r="V17" s="8" cm="1" t="n">
        <f t="array" ref="V17">IF(C17&lt;&gt;"",1,0)</f>
        <v>1</v>
      </c>
      <c r="W17" s="8">
</c>
      <c r="X17" s="8">
</c>
      <c r="Y17" s="8">
</c>
      <c r="Z17" s="8">
</c>
      <c r="AA17" s="8">
</c>
      <c r="AB17" s="8">
</c>
      <c r="AC17" s="8">
</c>
      <c r="AD17" s="8">
</c>
      <c r="AE17" s="8">
</c>
      <c r="AF17" s="8">
</c>
      <c r="AG17" s="8">
</c>
      <c r="AH17" s="8">
</c>
      <c r="AI17" s="8">
</c>
      <c r="AJ17" s="8">
</c>
      <c r="AK17" s="8">
</c>
    </row>
    <row r="18" ht="76.5" customHeight="1">
      <c r="A18" s="9" t="s">
        <v>23</v>
      </c>
      <c r="B18" s="9" t="s">
        <v>77</v>
      </c>
      <c r="C18" s="12" t="s">
        <v>78</v>
      </c>
      <c r="D18" s="13" t="s">
        <v>79</v>
      </c>
      <c r="E18" s="9" t="s">
        <v>80</v>
      </c>
      <c r="F18" s="8" t="s">
        <v>81</v>
      </c>
      <c r="G18" s="14" cm="1" t="str">
        <f t="array" ref="G18">IF(F18="","",SUBSTITUTE(SUBSTITUTE(SUBSTITUTE(SUBSTITUTE(F18,"&lt;li&gt;",CHAR(10)),"&lt;/li&gt;",""),"&lt;br&gt;",CHAR(10)),"&lt;strong&gt;",""))</f>
        <v>&lt;p&gt;RDV physique 24/03 à Toulouse : reporting Constellation 3, clients appétents PME/non coté, focus philanthropie (éducation/environnement), intérêt Straton (défense/PME). Prochaines étapes : rappeler en avril/mai, début phase investissement clients, possible ticket C4 si cash dispo. Prise de nouvelles prévue 15/04.&lt;/p&gt;</v>
      </c>
      <c r="H18" s="14" cm="1" t="str">
        <f t="array" ref="H18">IF(G18="","",SUBSTITUTE(SUBSTITUTE(SUBSTITUTE(SUBSTITUTE(SUBSTITUTE(G18,"&lt;p&gt;",""),"&lt;/p&gt;",""),"&lt;ul&gt;",""),"&lt;/ul&gt;",""),"&lt;/strong&gt;",""))</f>
        <v>RDV physique 24/03 à Toulouse : reporting Constellation 3, clients appétents PME/non coté, focus philanthropie (éducation/environnement), intérêt Straton (défense/PME). Prochaines étapes : rappeler en avril/mai, début phase investissement clients, possible ticket C4 si cash dispo. Prise de nouvelles prévue 15/04.</v>
      </c>
      <c r="I18" s="15" cm="1" t="str">
        <f t="array" ref="I18">IF(C18="","",IF(OR(H18="",H18=0,H18=FALSE),"-",H18))</f>
        <v>RDV physique 24/03 à Toulouse : reporting Constellation 3, clients appétents PME/non coté, focus philanthropie (éducation/environnement), intérêt Straton (défense/PME). Prochaines étapes : rappeler en avril/mai, début phase investissement clients, possible ticket C4 si cash dispo. Prise de nouvelles prévue 15/04.</v>
      </c>
      <c r="J18" s="8" t="s">
        <v>82</v>
      </c>
      <c r="K18" s="8" t="s">
        <v>45</v>
      </c>
      <c r="L18" s="9" cm="1" t="str">
        <f t="array" ref="L18">IF(C18="","",IF(K18="Mort / Plus rien à faire","KO","OK"))</f>
        <v>OK</v>
      </c>
      <c r="M18" s="16">
        <v>46105.4533912037</v>
      </c>
      <c r="N18" s="16" cm="1" t="n">
        <f t="array" ref="N18">IF(OR(C18="",M18="",M18=0),"",M18)</f>
        <v>46105.4533912037</v>
      </c>
      <c r="O18" s="16">
        <v>46127.458333333336</v>
      </c>
      <c r="P18" s="16" cm="1" t="n">
        <f t="array" ref="P18">IF(C18="","",IF(OR(O18="",O18=0),"-",O18))</f>
        <v>46127.458333333336</v>
      </c>
      <c r="Q18" s="17">
        <v>0</v>
      </c>
      <c r="R18" s="17" cm="1" t="str">
        <f t="array" ref="R18">IF(C18="","",ROUND(Q18/1000000,3)&amp;" M€")</f>
        <v>0 M€</v>
      </c>
      <c r="S18" s="13" t="s">
        <v>83</v>
      </c>
      <c r="T18" s="9" cm="1" t="str">
        <f t="array" ref="T18">IF(C18="","",SUBSTITUTE(S18,"","")&amp;"%")</f>
        <v>30%</v>
      </c>
      <c r="U18" s="15" cm="1" t="str">
        <f t="array" ref="U18">IF(($N18="")*($P18=""),"",IF(($N18&lt;&gt;"")*($N18&gt;TODAY()-9)*($N18&lt;TODAY()+1)*($P18&lt;&gt;"")*($P18&gt;=TODAY())*($P18&lt;=TODAY()+13),"Semaine passée &amp; à venir",IF(($N18&lt;&gt;"")*($N18&gt;TODAY()-9)*($N18&lt;TODAY()+1),"Semaine passée",IF(($P18&lt;&gt;"")*($P18&gt;=TODAY())*($P18&lt;=TODAY()+13),"À venir","Autre"))))</f>
        <v>À venir</v>
      </c>
      <c r="V18" s="8" cm="1" t="n">
        <f t="array" ref="V18">IF(C18&lt;&gt;"",1,0)</f>
        <v>1</v>
      </c>
      <c r="W18" s="8">
</c>
      <c r="X18" s="8">
</c>
      <c r="Y18" s="8">
</c>
      <c r="Z18" s="8">
</c>
      <c r="AA18" s="8">
</c>
      <c r="AB18" s="8">
</c>
      <c r="AC18" s="8">
</c>
      <c r="AD18" s="8">
</c>
      <c r="AE18" s="8">
</c>
      <c r="AF18" s="8">
</c>
      <c r="AG18" s="8">
</c>
      <c r="AH18" s="8">
</c>
      <c r="AI18" s="8">
</c>
      <c r="AJ18" s="8">
</c>
      <c r="AK18" s="8">
</c>
    </row>
    <row r="19" ht="76.5" customHeight="1">
      <c r="A19" s="9" t="s">
        <v>23</v>
      </c>
      <c r="B19" s="9" t="s">
        <v>84</v>
      </c>
      <c r="C19" s="12" t="s">
        <v>85</v>
      </c>
      <c r="D19" s="13" t="s">
        <v>86</v>
      </c>
      <c r="E19" s="9" t="s">
        <v>80</v>
      </c>
      <c r="F19" s="8" t="s">
        <v>87</v>
      </c>
      <c r="G19" s="14" cm="1" t="str">
        <f t="array" ref="G19">IF(F19="","",SUBSTITUTE(SUBSTITUTE(SUBSTITUTE(SUBSTITUTE(F19,"&lt;li&gt;",CHAR(10)),"&lt;/li&gt;",""),"&lt;br&gt;",CHAR(10)),"&lt;strong&gt;",""))</f>
        <v>&lt;p&gt;Multiples relances mail (29/01, 16/02, 31/03) et appels pour organiser RDV Paris/Toulouse avec B. Continente, sans réponse à ce jour. Envoi deck Straton à jour, proposition réunion CGP Emeraude pour présentation fonds. Prochaine action : relance invitation événement Défense 09/04.&lt;/p&gt;</v>
      </c>
      <c r="H19" s="14" cm="1" t="str">
        <f t="array" ref="H19">IF(G19="","",SUBSTITUTE(SUBSTITUTE(SUBSTITUTE(SUBSTITUTE(SUBSTITUTE(G19,"&lt;p&gt;",""),"&lt;/p&gt;",""),"&lt;ul&gt;",""),"&lt;/ul&gt;",""),"&lt;/strong&gt;",""))</f>
        <v>Multiples relances mail (29/01, 16/02, 31/03) et appels pour organiser RDV Paris/Toulouse avec B. Continente, sans réponse à ce jour. Envoi deck Straton à jour, proposition réunion CGP Emeraude pour présentation fonds. Prochaine action : relance invitation événement Défense 09/04.</v>
      </c>
      <c r="I19" s="15" cm="1" t="str">
        <f t="array" ref="I19">IF(C19="","",IF(OR(H19="",H19=0,H19=FALSE),"-",H19))</f>
        <v>Multiples relances mail (29/01, 16/02, 31/03) et appels pour organiser RDV Paris/Toulouse avec B. Continente, sans réponse à ce jour. Envoi deck Straton à jour, proposition réunion CGP Emeraude pour présentation fonds. Prochaine action : relance invitation événement Défense 09/04.</v>
      </c>
      <c r="J19" s="8">
</c>
      <c r="K19" s="8" t="s">
        <v>88</v>
      </c>
      <c r="L19" s="9" cm="1" t="str">
        <f t="array" ref="L19">IF(C19="","",IF(K19="Mort / Plus rien à faire","KO","OK"))</f>
        <v>OK</v>
      </c>
      <c r="M19" s="16">
        <v>46112.48979166667</v>
      </c>
      <c r="N19" s="16" cm="1" t="n">
        <f t="array" ref="N19">IF(OR(C19="",M19="",M19=0),"",M19)</f>
        <v>46112.48979166667</v>
      </c>
      <c r="O19" s="16">
</c>
      <c r="P19" s="16" cm="1" t="str">
        <f t="array" ref="P19">IF(C19="","",IF(OR(O19="",O19=0),"-",O19))</f>
        <v>-</v>
      </c>
      <c r="Q19" s="17">
        <v>0</v>
      </c>
      <c r="R19" s="17" cm="1" t="str">
        <f t="array" ref="R19">IF(C19="","",ROUND(Q19/1000000,3)&amp;" M€")</f>
        <v>0 M€</v>
      </c>
      <c r="S19" s="13" t="s">
        <v>83</v>
      </c>
      <c r="T19" s="9" cm="1" t="str">
        <f t="array" ref="T19">IF(C19="","",SUBSTITUTE(S19,"","")&amp;"%")</f>
        <v>30%</v>
      </c>
      <c r="U19" s="15" cm="1" t="str">
        <f t="array" ref="U19">IF(($N19="")*($P19=""),"",IF(($N19&lt;&gt;"")*($N19&gt;TODAY()-9)*($N19&lt;TODAY()+1)*($P19&lt;&gt;"")*($P19&gt;=TODAY())*($P19&lt;=TODAY()+13),"Semaine passée &amp; à venir",IF(($N19&lt;&gt;"")*($N19&gt;TODAY()-9)*($N19&lt;TODAY()+1),"Semaine passée",IF(($P19&lt;&gt;"")*($P19&gt;=TODAY())*($P19&lt;=TODAY()+13),"À venir","Autre"))))</f>
        <v>Semaine passée</v>
      </c>
      <c r="V19" s="8" cm="1" t="n">
        <f t="array" ref="V19">IF(C19&lt;&gt;"",1,0)</f>
        <v>1</v>
      </c>
      <c r="W19" s="8">
</c>
      <c r="X19" s="8">
</c>
      <c r="Y19" s="8">
</c>
      <c r="Z19" s="8">
</c>
      <c r="AA19" s="8">
</c>
      <c r="AB19" s="8">
</c>
      <c r="AC19" s="8">
</c>
      <c r="AD19" s="8">
</c>
      <c r="AE19" s="8">
</c>
      <c r="AF19" s="8">
</c>
      <c r="AG19" s="8">
</c>
      <c r="AH19" s="8">
</c>
      <c r="AI19" s="8">
</c>
      <c r="AJ19" s="8">
</c>
      <c r="AK19" s="8">
</c>
    </row>
    <row r="20" ht="76.5" customHeight="1">
      <c r="A20" s="9" t="s">
        <v>23</v>
      </c>
      <c r="B20" s="9" t="s">
        <v>36</v>
      </c>
      <c r="C20" s="12" t="s">
        <v>89</v>
      </c>
      <c r="D20" s="13" t="s">
        <v>89</v>
      </c>
      <c r="E20" s="9" t="s">
        <v>43</v>
      </c>
      <c r="F20" s="8" t="s">
        <v>90</v>
      </c>
      <c r="G20" s="14" cm="1" t="str">
        <f t="array" ref="G20">IF(F20="","",SUBSTITUTE(SUBSTITUTE(SUBSTITUTE(SUBSTITUTE(F20,"&lt;li&gt;",CHAR(10)),"&lt;/li&gt;",""),"&lt;br&gt;",CHAR(10)),"&lt;strong&gt;",""))</f>
        <v>&lt;p&gt;Nouvelle piste créée pour équipe Ventes, mention d'un lead OdP, aucune activité ou échange supplémentaire enregistré, pas de suivi ni d'action menée à ce jour, aucune interaction prospect identifiée, aucune prochaine étape planifiée, aucun retour prospect sur fonds présentés.&lt;/p&gt;</v>
      </c>
      <c r="H20" s="14" cm="1" t="str">
        <f t="array" ref="H20">IF(G20="","",SUBSTITUTE(SUBSTITUTE(SUBSTITUTE(SUBSTITUTE(SUBSTITUTE(G20,"&lt;p&gt;",""),"&lt;/p&gt;",""),"&lt;ul&gt;",""),"&lt;/ul&gt;",""),"&lt;/strong&gt;",""))</f>
        <v>Nouvelle piste créée pour équipe Ventes, mention d'un lead OdP, aucune activité ou échange supplémentaire enregistré, pas de suivi ni d'action menée à ce jour, aucune interaction prospect identifiée, aucune prochaine étape planifiée, aucun retour prospect sur fonds présentés.</v>
      </c>
      <c r="I20" s="15" cm="1" t="str">
        <f t="array" ref="I20">IF(C20="","",IF(OR(H20="",H20=0,H20=FALSE),"-",H20))</f>
        <v>Nouvelle piste créée pour équipe Ventes, mention d'un lead OdP, aucune activité ou échange supplémentaire enregistré, pas de suivi ni d'action menée à ce jour, aucune interaction prospect identifiée, aucune prochaine étape planifiée, aucun retour prospect sur fonds présentés.</v>
      </c>
      <c r="J20" s="8">
</c>
      <c r="K20" s="8" t="s">
        <v>45</v>
      </c>
      <c r="L20" s="9" cm="1" t="str">
        <f t="array" ref="L20">IF(C20="","",IF(K20="Mort / Plus rien à faire","KO","OK"))</f>
        <v>OK</v>
      </c>
      <c r="M20" s="16">
        <v>46105.588125</v>
      </c>
      <c r="N20" s="16" cm="1" t="n">
        <f t="array" ref="N20">IF(OR(C20="",M20="",M20=0),"",M20)</f>
        <v>46105.588125</v>
      </c>
      <c r="O20" s="16">
</c>
      <c r="P20" s="16" cm="1" t="str">
        <f t="array" ref="P20">IF(C20="","",IF(OR(O20="",O20=0),"-",O20))</f>
        <v>-</v>
      </c>
      <c r="Q20" s="17">
        <v>0</v>
      </c>
      <c r="R20" s="17" cm="1" t="str">
        <f t="array" ref="R20">IF(C20="","",ROUND(Q20/1000000,3)&amp;" M€")</f>
        <v>0 M€</v>
      </c>
      <c r="S20" s="13" t="s">
        <v>83</v>
      </c>
      <c r="T20" s="9" cm="1" t="str">
        <f t="array" ref="T20">IF(C20="","",SUBSTITUTE(S20,"","")&amp;"%")</f>
        <v>30%</v>
      </c>
      <c r="U20" s="15" cm="1" t="str">
        <f t="array" ref="U20">IF(($N20="")*($P20=""),"",IF(($N20&lt;&gt;"")*($N20&gt;TODAY()-9)*($N20&lt;TODAY()+1)*($P20&lt;&gt;"")*($P20&gt;=TODAY())*($P20&lt;=TODAY()+13),"Semaine passée &amp; à venir",IF(($N20&lt;&gt;"")*($N20&gt;TODAY()-9)*($N20&lt;TODAY()+1),"Semaine passée",IF(($P20&lt;&gt;"")*($P20&gt;=TODAY())*($P20&lt;=TODAY()+13),"À venir","Autre"))))</f>
        <v>Autre</v>
      </c>
      <c r="V20" s="8" cm="1" t="n">
        <f t="array" ref="V20">IF(C20&lt;&gt;"",1,0)</f>
        <v>1</v>
      </c>
      <c r="W20" s="8">
</c>
      <c r="X20" s="8">
</c>
      <c r="Y20" s="8">
</c>
      <c r="Z20" s="8">
</c>
      <c r="AA20" s="8">
</c>
      <c r="AB20" s="8">
</c>
      <c r="AC20" s="8">
</c>
      <c r="AD20" s="8">
</c>
      <c r="AE20" s="8">
</c>
      <c r="AF20" s="8">
</c>
      <c r="AG20" s="8">
</c>
      <c r="AH20" s="8">
</c>
      <c r="AI20" s="8">
</c>
      <c r="AJ20" s="8">
</c>
      <c r="AK20" s="8">
</c>
    </row>
    <row r="21" ht="76.5" customHeight="1">
      <c r="A21" s="9" t="s">
        <v>23</v>
      </c>
      <c r="B21" s="9" t="s">
        <v>36</v>
      </c>
      <c r="C21" s="12" t="s">
        <v>91</v>
      </c>
      <c r="D21" s="13" t="s">
        <v>92</v>
      </c>
      <c r="E21" s="9" t="s">
        <v>43</v>
      </c>
      <c r="F21" s="8" t="s">
        <v>93</v>
      </c>
      <c r="G21" s="14" cm="1" t="str">
        <f t="array" ref="G21">IF(F21="","",SUBSTITUTE(SUBSTITUTE(SUBSTITUTE(SUBSTITUTE(F21,"&lt;li&gt;",CHAR(10)),"&lt;/li&gt;",""),"&lt;br&gt;",CHAR(10)),"&lt;strong&gt;",""))</f>
        <v>&lt;p&gt;Nouvelle piste créée équipe Ventes 11/03. Lead OdP, tentative d'enrichissement échouée (email invalide). Aucun échange ou activité significative, pas de retour prospect ni action planifiée. Pas d'indication sur l'origine précise de la piste ni de prochaines étapes identifiées à ce stade.&lt;/p&gt;</v>
      </c>
      <c r="H21" s="14" cm="1" t="str">
        <f t="array" ref="H21">IF(G21="","",SUBSTITUTE(SUBSTITUTE(SUBSTITUTE(SUBSTITUTE(SUBSTITUTE(G21,"&lt;p&gt;",""),"&lt;/p&gt;",""),"&lt;ul&gt;",""),"&lt;/ul&gt;",""),"&lt;/strong&gt;",""))</f>
        <v>Nouvelle piste créée équipe Ventes 11/03. Lead OdP, tentative d'enrichissement échouée (email invalide). Aucun échange ou activité significative, pas de retour prospect ni action planifiée. Pas d'indication sur l'origine précise de la piste ni de prochaines étapes identifiées à ce stade.</v>
      </c>
      <c r="I21" s="15" cm="1" t="str">
        <f t="array" ref="I21">IF(C21="","",IF(OR(H21="",H21=0,H21=FALSE),"-",H21))</f>
        <v>Nouvelle piste créée équipe Ventes 11/03. Lead OdP, tentative d'enrichissement échouée (email invalide). Aucun échange ou activité significative, pas de retour prospect ni action planifiée. Pas d'indication sur l'origine précise de la piste ni de prochaines étapes identifiées à ce stade.</v>
      </c>
      <c r="J21" s="8">
</c>
      <c r="K21" s="8" t="s">
        <v>45</v>
      </c>
      <c r="L21" s="9" cm="1" t="str">
        <f t="array" ref="L21">IF(C21="","",IF(K21="Mort / Plus rien à faire","KO","OK"))</f>
        <v>OK</v>
      </c>
      <c r="M21" s="16">
        <v>46105.588171296295</v>
      </c>
      <c r="N21" s="16" cm="1" t="n">
        <f t="array" ref="N21">IF(OR(C21="",M21="",M21=0),"",M21)</f>
        <v>46105.588171296295</v>
      </c>
      <c r="O21" s="16">
</c>
      <c r="P21" s="16" cm="1" t="str">
        <f t="array" ref="P21">IF(C21="","",IF(OR(O21="",O21=0),"-",O21))</f>
        <v>-</v>
      </c>
      <c r="Q21" s="17">
        <v>1000000</v>
      </c>
      <c r="R21" s="17" cm="1" t="str">
        <f t="array" ref="R21">IF(C21="","",ROUND(Q21/1000000,3)&amp;" M€")</f>
        <v>1 M€</v>
      </c>
      <c r="S21" s="13" t="s">
        <v>83</v>
      </c>
      <c r="T21" s="9" cm="1" t="str">
        <f t="array" ref="T21">IF(C21="","",SUBSTITUTE(S21,"","")&amp;"%")</f>
        <v>30%</v>
      </c>
      <c r="U21" s="15" cm="1" t="str">
        <f t="array" ref="U21">IF(($N21="")*($P21=""),"",IF(($N21&lt;&gt;"")*($N21&gt;TODAY()-9)*($N21&lt;TODAY()+1)*($P21&lt;&gt;"")*($P21&gt;=TODAY())*($P21&lt;=TODAY()+13),"Semaine passée &amp; à venir",IF(($N21&lt;&gt;"")*($N21&gt;TODAY()-9)*($N21&lt;TODAY()+1),"Semaine passée",IF(($P21&lt;&gt;"")*($P21&gt;=TODAY())*($P21&lt;=TODAY()+13),"À venir","Autre"))))</f>
        <v>Autre</v>
      </c>
      <c r="V21" s="8" cm="1" t="n">
        <f t="array" ref="V21">IF(C21&lt;&gt;"",1,0)</f>
        <v>1</v>
      </c>
      <c r="W21" s="8">
</c>
      <c r="X21" s="8">
</c>
      <c r="Y21" s="8">
</c>
      <c r="Z21" s="8">
</c>
      <c r="AA21" s="8">
</c>
      <c r="AB21" s="8">
</c>
      <c r="AC21" s="8">
</c>
      <c r="AD21" s="8">
</c>
      <c r="AE21" s="8">
</c>
      <c r="AF21" s="8">
</c>
      <c r="AG21" s="8">
</c>
      <c r="AH21" s="8">
</c>
      <c r="AI21" s="8">
</c>
      <c r="AJ21" s="8">
</c>
      <c r="AK21" s="8">
</c>
    </row>
    <row r="22" ht="76.5" customHeight="1">
      <c r="A22" s="9" t="s">
        <v>23</v>
      </c>
      <c r="B22" s="9" t="s">
        <v>84</v>
      </c>
      <c r="C22" s="12" t="s">
        <v>94</v>
      </c>
      <c r="D22" s="13" t="s">
        <v>95</v>
      </c>
      <c r="E22" s="9" t="s">
        <v>80</v>
      </c>
      <c r="F22" s="8" t="s">
        <v>96</v>
      </c>
      <c r="G22" s="14" cm="1" t="str">
        <f t="array" ref="G22">IF(F22="","",SUBSTITUTE(SUBSTITUTE(SUBSTITUTE(SUBSTITUTE(F22,"&lt;li&gt;",CHAR(10)),"&lt;/li&gt;",""),"&lt;br&gt;",CHAR(10)),"&lt;strong&gt;",""))</f>
        <v>&lt;p&gt;Visio 27/11/25 : découverte, intérêt marqué pour fonds Défense, doc à envoyer. 01/12/25 : présentation Straton+ATDI envoyée. 22/01/26 : relance suite envoi présentation. Cabinet créé 09/25, clientèle dirigeants/M&amp;amp;A, forte conviction PE/défense, évite fonds fiscaux, travaille avec Opale.&lt;/p&gt;</v>
      </c>
      <c r="H22" s="14" cm="1" t="str">
        <f t="array" ref="H22">IF(G22="","",SUBSTITUTE(SUBSTITUTE(SUBSTITUTE(SUBSTITUTE(SUBSTITUTE(G22,"&lt;p&gt;",""),"&lt;/p&gt;",""),"&lt;ul&gt;",""),"&lt;/ul&gt;",""),"&lt;/strong&gt;",""))</f>
        <v>Visio 27/11/25 : découverte, intérêt marqué pour fonds Défense, doc à envoyer. 01/12/25 : présentation Straton+ATDI envoyée. 22/01/26 : relance suite envoi présentation. Cabinet créé 09/25, clientèle dirigeants/M&amp;amp;A, forte conviction PE/défense, évite fonds fiscaux, travaille avec Opale.</v>
      </c>
      <c r="I22" s="15" cm="1" t="str">
        <f t="array" ref="I22">IF(C22="","",IF(OR(H22="",H22=0,H22=FALSE),"-",H22))</f>
        <v>Visio 27/11/25 : découverte, intérêt marqué pour fonds Défense, doc à envoyer. 01/12/25 : présentation Straton+ATDI envoyée. 22/01/26 : relance suite envoi présentation. Cabinet créé 09/25, clientèle dirigeants/M&amp;amp;A, forte conviction PE/défense, évite fonds fiscaux, travaille avec Opale.</v>
      </c>
      <c r="J22" s="8">
</c>
      <c r="K22" s="8" t="s">
        <v>45</v>
      </c>
      <c r="L22" s="9" cm="1" t="str">
        <f t="array" ref="L22">IF(C22="","",IF(K22="Mort / Plus rien à faire","KO","OK"))</f>
        <v>OK</v>
      </c>
      <c r="M22" s="16">
        <v>46044.65715277778</v>
      </c>
      <c r="N22" s="16" cm="1" t="n">
        <f t="array" ref="N22">IF(OR(C22="",M22="",M22=0),"",M22)</f>
        <v>46044.65715277778</v>
      </c>
      <c r="O22" s="16">
</c>
      <c r="P22" s="16" cm="1" t="str">
        <f t="array" ref="P22">IF(C22="","",IF(OR(O22="",O22=0),"-",O22))</f>
        <v>-</v>
      </c>
      <c r="Q22" s="17">
        <v>0</v>
      </c>
      <c r="R22" s="17" cm="1" t="str">
        <f t="array" ref="R22">IF(C22="","",ROUND(Q22/1000000,3)&amp;" M€")</f>
        <v>0 M€</v>
      </c>
      <c r="S22" s="13" t="s">
        <v>83</v>
      </c>
      <c r="T22" s="9" cm="1" t="str">
        <f t="array" ref="T22">IF(C22="","",SUBSTITUTE(S22,"","")&amp;"%")</f>
        <v>30%</v>
      </c>
      <c r="U22" s="15" cm="1" t="str">
        <f t="array" ref="U22">IF(($N22="")*($P22=""),"",IF(($N22&lt;&gt;"")*($N22&gt;TODAY()-9)*($N22&lt;TODAY()+1)*($P22&lt;&gt;"")*($P22&gt;=TODAY())*($P22&lt;=TODAY()+13),"Semaine passée &amp; à venir",IF(($N22&lt;&gt;"")*($N22&gt;TODAY()-9)*($N22&lt;TODAY()+1),"Semaine passée",IF(($P22&lt;&gt;"")*($P22&gt;=TODAY())*($P22&lt;=TODAY()+13),"À venir","Autre"))))</f>
        <v>Autre</v>
      </c>
      <c r="V22" s="8" cm="1" t="n">
        <f t="array" ref="V22">IF(C22&lt;&gt;"",1,0)</f>
        <v>1</v>
      </c>
      <c r="W22" s="8">
</c>
      <c r="X22" s="8">
</c>
      <c r="Y22" s="8">
</c>
      <c r="Z22" s="8">
</c>
      <c r="AA22" s="8">
</c>
      <c r="AB22" s="8">
</c>
      <c r="AC22" s="8">
</c>
      <c r="AD22" s="8">
</c>
      <c r="AE22" s="8">
</c>
      <c r="AF22" s="8">
</c>
      <c r="AG22" s="8">
</c>
      <c r="AH22" s="8">
</c>
      <c r="AI22" s="8">
</c>
      <c r="AJ22" s="8">
</c>
      <c r="AK22" s="8">
</c>
    </row>
    <row r="23" ht="76.5" customHeight="1">
      <c r="A23" s="9" t="s">
        <v>23</v>
      </c>
      <c r="B23" s="9" t="s">
        <v>36</v>
      </c>
      <c r="C23" s="12" t="s">
        <v>97</v>
      </c>
      <c r="D23" s="13" t="s">
        <v>97</v>
      </c>
      <c r="E23" s="9" t="s">
        <v>54</v>
      </c>
      <c r="F23" s="8" t="s">
        <v>98</v>
      </c>
      <c r="G23" s="14" cm="1" t="str">
        <f t="array" ref="G23">IF(F23="","",SUBSTITUTE(SUBSTITUTE(SUBSTITUTE(SUBSTITUTE(F23,"&lt;li&gt;",CHAR(10)),"&lt;/li&gt;",""),"&lt;br&gt;",CHAR(10)),"&lt;strong&gt;",""))</f>
        <v>&lt;p&gt;Investisseurs historiques Audacia (Constellation 1: 500k, 3: 122k). Call Teams 02/02, visio 10/02 avec CB, EG, CP pour 400k tréso. Relances 03/02, 10/02, 16/02, 02/03, 03/04 pour présentation gérant, 400k à placer. Prochaine étape&amp;nbsp;: organiser présentation gérant, suivi relance.&lt;/p&gt;</v>
      </c>
      <c r="H23" s="14" cm="1" t="str">
        <f t="array" ref="H23">IF(G23="","",SUBSTITUTE(SUBSTITUTE(SUBSTITUTE(SUBSTITUTE(SUBSTITUTE(G23,"&lt;p&gt;",""),"&lt;/p&gt;",""),"&lt;ul&gt;",""),"&lt;/ul&gt;",""),"&lt;/strong&gt;",""))</f>
        <v>Investisseurs historiques Audacia (Constellation 1: 500k, 3: 122k). Call Teams 02/02, visio 10/02 avec CB, EG, CP pour 400k tréso. Relances 03/02, 10/02, 16/02, 02/03, 03/04 pour présentation gérant, 400k à placer. Prochaine étape&amp;nbsp;: organiser présentation gérant, suivi relance.</v>
      </c>
      <c r="I23" s="15" cm="1" t="str">
        <f t="array" ref="I23">IF(C23="","",IF(OR(H23="",H23=0,H23=FALSE),"-",H23))</f>
        <v>Investisseurs historiques Audacia (Constellation 1: 500k, 3: 122k). Call Teams 02/02, visio 10/02 avec CB, EG, CP pour 400k tréso. Relances 03/02, 10/02, 16/02, 02/03, 03/04 pour présentation gérant, 400k à placer. Prochaine étape&amp;nbsp;: organiser présentation gérant, suivi relance.</v>
      </c>
      <c r="J23" s="8">
</c>
      <c r="K23" s="8" t="s">
        <v>45</v>
      </c>
      <c r="L23" s="9" cm="1" t="str">
        <f t="array" ref="L23">IF(C23="","",IF(K23="Mort / Plus rien à faire","KO","OK"))</f>
        <v>OK</v>
      </c>
      <c r="M23" s="16">
        <v>46115.69899305556</v>
      </c>
      <c r="N23" s="16" cm="1" t="n">
        <f t="array" ref="N23">IF(OR(C23="",M23="",M23=0),"",M23)</f>
        <v>46115.69899305556</v>
      </c>
      <c r="O23" s="16">
        <v>46115.083333333336</v>
      </c>
      <c r="P23" s="16" cm="1" t="n">
        <f t="array" ref="P23">IF(C23="","",IF(OR(O23="",O23=0),"-",O23))</f>
        <v>46115.083333333336</v>
      </c>
      <c r="Q23" s="17">
        <v>400000</v>
      </c>
      <c r="R23" s="17" cm="1" t="str">
        <f t="array" ref="R23">IF(C23="","",ROUND(Q23/1000000,3)&amp;" M€")</f>
        <v>0.4 M€</v>
      </c>
      <c r="S23" s="13" t="s">
        <v>83</v>
      </c>
      <c r="T23" s="9" cm="1" t="str">
        <f t="array" ref="T23">IF(C23="","",SUBSTITUTE(S23,"","")&amp;"%")</f>
        <v>30%</v>
      </c>
      <c r="U23" s="15" cm="1" t="str">
        <f t="array" ref="U23">IF(($N23="")*($P23=""),"",IF(($N23&lt;&gt;"")*($N23&gt;TODAY()-9)*($N23&lt;TODAY()+1)*($P23&lt;&gt;"")*($P23&gt;=TODAY())*($P23&lt;=TODAY()+13),"Semaine passée &amp; à venir",IF(($N23&lt;&gt;"")*($N23&gt;TODAY()-9)*($N23&lt;TODAY()+1),"Semaine passée",IF(($P23&lt;&gt;"")*($P23&gt;=TODAY())*($P23&lt;=TODAY()+13),"À venir","Autre"))))</f>
        <v>Semaine passée &amp; à venir</v>
      </c>
      <c r="V23" s="8" cm="1" t="n">
        <f t="array" ref="V23">IF(C23&lt;&gt;"",1,0)</f>
        <v>1</v>
      </c>
      <c r="W23" s="8">
</c>
      <c r="X23" s="8">
</c>
      <c r="Y23" s="8">
</c>
      <c r="Z23" s="8">
</c>
      <c r="AA23" s="8">
</c>
      <c r="AB23" s="8">
</c>
      <c r="AC23" s="8">
</c>
      <c r="AD23" s="8">
</c>
      <c r="AE23" s="8">
</c>
      <c r="AF23" s="8">
</c>
      <c r="AG23" s="8">
</c>
      <c r="AH23" s="8">
</c>
      <c r="AI23" s="8">
</c>
      <c r="AJ23" s="8">
</c>
      <c r="AK23" s="8">
</c>
    </row>
    <row r="24" ht="76.5" customHeight="1">
      <c r="A24" s="9" t="s">
        <v>23</v>
      </c>
      <c r="B24" s="9" t="s">
        <v>36</v>
      </c>
      <c r="C24" s="12" t="s">
        <v>97</v>
      </c>
      <c r="D24" s="13" t="s">
        <v>97</v>
      </c>
      <c r="E24" s="9" t="s">
        <v>54</v>
      </c>
      <c r="F24" s="8" t="s">
        <v>99</v>
      </c>
      <c r="G24" s="14" cm="1" t="str">
        <f t="array" ref="G24">IF(F24="","",SUBSTITUTE(SUBSTITUTE(SUBSTITUTE(SUBSTITUTE(F24,"&lt;li&gt;",CHAR(10)),"&lt;/li&gt;",""),"&lt;br&gt;",CHAR(10)),"&lt;strong&gt;",""))</f>
        <v>&lt;p&gt;RDV 02/02/2026 CB, EG, CP pour investir 400K tréso. Visio terminée, discussions sur investissement. Relances et proposition RDV gérant pour diversification Straton envoyées fin mars. Pas de retour prospect sur fonds présentés. Prochaine étape : attendre réponse relance RDV gérant.&lt;/p&gt;</v>
      </c>
      <c r="H24" s="14" cm="1" t="str">
        <f t="array" ref="H24">IF(G24="","",SUBSTITUTE(SUBSTITUTE(SUBSTITUTE(SUBSTITUTE(SUBSTITUTE(G24,"&lt;p&gt;",""),"&lt;/p&gt;",""),"&lt;ul&gt;",""),"&lt;/ul&gt;",""),"&lt;/strong&gt;",""))</f>
        <v>RDV 02/02/2026 CB, EG, CP pour investir 400K tréso. Visio terminée, discussions sur investissement. Relances et proposition RDV gérant pour diversification Straton envoyées fin mars. Pas de retour prospect sur fonds présentés. Prochaine étape : attendre réponse relance RDV gérant.</v>
      </c>
      <c r="I24" s="15" cm="1" t="str">
        <f t="array" ref="I24">IF(C24="","",IF(OR(H24="",H24=0,H24=FALSE),"-",H24))</f>
        <v>RDV 02/02/2026 CB, EG, CP pour investir 400K tréso. Visio terminée, discussions sur investissement. Relances et proposition RDV gérant pour diversification Straton envoyées fin mars. Pas de retour prospect sur fonds présentés. Prochaine étape : attendre réponse relance RDV gérant.</v>
      </c>
      <c r="J24" s="8">
</c>
      <c r="K24" s="8" t="s">
        <v>45</v>
      </c>
      <c r="L24" s="9" cm="1" t="str">
        <f t="array" ref="L24">IF(C24="","",IF(K24="Mort / Plus rien à faire","KO","OK"))</f>
        <v>OK</v>
      </c>
      <c r="M24" s="16">
        <v>46111.596030092594</v>
      </c>
      <c r="N24" s="16" cm="1" t="n">
        <f t="array" ref="N24">IF(OR(C24="",M24="",M24=0),"",M24)</f>
        <v>46111.596030092594</v>
      </c>
      <c r="O24" s="16">
</c>
      <c r="P24" s="16" cm="1" t="str">
        <f t="array" ref="P24">IF(C24="","",IF(OR(O24="",O24=0),"-",O24))</f>
        <v>-</v>
      </c>
      <c r="Q24" s="17">
        <v>150000</v>
      </c>
      <c r="R24" s="17" cm="1" t="str">
        <f t="array" ref="R24">IF(C24="","",ROUND(Q24/1000000,3)&amp;" M€")</f>
        <v>0.15 M€</v>
      </c>
      <c r="S24" s="13" t="s">
        <v>83</v>
      </c>
      <c r="T24" s="9" cm="1" t="str">
        <f t="array" ref="T24">IF(C24="","",SUBSTITUTE(S24,"","")&amp;"%")</f>
        <v>30%</v>
      </c>
      <c r="U24" s="15" cm="1" t="str">
        <f t="array" ref="U24">IF(($N24="")*($P24=""),"",IF(($N24&lt;&gt;"")*($N24&gt;TODAY()-9)*($N24&lt;TODAY()+1)*($P24&lt;&gt;"")*($P24&gt;=TODAY())*($P24&lt;=TODAY()+13),"Semaine passée &amp; à venir",IF(($N24&lt;&gt;"")*($N24&gt;TODAY()-9)*($N24&lt;TODAY()+1),"Semaine passée",IF(($P24&lt;&gt;"")*($P24&gt;=TODAY())*($P24&lt;=TODAY()+13),"À venir","Autre"))))</f>
        <v>Semaine passée</v>
      </c>
      <c r="V24" s="8" cm="1" t="n">
        <f t="array" ref="V24">IF(C24&lt;&gt;"",1,0)</f>
        <v>1</v>
      </c>
      <c r="W24" s="8">
</c>
      <c r="X24" s="8">
</c>
      <c r="Y24" s="8">
</c>
      <c r="Z24" s="8">
</c>
      <c r="AA24" s="8">
</c>
      <c r="AB24" s="8">
</c>
      <c r="AC24" s="8">
</c>
      <c r="AD24" s="8">
</c>
      <c r="AE24" s="8">
</c>
      <c r="AF24" s="8">
</c>
      <c r="AG24" s="8">
</c>
      <c r="AH24" s="8">
</c>
      <c r="AI24" s="8">
</c>
      <c r="AJ24" s="8">
</c>
      <c r="AK24" s="8">
</c>
    </row>
    <row r="25" ht="76.5" customHeight="1">
      <c r="A25" s="9" t="s">
        <v>23</v>
      </c>
      <c r="B25" s="9" t="s">
        <v>84</v>
      </c>
      <c r="C25" s="12" t="s">
        <v>100</v>
      </c>
      <c r="D25" s="13" t="s">
        <v>101</v>
      </c>
      <c r="E25" s="9" t="s">
        <v>54</v>
      </c>
      <c r="F25" s="8" t="s">
        <v>102</v>
      </c>
      <c r="G25" s="14" cm="1" t="str">
        <f t="array" ref="G25">IF(F25="","",SUBSTITUTE(SUBSTITUTE(SUBSTITUTE(SUBSTITUTE(F25,"&lt;li&gt;",CHAR(10)),"&lt;/li&gt;",""),"&lt;br&gt;",CHAR(10)),"&lt;strong&gt;",""))</f>
        <v>&lt;p&gt;03/02/2026: client intéressé pour 250 K dans le spatial diversification, relance info AK en cours. Plusieurs relances menées, dernier échange mail le 30/03/2026 pour relance client. Prochaine étape : poursuivre relance client pour concrétiser l'intérêt exprimé, pas de retour prospect sur fonds à ce stade.&lt;/p&gt;</v>
      </c>
      <c r="H25" s="14" cm="1" t="str">
        <f t="array" ref="H25">IF(G25="","",SUBSTITUTE(SUBSTITUTE(SUBSTITUTE(SUBSTITUTE(SUBSTITUTE(G25,"&lt;p&gt;",""),"&lt;/p&gt;",""),"&lt;ul&gt;",""),"&lt;/ul&gt;",""),"&lt;/strong&gt;",""))</f>
        <v>03/02/2026: client intéressé pour 250 K dans le spatial diversification, relance info AK en cours. Plusieurs relances menées, dernier échange mail le 30/03/2026 pour relance client. Prochaine étape : poursuivre relance client pour concrétiser l'intérêt exprimé, pas de retour prospect sur fonds à ce stade.</v>
      </c>
      <c r="I25" s="15" cm="1" t="str">
        <f t="array" ref="I25">IF(C25="","",IF(OR(H25="",H25=0,H25=FALSE),"-",H25))</f>
        <v>03/02/2026: client intéressé pour 250 K dans le spatial diversification, relance info AK en cours. Plusieurs relances menées, dernier échange mail le 30/03/2026 pour relance client. Prochaine étape : poursuivre relance client pour concrétiser l'intérêt exprimé, pas de retour prospect sur fonds à ce stade.</v>
      </c>
      <c r="J25" s="8">
</c>
      <c r="K25" s="8" t="s">
        <v>45</v>
      </c>
      <c r="L25" s="9" cm="1" t="str">
        <f t="array" ref="L25">IF(C25="","",IF(K25="Mort / Plus rien à faire","KO","OK"))</f>
        <v>OK</v>
      </c>
      <c r="M25" s="16">
        <v>46111.482881944445</v>
      </c>
      <c r="N25" s="16" cm="1" t="n">
        <f t="array" ref="N25">IF(OR(C25="",M25="",M25=0),"",M25)</f>
        <v>46111.482881944445</v>
      </c>
      <c r="O25" s="16">
        <v>46115.083333333336</v>
      </c>
      <c r="P25" s="16" cm="1" t="n">
        <f t="array" ref="P25">IF(C25="","",IF(OR(O25="",O25=0),"-",O25))</f>
        <v>46115.083333333336</v>
      </c>
      <c r="Q25" s="17">
        <v>250000</v>
      </c>
      <c r="R25" s="17" cm="1" t="str">
        <f t="array" ref="R25">IF(C25="","",ROUND(Q25/1000000,3)&amp;" M€")</f>
        <v>0.25 M€</v>
      </c>
      <c r="S25" s="13" t="s">
        <v>83</v>
      </c>
      <c r="T25" s="9" cm="1" t="str">
        <f t="array" ref="T25">IF(C25="","",SUBSTITUTE(S25,"","")&amp;"%")</f>
        <v>30%</v>
      </c>
      <c r="U25" s="15" cm="1" t="str">
        <f t="array" ref="U25">IF(($N25="")*($P25=""),"",IF(($N25&lt;&gt;"")*($N25&gt;TODAY()-9)*($N25&lt;TODAY()+1)*($P25&lt;&gt;"")*($P25&gt;=TODAY())*($P25&lt;=TODAY()+13),"Semaine passée &amp; à venir",IF(($N25&lt;&gt;"")*($N25&gt;TODAY()-9)*($N25&lt;TODAY()+1),"Semaine passée",IF(($P25&lt;&gt;"")*($P25&gt;=TODAY())*($P25&lt;=TODAY()+13),"À venir","Autre"))))</f>
        <v>Semaine passée &amp; à venir</v>
      </c>
      <c r="V25" s="8" cm="1" t="n">
        <f t="array" ref="V25">IF(C25&lt;&gt;"",1,0)</f>
        <v>1</v>
      </c>
      <c r="W25" s="8">
</c>
      <c r="X25" s="8">
</c>
      <c r="Y25" s="8">
</c>
      <c r="Z25" s="8">
</c>
      <c r="AA25" s="8">
</c>
      <c r="AB25" s="8">
</c>
      <c r="AC25" s="8">
</c>
      <c r="AD25" s="8">
</c>
      <c r="AE25" s="8">
</c>
      <c r="AF25" s="8">
</c>
      <c r="AG25" s="8">
</c>
      <c r="AH25" s="8">
</c>
      <c r="AI25" s="8">
</c>
      <c r="AJ25" s="8">
</c>
      <c r="AK25" s="8">
</c>
    </row>
    <row r="26" ht="76.5" customHeight="1">
      <c r="A26" s="9" t="s">
        <v>23</v>
      </c>
      <c r="B26" s="9" t="s">
        <v>103</v>
      </c>
      <c r="C26" s="12" t="s">
        <v>104</v>
      </c>
      <c r="D26" s="13" t="s">
        <v>105</v>
      </c>
      <c r="E26" s="9" t="s">
        <v>27</v>
      </c>
      <c r="F26" s="8" t="s">
        <v>106</v>
      </c>
      <c r="G26" s="14" cm="1" t="str">
        <f t="array" ref="G26">IF(F26="","",SUBSTITUTE(SUBSTITUTE(SUBSTITUTE(SUBSTITUTE(F26,"&lt;li&gt;",CHAR(10)),"&lt;/li&gt;",""),"&lt;br&gt;",CHAR(10)),"&lt;strong&gt;",""))</f>
        <v>&lt;p&gt;Aucune activité ni échange significatif enregistré sur cette opportunité depuis la création de la piste par Romain Andrieu pour l'équipe Ventes. Aucun suivi, action ou retour prospect identifié à ce jour. Pas de prochaines étapes planifiées ni d'informations complémentaires disponibles.&lt;/p&gt;</v>
      </c>
      <c r="H26" s="14" cm="1" t="str">
        <f t="array" ref="H26">IF(G26="","",SUBSTITUTE(SUBSTITUTE(SUBSTITUTE(SUBSTITUTE(SUBSTITUTE(G26,"&lt;p&gt;",""),"&lt;/p&gt;",""),"&lt;ul&gt;",""),"&lt;/ul&gt;",""),"&lt;/strong&gt;",""))</f>
        <v>Aucune activité ni échange significatif enregistré sur cette opportunité depuis la création de la piste par Romain Andrieu pour l'équipe Ventes. Aucun suivi, action ou retour prospect identifié à ce jour. Pas de prochaines étapes planifiées ni d'informations complémentaires disponibles.</v>
      </c>
      <c r="I26" s="15" cm="1" t="str">
        <f t="array" ref="I26">IF(C26="","",IF(OR(H26="",H26=0,H26=FALSE),"-",H26))</f>
        <v>Aucune activité ni échange significatif enregistré sur cette opportunité depuis la création de la piste par Romain Andrieu pour l'équipe Ventes. Aucun suivi, action ou retour prospect identifié à ce jour. Pas de prochaines étapes planifiées ni d'informations complémentaires disponibles.</v>
      </c>
      <c r="J26" s="8">
</c>
      <c r="K26" s="8" t="s">
        <v>40</v>
      </c>
      <c r="L26" s="9" cm="1" t="str">
        <f t="array" ref="L26">IF(C26="","",IF(K26="Mort / Plus rien à faire","KO","OK"))</f>
        <v>OK</v>
      </c>
      <c r="M26" s="16">
        <v>46094.45648148148</v>
      </c>
      <c r="N26" s="16" cm="1" t="n">
        <f t="array" ref="N26">IF(OR(C26="",M26="",M26=0),"",M26)</f>
        <v>46094.45648148148</v>
      </c>
      <c r="O26" s="16">
</c>
      <c r="P26" s="16" cm="1" t="str">
        <f t="array" ref="P26">IF(C26="","",IF(OR(O26="",O26=0),"-",O26))</f>
        <v>-</v>
      </c>
      <c r="Q26" s="17">
        <v>0</v>
      </c>
      <c r="R26" s="17" cm="1" t="str">
        <f t="array" ref="R26">IF(C26="","",ROUND(Q26/1000000,3)&amp;" M€")</f>
        <v>0 M€</v>
      </c>
      <c r="S26" s="13" t="s">
        <v>83</v>
      </c>
      <c r="T26" s="9" cm="1" t="str">
        <f t="array" ref="T26">IF(C26="","",SUBSTITUTE(S26,"","")&amp;"%")</f>
        <v>30%</v>
      </c>
      <c r="U26" s="15" cm="1" t="str">
        <f t="array" ref="U26">IF(($N26="")*($P26=""),"",IF(($N26&lt;&gt;"")*($N26&gt;TODAY()-9)*($N26&lt;TODAY()+1)*($P26&lt;&gt;"")*($P26&gt;=TODAY())*($P26&lt;=TODAY()+13),"Semaine passée &amp; à venir",IF(($N26&lt;&gt;"")*($N26&gt;TODAY()-9)*($N26&lt;TODAY()+1),"Semaine passée",IF(($P26&lt;&gt;"")*($P26&gt;=TODAY())*($P26&lt;=TODAY()+13),"À venir","Autre"))))</f>
        <v>Autre</v>
      </c>
      <c r="V26" s="8" cm="1" t="n">
        <f t="array" ref="V26">IF(C26&lt;&gt;"",1,0)</f>
        <v>1</v>
      </c>
      <c r="W26" s="8">
</c>
      <c r="X26" s="8">
</c>
      <c r="Y26" s="8">
</c>
      <c r="Z26" s="8">
</c>
      <c r="AA26" s="8">
</c>
      <c r="AB26" s="8">
</c>
      <c r="AC26" s="8">
</c>
      <c r="AD26" s="8">
</c>
      <c r="AE26" s="8">
</c>
      <c r="AF26" s="8">
</c>
      <c r="AG26" s="8">
</c>
      <c r="AH26" s="8">
</c>
      <c r="AI26" s="8">
</c>
      <c r="AJ26" s="8">
</c>
      <c r="AK26" s="8">
</c>
    </row>
    <row r="27" ht="76.5" customHeight="1">
      <c r="A27" s="9" t="s">
        <v>23</v>
      </c>
      <c r="B27" s="9" t="s">
        <v>107</v>
      </c>
      <c r="C27" s="12" t="s">
        <v>108</v>
      </c>
      <c r="D27" s="13" t="s">
        <v>109</v>
      </c>
      <c r="E27" s="9" t="s">
        <v>27</v>
      </c>
      <c r="F27" s="8" t="s">
        <v>110</v>
      </c>
      <c r="G27" s="14" cm="1" t="str">
        <f t="array" ref="G27">IF(F27="","",SUBSTITUTE(SUBSTITUTE(SUBSTITUTE(SUBSTITUTE(F27,"&lt;li&gt;",CHAR(10)),"&lt;/li&gt;",""),"&lt;br&gt;",CHAR(10)),"&lt;strong&gt;",""))</f>
        <v>&lt;p&gt;RDV physique 19/02 : discussion marché Luxembourgeois, question sur référencement fonds, sujet clos (taux d'emprise, taille fonds/ticket). Déjeuner 25/03 planifié. Prochaine étape : reprendre RDV pour planifier 2027. Pas de retour prospect sur fonds, pas de mention de comité.&lt;/p&gt;</v>
      </c>
      <c r="H27" s="14" cm="1" t="str">
        <f t="array" ref="H27">IF(G27="","",SUBSTITUTE(SUBSTITUTE(SUBSTITUTE(SUBSTITUTE(SUBSTITUTE(G27,"&lt;p&gt;",""),"&lt;/p&gt;",""),"&lt;ul&gt;",""),"&lt;/ul&gt;",""),"&lt;/strong&gt;",""))</f>
        <v>RDV physique 19/02 : discussion marché Luxembourgeois, question sur référencement fonds, sujet clos (taux d'emprise, taille fonds/ticket). Déjeuner 25/03 planifié. Prochaine étape : reprendre RDV pour planifier 2027. Pas de retour prospect sur fonds, pas de mention de comité.</v>
      </c>
      <c r="I27" s="15" cm="1" t="str">
        <f t="array" ref="I27">IF(C27="","",IF(OR(H27="",H27=0,H27=FALSE),"-",H27))</f>
        <v>RDV physique 19/02 : discussion marché Luxembourgeois, question sur référencement fonds, sujet clos (taux d'emprise, taille fonds/ticket). Déjeuner 25/03 planifié. Prochaine étape : reprendre RDV pour planifier 2027. Pas de retour prospect sur fonds, pas de mention de comité.</v>
      </c>
      <c r="J27" s="8" t="s">
        <v>111</v>
      </c>
      <c r="K27" s="8" t="s">
        <v>45</v>
      </c>
      <c r="L27" s="9" cm="1" t="str">
        <f t="array" ref="L27">IF(C27="","",IF(K27="Mort / Plus rien à faire","KO","OK"))</f>
        <v>OK</v>
      </c>
      <c r="M27" s="16">
        <v>46106.74597222222</v>
      </c>
      <c r="N27" s="16" cm="1" t="n">
        <f t="array" ref="N27">IF(OR(C27="",M27="",M27=0),"",M27)</f>
        <v>46106.74597222222</v>
      </c>
      <c r="O27" s="16">
        <v>46115.083333333336</v>
      </c>
      <c r="P27" s="16" cm="1" t="n">
        <f t="array" ref="P27">IF(C27="","",IF(OR(O27="",O27=0),"-",O27))</f>
        <v>46115.083333333336</v>
      </c>
      <c r="Q27" s="17">
        <v>0</v>
      </c>
      <c r="R27" s="17" cm="1" t="str">
        <f t="array" ref="R27">IF(C27="","",ROUND(Q27/1000000,3)&amp;" M€")</f>
        <v>0 M€</v>
      </c>
      <c r="S27" s="13" t="s">
        <v>83</v>
      </c>
      <c r="T27" s="9" cm="1" t="str">
        <f t="array" ref="T27">IF(C27="","",SUBSTITUTE(S27,"","")&amp;"%")</f>
        <v>30%</v>
      </c>
      <c r="U27" s="15" cm="1" t="str">
        <f t="array" ref="U27">IF(($N27="")*($P27=""),"",IF(($N27&lt;&gt;"")*($N27&gt;TODAY()-9)*($N27&lt;TODAY()+1)*($P27&lt;&gt;"")*($P27&gt;=TODAY())*($P27&lt;=TODAY()+13),"Semaine passée &amp; à venir",IF(($N27&lt;&gt;"")*($N27&gt;TODAY()-9)*($N27&lt;TODAY()+1),"Semaine passée",IF(($P27&lt;&gt;"")*($P27&gt;=TODAY())*($P27&lt;=TODAY()+13),"À venir","Autre"))))</f>
        <v>Semaine passée &amp; à venir</v>
      </c>
      <c r="V27" s="8" cm="1" t="n">
        <f t="array" ref="V27">IF(C27&lt;&gt;"",1,0)</f>
        <v>1</v>
      </c>
      <c r="W27" s="8">
</c>
      <c r="X27" s="8">
</c>
      <c r="Y27" s="8">
</c>
      <c r="Z27" s="8">
</c>
      <c r="AA27" s="8">
</c>
      <c r="AB27" s="8">
</c>
      <c r="AC27" s="8">
</c>
      <c r="AD27" s="8">
</c>
      <c r="AE27" s="8">
</c>
      <c r="AF27" s="8">
</c>
      <c r="AG27" s="8">
</c>
      <c r="AH27" s="8">
</c>
      <c r="AI27" s="8">
</c>
      <c r="AJ27" s="8">
</c>
      <c r="AK27" s="8">
</c>
    </row>
    <row r="28" ht="76.5" customHeight="1">
      <c r="A28" s="9" t="s">
        <v>23</v>
      </c>
      <c r="B28" s="9" t="s">
        <v>32</v>
      </c>
      <c r="C28" s="12" t="s">
        <v>112</v>
      </c>
      <c r="D28" s="13" t="s">
        <v>113</v>
      </c>
      <c r="E28" s="9" t="s">
        <v>27</v>
      </c>
      <c r="F28" s="8" t="s">
        <v>114</v>
      </c>
      <c r="G28" s="14" cm="1" t="str">
        <f t="array" ref="G28">IF(F28="","",SUBSTITUTE(SUBSTITUTE(SUBSTITUTE(SUBSTITUTE(F28,"&lt;li&gt;",CHAR(10)),"&lt;/li&gt;",""),"&lt;br&gt;",CHAR(10)),"&lt;strong&gt;",""))</f>
        <v>&lt;p&gt;Déj. S. Goirand, revue actu STRATON/ABEILLE, tickets 10Me min, intérêt mino, besoin EIF/BPI pour Due Dil, préférence second closing, BS conditionnel 9/04, data room. Prospect ok pour regarder STRATON 2026, 5-10Me possible. Prochaine étape&amp;nbsp;: envoyer détails closing tech + deck à jour (avant 02/04).&lt;/p&gt;</v>
      </c>
      <c r="H28" s="14" cm="1" t="str">
        <f t="array" ref="H28">IF(G28="","",SUBSTITUTE(SUBSTITUTE(SUBSTITUTE(SUBSTITUTE(SUBSTITUTE(G28,"&lt;p&gt;",""),"&lt;/p&gt;",""),"&lt;ul&gt;",""),"&lt;/ul&gt;",""),"&lt;/strong&gt;",""))</f>
        <v>Déj. S. Goirand, revue actu STRATON/ABEILLE, tickets 10Me min, intérêt mino, besoin EIF/BPI pour Due Dil, préférence second closing, BS conditionnel 9/04, data room. Prospect ok pour regarder STRATON 2026, 5-10Me possible. Prochaine étape&amp;nbsp;: envoyer détails closing tech + deck à jour (avant 02/04).</v>
      </c>
      <c r="I28" s="15" cm="1" t="str">
        <f t="array" ref="I28">IF(C28="","",IF(OR(H28="",H28=0,H28=FALSE),"-",H28))</f>
        <v>Déj. S. Goirand, revue actu STRATON/ABEILLE, tickets 10Me min, intérêt mino, besoin EIF/BPI pour Due Dil, préférence second closing, BS conditionnel 9/04, data room. Prospect ok pour regarder STRATON 2026, 5-10Me possible. Prochaine étape&amp;nbsp;: envoyer détails closing tech + deck à jour (avant 02/04).</v>
      </c>
      <c r="J28" s="8" t="s">
        <v>115</v>
      </c>
      <c r="K28" s="8" t="s">
        <v>45</v>
      </c>
      <c r="L28" s="9" cm="1" t="str">
        <f t="array" ref="L28">IF(C28="","",IF(K28="Mort / Plus rien à faire","KO","OK"))</f>
        <v>OK</v>
      </c>
      <c r="M28" s="16">
        <v>46107.36309027778</v>
      </c>
      <c r="N28" s="16" cm="1" t="n">
        <f t="array" ref="N28">IF(OR(C28="",M28="",M28=0),"",M28)</f>
        <v>46107.36309027778</v>
      </c>
      <c r="O28" s="16">
</c>
      <c r="P28" s="16" cm="1" t="str">
        <f t="array" ref="P28">IF(C28="","",IF(OR(O28="",O28=0),"-",O28))</f>
        <v>-</v>
      </c>
      <c r="Q28" s="17">
        <v>10000000</v>
      </c>
      <c r="R28" s="17" cm="1" t="str">
        <f t="array" ref="R28">IF(C28="","",ROUND(Q28/1000000,3)&amp;" M€")</f>
        <v>10 M€</v>
      </c>
      <c r="S28" s="13" t="s">
        <v>83</v>
      </c>
      <c r="T28" s="9" cm="1" t="str">
        <f t="array" ref="T28">IF(C28="","",SUBSTITUTE(S28,"","")&amp;"%")</f>
        <v>30%</v>
      </c>
      <c r="U28" s="15" cm="1" t="str">
        <f t="array" ref="U28">IF(($N28="")*($P28=""),"",IF(($N28&lt;&gt;"")*($N28&gt;TODAY()-9)*($N28&lt;TODAY()+1)*($P28&lt;&gt;"")*($P28&gt;=TODAY())*($P28&lt;=TODAY()+13),"Semaine passée &amp; à venir",IF(($N28&lt;&gt;"")*($N28&gt;TODAY()-9)*($N28&lt;TODAY()+1),"Semaine passée",IF(($P28&lt;&gt;"")*($P28&gt;=TODAY())*($P28&lt;=TODAY()+13),"À venir","Autre"))))</f>
        <v>Semaine passée</v>
      </c>
      <c r="V28" s="8" cm="1" t="n">
        <f t="array" ref="V28">IF(C28&lt;&gt;"",1,0)</f>
        <v>1</v>
      </c>
      <c r="W28" s="8">
</c>
      <c r="X28" s="8">
</c>
      <c r="Y28" s="8">
</c>
      <c r="Z28" s="8">
</c>
      <c r="AA28" s="8">
</c>
      <c r="AB28" s="8">
</c>
      <c r="AC28" s="8">
</c>
      <c r="AD28" s="8">
</c>
      <c r="AE28" s="8">
</c>
      <c r="AF28" s="8">
</c>
      <c r="AG28" s="8">
</c>
      <c r="AH28" s="8">
</c>
      <c r="AI28" s="8">
</c>
      <c r="AJ28" s="8">
</c>
      <c r="AK28" s="8">
</c>
    </row>
    <row r="29" ht="76.5" customHeight="1">
      <c r="A29" s="9" t="s">
        <v>23</v>
      </c>
      <c r="B29" s="9" t="s">
        <v>84</v>
      </c>
      <c r="C29" s="12" t="s">
        <v>116</v>
      </c>
      <c r="D29" s="13" t="s">
        <v>117</v>
      </c>
      <c r="E29" s="9" t="s">
        <v>54</v>
      </c>
      <c r="F29" s="8" t="s">
        <v>118</v>
      </c>
      <c r="G29" s="14" cm="1" t="str">
        <f t="array" ref="G29">IF(F29="","",SUBSTITUTE(SUBSTITUTE(SUBSTITUTE(SUBSTITUTE(F29,"&lt;li&gt;",CHAR(10)),"&lt;/li&gt;",""),"&lt;br&gt;",CHAR(10)),"&lt;strong&gt;",""))</f>
        <v>&lt;p&gt;Déj. Bourrienne CB, OPNF, TS avec Daylight FO (D. Lagarnaudie) : très bon échange, refinancement ptf global évoqué, possible 1M dans Géodesic, 1M dans Straton. Offre refinancement PTF patrimonial en cours. Décision attendue, prospect attendait 2026 suite incertitudes fiscales. Prochaines étapes à caler.&lt;/p&gt;</v>
      </c>
      <c r="H29" s="14" cm="1" t="str">
        <f t="array" ref="H29">IF(G29="","",SUBSTITUTE(SUBSTITUTE(SUBSTITUTE(SUBSTITUTE(SUBSTITUTE(G29,"&lt;p&gt;",""),"&lt;/p&gt;",""),"&lt;ul&gt;",""),"&lt;/ul&gt;",""),"&lt;/strong&gt;",""))</f>
        <v>Déj. Bourrienne CB, OPNF, TS avec Daylight FO (D. Lagarnaudie) : très bon échange, refinancement ptf global évoqué, possible 1M dans Géodesic, 1M dans Straton. Offre refinancement PTF patrimonial en cours. Décision attendue, prospect attendait 2026 suite incertitudes fiscales. Prochaines étapes à caler.</v>
      </c>
      <c r="I29" s="15" cm="1" t="str">
        <f t="array" ref="I29">IF(C29="","",IF(OR(H29="",H29=0,H29=FALSE),"-",H29))</f>
        <v>Déj. Bourrienne CB, OPNF, TS avec Daylight FO (D. Lagarnaudie) : très bon échange, refinancement ptf global évoqué, possible 1M dans Géodesic, 1M dans Straton. Offre refinancement PTF patrimonial en cours. Décision attendue, prospect attendait 2026 suite incertitudes fiscales. Prochaines étapes à caler.</v>
      </c>
      <c r="J29" s="8">
</c>
      <c r="K29" s="8" t="s">
        <v>45</v>
      </c>
      <c r="L29" s="9" cm="1" t="str">
        <f t="array" ref="L29">IF(C29="","",IF(K29="Mort / Plus rien à faire","KO","OK"))</f>
        <v>OK</v>
      </c>
      <c r="M29" s="16">
        <v>46111.598287037035</v>
      </c>
      <c r="N29" s="16" cm="1" t="n">
        <f t="array" ref="N29">IF(OR(C29="",M29="",M29=0),"",M29)</f>
        <v>46111.598287037035</v>
      </c>
      <c r="O29" s="16">
</c>
      <c r="P29" s="16" cm="1" t="str">
        <f t="array" ref="P29">IF(C29="","",IF(OR(O29="",O29=0),"-",O29))</f>
        <v>-</v>
      </c>
      <c r="Q29" s="17">
        <v>500000</v>
      </c>
      <c r="R29" s="17" cm="1" t="str">
        <f t="array" ref="R29">IF(C29="","",ROUND(Q29/1000000,3)&amp;" M€")</f>
        <v>0.5 M€</v>
      </c>
      <c r="S29" s="13" t="s">
        <v>83</v>
      </c>
      <c r="T29" s="9" cm="1" t="str">
        <f t="array" ref="T29">IF(C29="","",SUBSTITUTE(S29,"","")&amp;"%")</f>
        <v>30%</v>
      </c>
      <c r="U29" s="15" cm="1" t="str">
        <f t="array" ref="U29">IF(($N29="")*($P29=""),"",IF(($N29&lt;&gt;"")*($N29&gt;TODAY()-9)*($N29&lt;TODAY()+1)*($P29&lt;&gt;"")*($P29&gt;=TODAY())*($P29&lt;=TODAY()+13),"Semaine passée &amp; à venir",IF(($N29&lt;&gt;"")*($N29&gt;TODAY()-9)*($N29&lt;TODAY()+1),"Semaine passée",IF(($P29&lt;&gt;"")*($P29&gt;=TODAY())*($P29&lt;=TODAY()+13),"À venir","Autre"))))</f>
        <v>Semaine passée</v>
      </c>
      <c r="V29" s="8" cm="1" t="n">
        <f t="array" ref="V29">IF(C29&lt;&gt;"",1,0)</f>
        <v>1</v>
      </c>
      <c r="W29" s="8">
</c>
      <c r="X29" s="8">
</c>
      <c r="Y29" s="8">
</c>
      <c r="Z29" s="8">
</c>
      <c r="AA29" s="8">
</c>
      <c r="AB29" s="8">
</c>
      <c r="AC29" s="8">
</c>
      <c r="AD29" s="8">
</c>
      <c r="AE29" s="8">
</c>
      <c r="AF29" s="8">
</c>
      <c r="AG29" s="8">
</c>
      <c r="AH29" s="8">
</c>
      <c r="AI29" s="8">
</c>
      <c r="AJ29" s="8">
</c>
      <c r="AK29" s="8">
</c>
    </row>
    <row r="30" ht="76.5" customHeight="1">
      <c r="A30" s="9" t="s">
        <v>23</v>
      </c>
      <c r="B30" s="9" t="s">
        <v>51</v>
      </c>
      <c r="C30" s="12" t="s">
        <v>119</v>
      </c>
      <c r="D30" s="13" t="s">
        <v>120</v>
      </c>
      <c r="E30" s="9" t="s">
        <v>121</v>
      </c>
      <c r="F30" s="8" t="s">
        <v>122</v>
      </c>
      <c r="G30" s="14" cm="1" t="str">
        <f t="array" ref="G30">IF(F30="","",SUBSTITUTE(SUBSTITUTE(SUBSTITUTE(SUBSTITUTE(F30,"&lt;li&gt;",CHAR(10)),"&lt;/li&gt;",""),"&lt;br&gt;",CHAR(10)),"&lt;strong&gt;",""))</f>
        <v>&lt;p&gt;RDV physique 28/01/26 : présentation offre gestion de fortune PE, 3 fonds externes, 2bn d'assets, volonté de diversification, comité direction demande process référencement, potentiel levée 1-5M€. 10/02 : reprise de contact, envoi lien Dataroom Straton. Prochaine étape : relancer Benjamin (deadline 12/02).&lt;/p&gt;</v>
      </c>
      <c r="H30" s="14" cm="1" t="str">
        <f t="array" ref="H30">IF(G30="","",SUBSTITUTE(SUBSTITUTE(SUBSTITUTE(SUBSTITUTE(SUBSTITUTE(G30,"&lt;p&gt;",""),"&lt;/p&gt;",""),"&lt;ul&gt;",""),"&lt;/ul&gt;",""),"&lt;/strong&gt;",""))</f>
        <v>RDV physique 28/01/26 : présentation offre gestion de fortune PE, 3 fonds externes, 2bn d'assets, volonté de diversification, comité direction demande process référencement, potentiel levée 1-5M€. 10/02 : reprise de contact, envoi lien Dataroom Straton. Prochaine étape : relancer Benjamin (deadline 12/02).</v>
      </c>
      <c r="I30" s="15" cm="1" t="str">
        <f t="array" ref="I30">IF(C30="","",IF(OR(H30="",H30=0,H30=FALSE),"-",H30))</f>
        <v>RDV physique 28/01/26 : présentation offre gestion de fortune PE, 3 fonds externes, 2bn d'assets, volonté de diversification, comité direction demande process référencement, potentiel levée 1-5M€. 10/02 : reprise de contact, envoi lien Dataroom Straton. Prochaine étape : relancer Benjamin (deadline 12/02).</v>
      </c>
      <c r="J30" s="8" t="s">
        <v>123</v>
      </c>
      <c r="K30" s="8" t="s">
        <v>45</v>
      </c>
      <c r="L30" s="9" cm="1" t="str">
        <f t="array" ref="L30">IF(C30="","",IF(K30="Mort / Plus rien à faire","KO","OK"))</f>
        <v>OK</v>
      </c>
      <c r="M30" s="16">
        <v>46084.40789351852</v>
      </c>
      <c r="N30" s="16" cm="1" t="n">
        <f t="array" ref="N30">IF(OR(C30="",M30="",M30=0),"",M30)</f>
        <v>46084.40789351852</v>
      </c>
      <c r="O30" s="16">
</c>
      <c r="P30" s="16" cm="1" t="str">
        <f t="array" ref="P30">IF(C30="","",IF(OR(O30="",O30=0),"-",O30))</f>
        <v>-</v>
      </c>
      <c r="Q30" s="17">
        <v>1000000</v>
      </c>
      <c r="R30" s="17" cm="1" t="str">
        <f t="array" ref="R30">IF(C30="","",ROUND(Q30/1000000,3)&amp;" M€")</f>
        <v>1 M€</v>
      </c>
      <c r="S30" s="13" t="s">
        <v>83</v>
      </c>
      <c r="T30" s="9" cm="1" t="str">
        <f t="array" ref="T30">IF(C30="","",SUBSTITUTE(S30,"","")&amp;"%")</f>
        <v>30%</v>
      </c>
      <c r="U30" s="15" cm="1" t="str">
        <f t="array" ref="U30">IF(($N30="")*($P30=""),"",IF(($N30&lt;&gt;"")*($N30&gt;TODAY()-9)*($N30&lt;TODAY()+1)*($P30&lt;&gt;"")*($P30&gt;=TODAY())*($P30&lt;=TODAY()+13),"Semaine passée &amp; à venir",IF(($N30&lt;&gt;"")*($N30&gt;TODAY()-9)*($N30&lt;TODAY()+1),"Semaine passée",IF(($P30&lt;&gt;"")*($P30&gt;=TODAY())*($P30&lt;=TODAY()+13),"À venir","Autre"))))</f>
        <v>Autre</v>
      </c>
      <c r="V30" s="8" cm="1" t="n">
        <f t="array" ref="V30">IF(C30&lt;&gt;"",1,0)</f>
        <v>1</v>
      </c>
      <c r="W30" s="8">
</c>
      <c r="X30" s="8">
</c>
      <c r="Y30" s="8">
</c>
      <c r="Z30" s="8">
</c>
      <c r="AA30" s="8">
</c>
      <c r="AB30" s="8">
</c>
      <c r="AC30" s="8">
</c>
      <c r="AD30" s="8">
</c>
      <c r="AE30" s="8">
</c>
      <c r="AF30" s="8">
</c>
      <c r="AG30" s="8">
</c>
      <c r="AH30" s="8">
</c>
      <c r="AI30" s="8">
</c>
      <c r="AJ30" s="8">
</c>
      <c r="AK30" s="8">
</c>
    </row>
    <row r="31" ht="76.5" customHeight="1">
      <c r="A31" s="9" t="s">
        <v>23</v>
      </c>
      <c r="B31" s="9" t="s">
        <v>124</v>
      </c>
      <c r="C31" s="12" t="s">
        <v>125</v>
      </c>
      <c r="D31" s="13" t="s">
        <v>126</v>
      </c>
      <c r="E31" s="9" t="s">
        <v>80</v>
      </c>
      <c r="F31" s="8" t="s">
        <v>127</v>
      </c>
      <c r="G31" s="14" cm="1" t="str">
        <f t="array" ref="G31">IF(F31="","",SUBSTITUTE(SUBSTITUTE(SUBSTITUTE(SUBSTITUTE(F31,"&lt;li&gt;",CHAR(10)),"&lt;/li&gt;",""),"&lt;br&gt;",CHAR(10)),"&lt;strong&gt;",""))</f>
        <v>&lt;p&gt;Multiples relances et échanges (calls, mails, RDV) depuis 10/2025. RDV café 06/11, présentation fonds Audacia, intérêt pour spatial, quantique, défense. Stéphane pousse en interne, peu ouvert rétro, préfère honoraires. Dernière action&amp;nbsp;: relance invitation Rencontres Bourrienne 09/04. Prochaine étape&amp;nbsp;: suivi relance.&lt;/p&gt;</v>
      </c>
      <c r="H31" s="14" cm="1" t="str">
        <f t="array" ref="H31">IF(G31="","",SUBSTITUTE(SUBSTITUTE(SUBSTITUTE(SUBSTITUTE(SUBSTITUTE(G31,"&lt;p&gt;",""),"&lt;/p&gt;",""),"&lt;ul&gt;",""),"&lt;/ul&gt;",""),"&lt;/strong&gt;",""))</f>
        <v>Multiples relances et échanges (calls, mails, RDV) depuis 10/2025. RDV café 06/11, présentation fonds Audacia, intérêt pour spatial, quantique, défense. Stéphane pousse en interne, peu ouvert rétro, préfère honoraires. Dernière action&amp;nbsp;: relance invitation Rencontres Bourrienne 09/04. Prochaine étape&amp;nbsp;: suivi relance.</v>
      </c>
      <c r="I31" s="15" cm="1" t="str">
        <f t="array" ref="I31">IF(C31="","",IF(OR(H31="",H31=0,H31=FALSE),"-",H31))</f>
        <v>Multiples relances et échanges (calls, mails, RDV) depuis 10/2025. RDV café 06/11, présentation fonds Audacia, intérêt pour spatial, quantique, défense. Stéphane pousse en interne, peu ouvert rétro, préfère honoraires. Dernière action&amp;nbsp;: relance invitation Rencontres Bourrienne 09/04. Prochaine étape&amp;nbsp;: suivi relance.</v>
      </c>
      <c r="J31" s="8">
</c>
      <c r="K31" s="8" t="s">
        <v>88</v>
      </c>
      <c r="L31" s="9" cm="1" t="str">
        <f t="array" ref="L31">IF(C31="","",IF(K31="Mort / Plus rien à faire","KO","OK"))</f>
        <v>OK</v>
      </c>
      <c r="M31" s="16">
        <v>46113.72516203704</v>
      </c>
      <c r="N31" s="16" cm="1" t="n">
        <f t="array" ref="N31">IF(OR(C31="",M31="",M31=0),"",M31)</f>
        <v>46113.72516203704</v>
      </c>
      <c r="O31" s="16">
</c>
      <c r="P31" s="16" cm="1" t="str">
        <f t="array" ref="P31">IF(C31="","",IF(OR(O31="",O31=0),"-",O31))</f>
        <v>-</v>
      </c>
      <c r="Q31" s="17">
        <v>0</v>
      </c>
      <c r="R31" s="17" cm="1" t="str">
        <f t="array" ref="R31">IF(C31="","",ROUND(Q31/1000000,3)&amp;" M€")</f>
        <v>0 M€</v>
      </c>
      <c r="S31" s="13" t="s">
        <v>83</v>
      </c>
      <c r="T31" s="9" cm="1" t="str">
        <f t="array" ref="T31">IF(C31="","",SUBSTITUTE(S31,"","")&amp;"%")</f>
        <v>30%</v>
      </c>
      <c r="U31" s="15" cm="1" t="str">
        <f t="array" ref="U31">IF(($N31="")*($P31=""),"",IF(($N31&lt;&gt;"")*($N31&gt;TODAY()-9)*($N31&lt;TODAY()+1)*($P31&lt;&gt;"")*($P31&gt;=TODAY())*($P31&lt;=TODAY()+13),"Semaine passée &amp; à venir",IF(($N31&lt;&gt;"")*($N31&gt;TODAY()-9)*($N31&lt;TODAY()+1),"Semaine passée",IF(($P31&lt;&gt;"")*($P31&gt;=TODAY())*($P31&lt;=TODAY()+13),"À venir","Autre"))))</f>
        <v>Semaine passée</v>
      </c>
      <c r="V31" s="8" cm="1" t="n">
        <f t="array" ref="V31">IF(C31&lt;&gt;"",1,0)</f>
        <v>1</v>
      </c>
      <c r="W31" s="8">
</c>
      <c r="X31" s="8">
</c>
      <c r="Y31" s="8">
</c>
      <c r="Z31" s="8">
</c>
      <c r="AA31" s="8">
</c>
      <c r="AB31" s="8">
</c>
      <c r="AC31" s="8">
</c>
      <c r="AD31" s="8">
</c>
      <c r="AE31" s="8">
</c>
      <c r="AF31" s="8">
</c>
      <c r="AG31" s="8">
</c>
      <c r="AH31" s="8">
</c>
      <c r="AI31" s="8">
</c>
      <c r="AJ31" s="8">
</c>
      <c r="AK31" s="8">
</c>
    </row>
    <row r="32" ht="76.5" customHeight="1">
      <c r="A32" s="9" t="s">
        <v>23</v>
      </c>
      <c r="B32" s="9" t="s">
        <v>32</v>
      </c>
      <c r="C32" s="12" t="s">
        <v>128</v>
      </c>
      <c r="D32" s="13" t="s">
        <v>129</v>
      </c>
      <c r="E32" s="9" t="s">
        <v>27</v>
      </c>
      <c r="F32" s="8" t="s">
        <v>130</v>
      </c>
      <c r="G32" s="14" cm="1" t="str">
        <f t="array" ref="G32">IF(F32="","",SUBSTITUTE(SUBSTITUTE(SUBSTITUTE(SUBSTITUTE(F32,"&lt;li&gt;",CHAR(10)),"&lt;/li&gt;",""),"&lt;br&gt;",CHAR(10)),"&lt;strong&gt;",""))</f>
        <v>&lt;p&gt;Relance mail 12/02/2026 pour connaître stratégie d'investissement, focus PE non cotés souveraineté. Aucun retour ni activité récente. Piste créée pour équipe Ventes. Pas d'autres échanges, notes ou actions récentes. Prochaine étape : attente réponse prospect sur stratégie.&lt;/p&gt;</v>
      </c>
      <c r="H32" s="14" cm="1" t="str">
        <f t="array" ref="H32">IF(G32="","",SUBSTITUTE(SUBSTITUTE(SUBSTITUTE(SUBSTITUTE(SUBSTITUTE(G32,"&lt;p&gt;",""),"&lt;/p&gt;",""),"&lt;ul&gt;",""),"&lt;/ul&gt;",""),"&lt;/strong&gt;",""))</f>
        <v>Relance mail 12/02/2026 pour connaître stratégie d'investissement, focus PE non cotés souveraineté. Aucun retour ni activité récente. Piste créée pour équipe Ventes. Pas d'autres échanges, notes ou actions récentes. Prochaine étape : attente réponse prospect sur stratégie.</v>
      </c>
      <c r="I32" s="15" cm="1" t="str">
        <f t="array" ref="I32">IF(C32="","",IF(OR(H32="",H32=0,H32=FALSE),"-",H32))</f>
        <v>Relance mail 12/02/2026 pour connaître stratégie d'investissement, focus PE non cotés souveraineté. Aucun retour ni activité récente. Piste créée pour équipe Ventes. Pas d'autres échanges, notes ou actions récentes. Prochaine étape : attente réponse prospect sur stratégie.</v>
      </c>
      <c r="J32" s="8">
</c>
      <c r="K32" s="8" t="s">
        <v>45</v>
      </c>
      <c r="L32" s="9" cm="1" t="str">
        <f t="array" ref="L32">IF(C32="","",IF(K32="Mort / Plus rien à faire","KO","OK"))</f>
        <v>OK</v>
      </c>
      <c r="M32" s="16">
        <v>46069.41122685185</v>
      </c>
      <c r="N32" s="16" cm="1" t="n">
        <f t="array" ref="N32">IF(OR(C32="",M32="",M32=0),"",M32)</f>
        <v>46069.41122685185</v>
      </c>
      <c r="O32" s="16">
</c>
      <c r="P32" s="16" cm="1" t="str">
        <f t="array" ref="P32">IF(C32="","",IF(OR(O32="",O32=0),"-",O32))</f>
        <v>-</v>
      </c>
      <c r="Q32" s="17">
        <v>0</v>
      </c>
      <c r="R32" s="17" cm="1" t="str">
        <f t="array" ref="R32">IF(C32="","",ROUND(Q32/1000000,3)&amp;" M€")</f>
        <v>0 M€</v>
      </c>
      <c r="S32" s="13" t="s">
        <v>131</v>
      </c>
      <c r="T32" s="9" cm="1" t="str">
        <f t="array" ref="T32">IF(C32="","",SUBSTITUTE(S32,"","")&amp;"%")</f>
        <v>20%</v>
      </c>
      <c r="U32" s="15" cm="1" t="str">
        <f t="array" ref="U32">IF(($N32="")*($P32=""),"",IF(($N32&lt;&gt;"")*($N32&gt;TODAY()-9)*($N32&lt;TODAY()+1)*($P32&lt;&gt;"")*($P32&gt;=TODAY())*($P32&lt;=TODAY()+13),"Semaine passée &amp; à venir",IF(($N32&lt;&gt;"")*($N32&gt;TODAY()-9)*($N32&lt;TODAY()+1),"Semaine passée",IF(($P32&lt;&gt;"")*($P32&gt;=TODAY())*($P32&lt;=TODAY()+13),"À venir","Autre"))))</f>
        <v>Autre</v>
      </c>
      <c r="V32" s="8" cm="1" t="n">
        <f t="array" ref="V32">IF(C32&lt;&gt;"",1,0)</f>
        <v>1</v>
      </c>
      <c r="W32" s="8">
</c>
      <c r="X32" s="8">
</c>
      <c r="Y32" s="8">
</c>
      <c r="Z32" s="8">
</c>
      <c r="AA32" s="8">
</c>
      <c r="AB32" s="8">
</c>
      <c r="AC32" s="8">
</c>
      <c r="AD32" s="8">
</c>
      <c r="AE32" s="8">
</c>
      <c r="AF32" s="8">
</c>
      <c r="AG32" s="8">
</c>
      <c r="AH32" s="8">
</c>
      <c r="AI32" s="8">
</c>
      <c r="AJ32" s="8">
</c>
      <c r="AK32" s="8">
</c>
    </row>
    <row r="33" ht="76.5" customHeight="1">
      <c r="A33" s="9" t="s">
        <v>23</v>
      </c>
      <c r="B33" s="9" t="s">
        <v>32</v>
      </c>
      <c r="C33" s="12" t="s">
        <v>132</v>
      </c>
      <c r="D33" s="13" t="s">
        <v>133</v>
      </c>
      <c r="E33" s="9" t="s">
        <v>27</v>
      </c>
      <c r="F33" s="8" t="s">
        <v>134</v>
      </c>
      <c r="G33" s="14" cm="1" t="str">
        <f t="array" ref="G33">IF(F33="","",SUBSTITUTE(SUBSTITUTE(SUBSTITUTE(SUBSTITUTE(F33,"&lt;li&gt;",CHAR(10)),"&lt;/li&gt;",""),"&lt;br&gt;",CHAR(10)),"&lt;strong&gt;",""))</f>
        <v>&lt;p&gt;05/02: UmR discute fonds défense, CA impliqué, administrateurs Éducation nationale, principe OK pour 2 petits tickets. 3 fonds en lice: EMERGENCE (growth majo), AUDACIA/NewAlpha (mino), fonds dettes (pas SIENNA IM), Weinberg fermé. RDV en cours avec Liez Arezky, interviews à lancer. Pas d'autres actions récentes.&lt;/p&gt;</v>
      </c>
      <c r="H33" s="14" cm="1" t="str">
        <f t="array" ref="H33">IF(G33="","",SUBSTITUTE(SUBSTITUTE(SUBSTITUTE(SUBSTITUTE(SUBSTITUTE(G33,"&lt;p&gt;",""),"&lt;/p&gt;",""),"&lt;ul&gt;",""),"&lt;/ul&gt;",""),"&lt;/strong&gt;",""))</f>
        <v>05/02: UmR discute fonds défense, CA impliqué, administrateurs Éducation nationale, principe OK pour 2 petits tickets. 3 fonds en lice: EMERGENCE (growth majo), AUDACIA/NewAlpha (mino), fonds dettes (pas SIENNA IM), Weinberg fermé. RDV en cours avec Liez Arezky, interviews à lancer. Pas d'autres actions récentes.</v>
      </c>
      <c r="I33" s="15" cm="1" t="str">
        <f t="array" ref="I33">IF(C33="","",IF(OR(H33="",H33=0,H33=FALSE),"-",H33))</f>
        <v>05/02: UmR discute fonds défense, CA impliqué, administrateurs Éducation nationale, principe OK pour 2 petits tickets. 3 fonds en lice: EMERGENCE (growth majo), AUDACIA/NewAlpha (mino), fonds dettes (pas SIENNA IM), Weinberg fermé. RDV en cours avec Liez Arezky, interviews à lancer. Pas d'autres actions récentes.</v>
      </c>
      <c r="J33" s="8">
</c>
      <c r="K33" s="8" t="s">
        <v>45</v>
      </c>
      <c r="L33" s="9" cm="1" t="str">
        <f t="array" ref="L33">IF(C33="","",IF(K33="Mort / Plus rien à faire","KO","OK"))</f>
        <v>OK</v>
      </c>
      <c r="M33" s="16">
        <v>46064.430497685185</v>
      </c>
      <c r="N33" s="16" cm="1" t="n">
        <f t="array" ref="N33">IF(OR(C33="",M33="",M33=0),"",M33)</f>
        <v>46064.430497685185</v>
      </c>
      <c r="O33" s="16">
</c>
      <c r="P33" s="16" cm="1" t="str">
        <f t="array" ref="P33">IF(C33="","",IF(OR(O33="",O33=0),"-",O33))</f>
        <v>-</v>
      </c>
      <c r="Q33" s="17">
        <v>3000000</v>
      </c>
      <c r="R33" s="17" cm="1" t="str">
        <f t="array" ref="R33">IF(C33="","",ROUND(Q33/1000000,3)&amp;" M€")</f>
        <v>3 M€</v>
      </c>
      <c r="S33" s="13" t="s">
        <v>131</v>
      </c>
      <c r="T33" s="9" cm="1" t="str">
        <f t="array" ref="T33">IF(C33="","",SUBSTITUTE(S33,"","")&amp;"%")</f>
        <v>20%</v>
      </c>
      <c r="U33" s="15" cm="1" t="str">
        <f t="array" ref="U33">IF(($N33="")*($P33=""),"",IF(($N33&lt;&gt;"")*($N33&gt;TODAY()-9)*($N33&lt;TODAY()+1)*($P33&lt;&gt;"")*($P33&gt;=TODAY())*($P33&lt;=TODAY()+13),"Semaine passée &amp; à venir",IF(($N33&lt;&gt;"")*($N33&gt;TODAY()-9)*($N33&lt;TODAY()+1),"Semaine passée",IF(($P33&lt;&gt;"")*($P33&gt;=TODAY())*($P33&lt;=TODAY()+13),"À venir","Autre"))))</f>
        <v>Autre</v>
      </c>
      <c r="V33" s="8" cm="1" t="n">
        <f t="array" ref="V33">IF(C33&lt;&gt;"",1,0)</f>
        <v>1</v>
      </c>
      <c r="W33" s="8">
</c>
      <c r="X33" s="8">
</c>
      <c r="Y33" s="8">
</c>
      <c r="Z33" s="8">
</c>
      <c r="AA33" s="8">
</c>
      <c r="AB33" s="8">
</c>
      <c r="AC33" s="8">
</c>
      <c r="AD33" s="8">
</c>
      <c r="AE33" s="8">
</c>
      <c r="AF33" s="8">
</c>
      <c r="AG33" s="8">
</c>
      <c r="AH33" s="8">
</c>
      <c r="AI33" s="8">
</c>
      <c r="AJ33" s="8">
</c>
      <c r="AK33" s="8">
</c>
    </row>
    <row r="34" ht="76.5" customHeight="1">
      <c r="A34" s="9" t="s">
        <v>23</v>
      </c>
      <c r="B34" s="9" t="s">
        <v>77</v>
      </c>
      <c r="C34" s="12" t="s">
        <v>135</v>
      </c>
      <c r="D34" s="13" t="s">
        <v>136</v>
      </c>
      <c r="E34" s="9" t="s">
        <v>54</v>
      </c>
      <c r="F34" s="8" t="s">
        <v>137</v>
      </c>
      <c r="G34" s="14" cm="1" t="str">
        <f t="array" ref="G34">IF(F34="","",SUBSTITUTE(SUBSTITUTE(SUBSTITUTE(SUBSTITUTE(F34,"&lt;li&gt;",CHAR(10)),"&lt;/li&gt;",""),"&lt;br&gt;",CHAR(10)),"&lt;strong&gt;",""))</f>
        <v>&lt;p&gt;09/02: Point PTF C2 avec Thomas. Lead enrichissement impossible (email invalide). Nouvelle piste créée pour équipe Ventes. Pas d'autres activités ou prochaines étapes renseignées. Aucun retour prospect sur fonds ni conclusion mentionnée.&lt;/p&gt;</v>
      </c>
      <c r="H34" s="14" cm="1" t="str">
        <f t="array" ref="H34">IF(G34="","",SUBSTITUTE(SUBSTITUTE(SUBSTITUTE(SUBSTITUTE(SUBSTITUTE(G34,"&lt;p&gt;",""),"&lt;/p&gt;",""),"&lt;ul&gt;",""),"&lt;/ul&gt;",""),"&lt;/strong&gt;",""))</f>
        <v>09/02: Point PTF C2 avec Thomas. Lead enrichissement impossible (email invalide). Nouvelle piste créée pour équipe Ventes. Pas d'autres activités ou prochaines étapes renseignées. Aucun retour prospect sur fonds ni conclusion mentionnée.</v>
      </c>
      <c r="I34" s="15" cm="1" t="str">
        <f t="array" ref="I34">IF(C34="","",IF(OR(H34="",H34=0,H34=FALSE),"-",H34))</f>
        <v>09/02: Point PTF C2 avec Thomas. Lead enrichissement impossible (email invalide). Nouvelle piste créée pour équipe Ventes. Pas d'autres activités ou prochaines étapes renseignées. Aucun retour prospect sur fonds ni conclusion mentionnée.</v>
      </c>
      <c r="J34" s="8">
</c>
      <c r="K34" s="8" t="s">
        <v>45</v>
      </c>
      <c r="L34" s="9" cm="1" t="str">
        <f t="array" ref="L34">IF(C34="","",IF(K34="Mort / Plus rien à faire","KO","OK"))</f>
        <v>OK</v>
      </c>
      <c r="M34" s="16">
        <v>46063.59113425926</v>
      </c>
      <c r="N34" s="16" cm="1" t="n">
        <f t="array" ref="N34">IF(OR(C34="",M34="",M34=0),"",M34)</f>
        <v>46063.59113425926</v>
      </c>
      <c r="O34" s="16">
</c>
      <c r="P34" s="16" cm="1" t="str">
        <f t="array" ref="P34">IF(C34="","",IF(OR(O34="",O34=0),"-",O34))</f>
        <v>-</v>
      </c>
      <c r="Q34" s="17">
        <v>0</v>
      </c>
      <c r="R34" s="17" cm="1" t="str">
        <f t="array" ref="R34">IF(C34="","",ROUND(Q34/1000000,3)&amp;" M€")</f>
        <v>0 M€</v>
      </c>
      <c r="S34" s="13" t="s">
        <v>131</v>
      </c>
      <c r="T34" s="9" cm="1" t="str">
        <f t="array" ref="T34">IF(C34="","",SUBSTITUTE(S34,"","")&amp;"%")</f>
        <v>20%</v>
      </c>
      <c r="U34" s="15" cm="1" t="str">
        <f t="array" ref="U34">IF(($N34="")*($P34=""),"",IF(($N34&lt;&gt;"")*($N34&gt;TODAY()-9)*($N34&lt;TODAY()+1)*($P34&lt;&gt;"")*($P34&gt;=TODAY())*($P34&lt;=TODAY()+13),"Semaine passée &amp; à venir",IF(($N34&lt;&gt;"")*($N34&gt;TODAY()-9)*($N34&lt;TODAY()+1),"Semaine passée",IF(($P34&lt;&gt;"")*($P34&gt;=TODAY())*($P34&lt;=TODAY()+13),"À venir","Autre"))))</f>
        <v>Autre</v>
      </c>
      <c r="V34" s="8" cm="1" t="n">
        <f t="array" ref="V34">IF(C34&lt;&gt;"",1,0)</f>
        <v>1</v>
      </c>
      <c r="W34" s="8">
</c>
      <c r="X34" s="8">
</c>
      <c r="Y34" s="8">
</c>
      <c r="Z34" s="8">
</c>
      <c r="AA34" s="8">
</c>
      <c r="AB34" s="8">
</c>
      <c r="AC34" s="8">
</c>
      <c r="AD34" s="8">
</c>
      <c r="AE34" s="8">
</c>
      <c r="AF34" s="8">
</c>
      <c r="AG34" s="8">
</c>
      <c r="AH34" s="8">
</c>
      <c r="AI34" s="8">
</c>
      <c r="AJ34" s="8">
</c>
      <c r="AK34" s="8">
</c>
    </row>
    <row r="35" ht="76.5" customHeight="1">
      <c r="A35" s="9" t="s">
        <v>23</v>
      </c>
      <c r="B35" s="9" t="s">
        <v>51</v>
      </c>
      <c r="C35" s="12" t="s">
        <v>138</v>
      </c>
      <c r="D35" s="13" t="s">
        <v>139</v>
      </c>
      <c r="E35" s="9" t="s">
        <v>54</v>
      </c>
      <c r="F35" s="8" t="s">
        <v>140</v>
      </c>
      <c r="G35" s="14" cm="1" t="str">
        <f t="array" ref="G35">IF(F35="","",SUBSTITUTE(SUBSTITUTE(SUBSTITUTE(SUBSTITUTE(F35,"&lt;li&gt;",CHAR(10)),"&lt;/li&gt;",""),"&lt;br&gt;",CHAR(10)),"&lt;strong&gt;",""))</f>
        <v>&lt;p&gt;05/02/2026&amp;nbsp;: Actus et ak en cours, client potentiellement intéressé, attente confirmation pour fixer rencontre avec Charles. Lead créé pour équipe Ventes, tentative d'enrichissement impossible (email non valide). Prochaine étape&amp;nbsp;: retour client pour RDV.&lt;/p&gt;</v>
      </c>
      <c r="H35" s="14" cm="1" t="str">
        <f t="array" ref="H35">IF(G35="","",SUBSTITUTE(SUBSTITUTE(SUBSTITUTE(SUBSTITUTE(SUBSTITUTE(G35,"&lt;p&gt;",""),"&lt;/p&gt;",""),"&lt;ul&gt;",""),"&lt;/ul&gt;",""),"&lt;/strong&gt;",""))</f>
        <v>05/02/2026&amp;nbsp;: Actus et ak en cours, client potentiellement intéressé, attente confirmation pour fixer rencontre avec Charles. Lead créé pour équipe Ventes, tentative d'enrichissement impossible (email non valide). Prochaine étape&amp;nbsp;: retour client pour RDV.</v>
      </c>
      <c r="I35" s="15" cm="1" t="str">
        <f t="array" ref="I35">IF(C35="","",IF(OR(H35="",H35=0,H35=FALSE),"-",H35))</f>
        <v>05/02/2026&amp;nbsp;: Actus et ak en cours, client potentiellement intéressé, attente confirmation pour fixer rencontre avec Charles. Lead créé pour équipe Ventes, tentative d'enrichissement impossible (email non valide). Prochaine étape&amp;nbsp;: retour client pour RDV.</v>
      </c>
      <c r="J35" s="8">
</c>
      <c r="K35" s="8" t="s">
        <v>45</v>
      </c>
      <c r="L35" s="9" cm="1" t="str">
        <f t="array" ref="L35">IF(C35="","",IF(K35="Mort / Plus rien à faire","KO","OK"))</f>
        <v>OK</v>
      </c>
      <c r="M35" s="16">
        <v>46063.515497685185</v>
      </c>
      <c r="N35" s="16" cm="1" t="n">
        <f t="array" ref="N35">IF(OR(C35="",M35="",M35=0),"",M35)</f>
        <v>46063.515497685185</v>
      </c>
      <c r="O35" s="16">
</c>
      <c r="P35" s="16" cm="1" t="str">
        <f t="array" ref="P35">IF(C35="","",IF(OR(O35="",O35=0),"-",O35))</f>
        <v>-</v>
      </c>
      <c r="Q35" s="17">
        <v>0</v>
      </c>
      <c r="R35" s="17" cm="1" t="str">
        <f t="array" ref="R35">IF(C35="","",ROUND(Q35/1000000,3)&amp;" M€")</f>
        <v>0 M€</v>
      </c>
      <c r="S35" s="13" t="s">
        <v>131</v>
      </c>
      <c r="T35" s="9" cm="1" t="str">
        <f t="array" ref="T35">IF(C35="","",SUBSTITUTE(S35,"","")&amp;"%")</f>
        <v>20%</v>
      </c>
      <c r="U35" s="15" cm="1" t="str">
        <f t="array" ref="U35">IF(($N35="")*($P35=""),"",IF(($N35&lt;&gt;"")*($N35&gt;TODAY()-9)*($N35&lt;TODAY()+1)*($P35&lt;&gt;"")*($P35&gt;=TODAY())*($P35&lt;=TODAY()+13),"Semaine passée &amp; à venir",IF(($N35&lt;&gt;"")*($N35&gt;TODAY()-9)*($N35&lt;TODAY()+1),"Semaine passée",IF(($P35&lt;&gt;"")*($P35&gt;=TODAY())*($P35&lt;=TODAY()+13),"À venir","Autre"))))</f>
        <v>Autre</v>
      </c>
      <c r="V35" s="8" cm="1" t="n">
        <f t="array" ref="V35">IF(C35&lt;&gt;"",1,0)</f>
        <v>1</v>
      </c>
      <c r="W35" s="8">
</c>
      <c r="X35" s="8">
</c>
      <c r="Y35" s="8">
</c>
      <c r="Z35" s="8">
</c>
      <c r="AA35" s="8">
</c>
      <c r="AB35" s="8">
</c>
      <c r="AC35" s="8">
</c>
      <c r="AD35" s="8">
</c>
      <c r="AE35" s="8">
</c>
      <c r="AF35" s="8">
</c>
      <c r="AG35" s="8">
</c>
      <c r="AH35" s="8">
</c>
      <c r="AI35" s="8">
</c>
      <c r="AJ35" s="8">
</c>
      <c r="AK35" s="8">
</c>
    </row>
    <row r="36" ht="76.5" customHeight="1">
      <c r="A36" s="9" t="s">
        <v>23</v>
      </c>
      <c r="B36" s="9" t="s">
        <v>32</v>
      </c>
      <c r="C36" s="12" t="s">
        <v>141</v>
      </c>
      <c r="D36" s="13" t="s">
        <v>142</v>
      </c>
      <c r="E36" s="9" t="s">
        <v>27</v>
      </c>
      <c r="F36" s="8" t="s">
        <v>143</v>
      </c>
      <c r="G36" s="14" cm="1" t="str">
        <f t="array" ref="G36">IF(F36="","",SUBSTITUTE(SUBSTITUTE(SUBSTITUTE(SUBSTITUTE(F36,"&lt;li&gt;",CHAR(10)),"&lt;/li&gt;",""),"&lt;br&gt;",CHAR(10)),"&lt;strong&gt;",""))</f>
        <v>&lt;p&gt;RDV fait avec Emmanuelle Cales (AGPM) : nettoyage lancé, vente d’actions cotées, marge retrouvée en PE. Deck envoyé, suivi sur levées/investissements. Tickets envisagés 2026 : Straton 5-10M€, gros ticket &amp;gt;20M€ (ADIT ?). Concurrence présente. Prochaine étape : point d’actu Straton, besoin de temps, deadline 27/03/2026.&lt;/p&gt;</v>
      </c>
      <c r="H36" s="14" cm="1" t="str">
        <f t="array" ref="H36">IF(G36="","",SUBSTITUTE(SUBSTITUTE(SUBSTITUTE(SUBSTITUTE(SUBSTITUTE(G36,"&lt;p&gt;",""),"&lt;/p&gt;",""),"&lt;ul&gt;",""),"&lt;/ul&gt;",""),"&lt;/strong&gt;",""))</f>
        <v>RDV fait avec Emmanuelle Cales (AGPM) : nettoyage lancé, vente d’actions cotées, marge retrouvée en PE. Deck envoyé, suivi sur levées/investissements. Tickets envisagés 2026 : Straton 5-10M€, gros ticket &amp;gt;20M€ (ADIT ?). Concurrence présente. Prochaine étape : point d’actu Straton, besoin de temps, deadline 27/03/2026.</v>
      </c>
      <c r="I36" s="15" cm="1" t="str">
        <f t="array" ref="I36">IF(C36="","",IF(OR(H36="",H36=0,H36=FALSE),"-",H36))</f>
        <v>RDV fait avec Emmanuelle Cales (AGPM) : nettoyage lancé, vente d’actions cotées, marge retrouvée en PE. Deck envoyé, suivi sur levées/investissements. Tickets envisagés 2026 : Straton 5-10M€, gros ticket &amp;gt;20M€ (ADIT ?). Concurrence présente. Prochaine étape : point d’actu Straton, besoin de temps, deadline 27/03/2026.</v>
      </c>
      <c r="J36" s="8" t="s">
        <v>144</v>
      </c>
      <c r="K36" s="8" t="s">
        <v>45</v>
      </c>
      <c r="L36" s="9" cm="1" t="str">
        <f t="array" ref="L36">IF(C36="","",IF(K36="Mort / Plus rien à faire","KO","OK"))</f>
        <v>OK</v>
      </c>
      <c r="M36" s="16">
        <v>46085.706979166665</v>
      </c>
      <c r="N36" s="16" cm="1" t="n">
        <f t="array" ref="N36">IF(OR(C36="",M36="",M36=0),"",M36)</f>
        <v>46085.706979166665</v>
      </c>
      <c r="O36" s="16">
</c>
      <c r="P36" s="16" cm="1" t="str">
        <f t="array" ref="P36">IF(C36="","",IF(OR(O36="",O36=0),"-",O36))</f>
        <v>-</v>
      </c>
      <c r="Q36" s="17">
        <v>5000000</v>
      </c>
      <c r="R36" s="17" cm="1" t="str">
        <f t="array" ref="R36">IF(C36="","",ROUND(Q36/1000000,3)&amp;" M€")</f>
        <v>5 M€</v>
      </c>
      <c r="S36" s="13" t="s">
        <v>131</v>
      </c>
      <c r="T36" s="9" cm="1" t="str">
        <f t="array" ref="T36">IF(C36="","",SUBSTITUTE(S36,"","")&amp;"%")</f>
        <v>20%</v>
      </c>
      <c r="U36" s="15" cm="1" t="str">
        <f t="array" ref="U36">IF(($N36="")*($P36=""),"",IF(($N36&lt;&gt;"")*($N36&gt;TODAY()-9)*($N36&lt;TODAY()+1)*($P36&lt;&gt;"")*($P36&gt;=TODAY())*($P36&lt;=TODAY()+13),"Semaine passée &amp; à venir",IF(($N36&lt;&gt;"")*($N36&gt;TODAY()-9)*($N36&lt;TODAY()+1),"Semaine passée",IF(($P36&lt;&gt;"")*($P36&gt;=TODAY())*($P36&lt;=TODAY()+13),"À venir","Autre"))))</f>
        <v>Autre</v>
      </c>
      <c r="V36" s="8" cm="1" t="n">
        <f t="array" ref="V36">IF(C36&lt;&gt;"",1,0)</f>
        <v>1</v>
      </c>
      <c r="W36" s="8">
</c>
      <c r="X36" s="8">
</c>
      <c r="Y36" s="8">
</c>
      <c r="Z36" s="8">
</c>
      <c r="AA36" s="8">
</c>
      <c r="AB36" s="8">
</c>
      <c r="AC36" s="8">
</c>
      <c r="AD36" s="8">
</c>
      <c r="AE36" s="8">
</c>
      <c r="AF36" s="8">
</c>
      <c r="AG36" s="8">
</c>
      <c r="AH36" s="8">
</c>
      <c r="AI36" s="8">
</c>
      <c r="AJ36" s="8">
</c>
      <c r="AK36" s="8">
</c>
    </row>
    <row r="37" ht="76.5" customHeight="1">
      <c r="A37" s="9" t="s">
        <v>23</v>
      </c>
      <c r="B37" s="9" t="s">
        <v>84</v>
      </c>
      <c r="C37" s="12" t="s">
        <v>145</v>
      </c>
      <c r="D37" s="13" t="s">
        <v>146</v>
      </c>
      <c r="E37" s="9" t="s">
        <v>54</v>
      </c>
      <c r="F37" s="8" t="s">
        <v>147</v>
      </c>
      <c r="G37" s="14" cm="1" t="str">
        <f t="array" ref="G37">IF(F37="","",SUBSTITUTE(SUBSTITUTE(SUBSTITUTE(SUBSTITUTE(F37,"&lt;li&gt;",CHAR(10)),"&lt;/li&gt;",""),"&lt;br&gt;",CHAR(10)),"&lt;strong&gt;",""))</f>
        <v>&lt;p&gt;Accord de partenariat Audacia pour fonds remploi, conditions financières à préparer. Intérêt fort confirmé par le prospect pour diversification/remploi, cabinet réalise screening complet avant signature. Dernière action&amp;nbsp;: message laissé pour suivi avancement convention partenaires. Prochaine étape&amp;nbsp;: retour attendu.&lt;/p&gt;</v>
      </c>
      <c r="H37" s="14" cm="1" t="str">
        <f t="array" ref="H37">IF(G37="","",SUBSTITUTE(SUBSTITUTE(SUBSTITUTE(SUBSTITUTE(SUBSTITUTE(G37,"&lt;p&gt;",""),"&lt;/p&gt;",""),"&lt;ul&gt;",""),"&lt;/ul&gt;",""),"&lt;/strong&gt;",""))</f>
        <v>Accord de partenariat Audacia pour fonds remploi, conditions financières à préparer. Intérêt fort confirmé par le prospect pour diversification/remploi, cabinet réalise screening complet avant signature. Dernière action&amp;nbsp;: message laissé pour suivi avancement convention partenaires. Prochaine étape&amp;nbsp;: retour attendu.</v>
      </c>
      <c r="I37" s="15" cm="1" t="str">
        <f t="array" ref="I37">IF(C37="","",IF(OR(H37="",H37=0,H37=FALSE),"-",H37))</f>
        <v>Accord de partenariat Audacia pour fonds remploi, conditions financières à préparer. Intérêt fort confirmé par le prospect pour diversification/remploi, cabinet réalise screening complet avant signature. Dernière action&amp;nbsp;: message laissé pour suivi avancement convention partenaires. Prochaine étape&amp;nbsp;: retour attendu.</v>
      </c>
      <c r="J37" s="8">
</c>
      <c r="K37" s="8" t="s">
        <v>45</v>
      </c>
      <c r="L37" s="9" cm="1" t="str">
        <f t="array" ref="L37">IF(C37="","",IF(K37="Mort / Plus rien à faire","KO","OK"))</f>
        <v>OK</v>
      </c>
      <c r="M37" s="16">
        <v>46108.696238425924</v>
      </c>
      <c r="N37" s="16" cm="1" t="n">
        <f t="array" ref="N37">IF(OR(C37="",M37="",M37=0),"",M37)</f>
        <v>46108.696238425924</v>
      </c>
      <c r="O37" s="16">
</c>
      <c r="P37" s="16" cm="1" t="str">
        <f t="array" ref="P37">IF(C37="","",IF(OR(O37="",O37=0),"-",O37))</f>
        <v>-</v>
      </c>
      <c r="Q37" s="17">
        <v>0</v>
      </c>
      <c r="R37" s="17" cm="1" t="str">
        <f t="array" ref="R37">IF(C37="","",ROUND(Q37/1000000,3)&amp;" M€")</f>
        <v>0 M€</v>
      </c>
      <c r="S37" s="13" t="s">
        <v>131</v>
      </c>
      <c r="T37" s="9" cm="1" t="str">
        <f t="array" ref="T37">IF(C37="","",SUBSTITUTE(S37,"","")&amp;"%")</f>
        <v>20%</v>
      </c>
      <c r="U37" s="15" cm="1" t="str">
        <f t="array" ref="U37">IF(($N37="")*($P37=""),"",IF(($N37&lt;&gt;"")*($N37&gt;TODAY()-9)*($N37&lt;TODAY()+1)*($P37&lt;&gt;"")*($P37&gt;=TODAY())*($P37&lt;=TODAY()+13),"Semaine passée &amp; à venir",IF(($N37&lt;&gt;"")*($N37&gt;TODAY()-9)*($N37&lt;TODAY()+1),"Semaine passée",IF(($P37&lt;&gt;"")*($P37&gt;=TODAY())*($P37&lt;=TODAY()+13),"À venir","Autre"))))</f>
        <v>Semaine passée</v>
      </c>
      <c r="V37" s="8" cm="1" t="n">
        <f t="array" ref="V37">IF(C37&lt;&gt;"",1,0)</f>
        <v>1</v>
      </c>
      <c r="W37" s="8">
</c>
      <c r="X37" s="8">
</c>
      <c r="Y37" s="8">
</c>
      <c r="Z37" s="8">
</c>
      <c r="AA37" s="8">
</c>
      <c r="AB37" s="8">
</c>
      <c r="AC37" s="8">
</c>
      <c r="AD37" s="8">
</c>
      <c r="AE37" s="8">
</c>
      <c r="AF37" s="8">
</c>
      <c r="AG37" s="8">
</c>
      <c r="AH37" s="8">
</c>
      <c r="AI37" s="8">
</c>
      <c r="AJ37" s="8">
</c>
      <c r="AK37" s="8">
</c>
    </row>
    <row r="38" ht="76.5" customHeight="1">
      <c r="A38" s="9" t="s">
        <v>23</v>
      </c>
      <c r="B38" s="9" t="s">
        <v>107</v>
      </c>
      <c r="C38" s="12" t="s">
        <v>148</v>
      </c>
      <c r="D38" s="13" t="s">
        <v>149</v>
      </c>
      <c r="E38" s="9" t="s">
        <v>27</v>
      </c>
      <c r="F38" s="8" t="s">
        <v>150</v>
      </c>
      <c r="G38" s="14" cm="1" t="str">
        <f t="array" ref="G38">IF(F38="","",SUBSTITUTE(SUBSTITUTE(SUBSTITUTE(SUBSTITUTE(F38,"&lt;li&gt;",CHAR(10)),"&lt;/li&gt;",""),"&lt;br&gt;",CHAR(10)),"&lt;strong&gt;",""))</f>
        <v>&lt;p&gt;RDV 7/01 avec CRCA Centre France (Didier Ramond). Présentation fonds dédié 6/03, attente retour qualifié CRCA depuis 17/03. Relances faites, pas de réponse à ce jour. CRCA veut co-investir, focus capdev/innovation, intérêt BITD/défense, réflexion fonds d'ancrage. Prochaine étape : retour CRCA.&lt;/p&gt;</v>
      </c>
      <c r="H38" s="14" cm="1" t="str">
        <f t="array" ref="H38">IF(G38="","",SUBSTITUTE(SUBSTITUTE(SUBSTITUTE(SUBSTITUTE(SUBSTITUTE(G38,"&lt;p&gt;",""),"&lt;/p&gt;",""),"&lt;ul&gt;",""),"&lt;/ul&gt;",""),"&lt;/strong&gt;",""))</f>
        <v>RDV 7/01 avec CRCA Centre France (Didier Ramond). Présentation fonds dédié 6/03, attente retour qualifié CRCA depuis 17/03. Relances faites, pas de réponse à ce jour. CRCA veut co-investir, focus capdev/innovation, intérêt BITD/défense, réflexion fonds d'ancrage. Prochaine étape : retour CRCA.</v>
      </c>
      <c r="I38" s="15" cm="1" t="str">
        <f t="array" ref="I38">IF(C38="","",IF(OR(H38="",H38=0,H38=FALSE),"-",H38))</f>
        <v>RDV 7/01 avec CRCA Centre France (Didier Ramond). Présentation fonds dédié 6/03, attente retour qualifié CRCA depuis 17/03. Relances faites, pas de réponse à ce jour. CRCA veut co-investir, focus capdev/innovation, intérêt BITD/défense, réflexion fonds d'ancrage. Prochaine étape : retour CRCA.</v>
      </c>
      <c r="J38" s="8" t="s">
        <v>151</v>
      </c>
      <c r="K38" s="8" t="s">
        <v>88</v>
      </c>
      <c r="L38" s="9" cm="1" t="str">
        <f t="array" ref="L38">IF(C38="","",IF(K38="Mort / Plus rien à faire","KO","OK"))</f>
        <v>OK</v>
      </c>
      <c r="M38" s="16">
        <v>46114.699212962965</v>
      </c>
      <c r="N38" s="16" cm="1" t="n">
        <f t="array" ref="N38">IF(OR(C38="",M38="",M38=0),"",M38)</f>
        <v>46114.699212962965</v>
      </c>
      <c r="O38" s="16">
        <v>46119.083333333336</v>
      </c>
      <c r="P38" s="16" cm="1" t="n">
        <f t="array" ref="P38">IF(C38="","",IF(OR(O38="",O38=0),"-",O38))</f>
        <v>46119.083333333336</v>
      </c>
      <c r="Q38" s="17">
        <v>2000000</v>
      </c>
      <c r="R38" s="17" cm="1" t="str">
        <f t="array" ref="R38">IF(C38="","",ROUND(Q38/1000000,3)&amp;" M€")</f>
        <v>2 M€</v>
      </c>
      <c r="S38" s="13" t="s">
        <v>131</v>
      </c>
      <c r="T38" s="9" cm="1" t="str">
        <f t="array" ref="T38">IF(C38="","",SUBSTITUTE(S38,"","")&amp;"%")</f>
        <v>20%</v>
      </c>
      <c r="U38" s="15" cm="1" t="str">
        <f t="array" ref="U38">IF(($N38="")*($P38=""),"",IF(($N38&lt;&gt;"")*($N38&gt;TODAY()-9)*($N38&lt;TODAY()+1)*($P38&lt;&gt;"")*($P38&gt;=TODAY())*($P38&lt;=TODAY()+13),"Semaine passée &amp; à venir",IF(($N38&lt;&gt;"")*($N38&gt;TODAY()-9)*($N38&lt;TODAY()+1),"Semaine passée",IF(($P38&lt;&gt;"")*($P38&gt;=TODAY())*($P38&lt;=TODAY()+13),"À venir","Autre"))))</f>
        <v>Semaine passée &amp; à venir</v>
      </c>
      <c r="V38" s="8" cm="1" t="n">
        <f t="array" ref="V38">IF(C38&lt;&gt;"",1,0)</f>
        <v>1</v>
      </c>
      <c r="W38" s="8">
</c>
      <c r="X38" s="8">
</c>
      <c r="Y38" s="8">
</c>
      <c r="Z38" s="8">
</c>
      <c r="AA38" s="8">
</c>
      <c r="AB38" s="8">
</c>
      <c r="AC38" s="8">
</c>
      <c r="AD38" s="8">
</c>
      <c r="AE38" s="8">
</c>
      <c r="AF38" s="8">
</c>
      <c r="AG38" s="8">
</c>
      <c r="AH38" s="8">
</c>
      <c r="AI38" s="8">
</c>
      <c r="AJ38" s="8">
</c>
      <c r="AK38" s="8">
</c>
    </row>
    <row r="39" ht="76.5" customHeight="1">
      <c r="A39" s="9" t="s">
        <v>23</v>
      </c>
      <c r="B39" s="9" t="s">
        <v>107</v>
      </c>
      <c r="C39" s="12" t="s">
        <v>152</v>
      </c>
      <c r="D39" s="13" t="s">
        <v>153</v>
      </c>
      <c r="E39" s="9" t="s">
        <v>27</v>
      </c>
      <c r="F39" s="8" t="s">
        <v>154</v>
      </c>
      <c r="G39" s="14" cm="1" t="str">
        <f t="array" ref="G39">IF(F39="","",SUBSTITUTE(SUBSTITUTE(SUBSTITUTE(SUBSTITUTE(F39,"&lt;li&gt;",CHAR(10)),"&lt;/li&gt;",""),"&lt;br&gt;",CHAR(10)),"&lt;strong&gt;",""))</f>
        <v>&lt;p&gt;Déj 21/01/26 : Chabot (BDR) part, successeur inconnu, nouveau président CEIDF en mars, intérêt marqué pour 150 O B ter + side business territoire, présenter offre sous prisme territoire. Dernier échange 04/02. Demande fonds de fonds en cours, issue mars 2025. Focus direct, value add, co-invest, pédagogie attendue.&lt;/p&gt;</v>
      </c>
      <c r="H39" s="14" cm="1" t="str">
        <f t="array" ref="H39">IF(G39="","",SUBSTITUTE(SUBSTITUTE(SUBSTITUTE(SUBSTITUTE(SUBSTITUTE(G39,"&lt;p&gt;",""),"&lt;/p&gt;",""),"&lt;ul&gt;",""),"&lt;/ul&gt;",""),"&lt;/strong&gt;",""))</f>
        <v>Déj 21/01/26 : Chabot (BDR) part, successeur inconnu, nouveau président CEIDF en mars, intérêt marqué pour 150 O B ter + side business territoire, présenter offre sous prisme territoire. Dernier échange 04/02. Demande fonds de fonds en cours, issue mars 2025. Focus direct, value add, co-invest, pédagogie attendue.</v>
      </c>
      <c r="I39" s="15" cm="1" t="str">
        <f t="array" ref="I39">IF(C39="","",IF(OR(H39="",H39=0,H39=FALSE),"-",H39))</f>
        <v>Déj 21/01/26 : Chabot (BDR) part, successeur inconnu, nouveau président CEIDF en mars, intérêt marqué pour 150 O B ter + side business territoire, présenter offre sous prisme territoire. Dernier échange 04/02. Demande fonds de fonds en cours, issue mars 2025. Focus direct, value add, co-invest, pédagogie attendue.</v>
      </c>
      <c r="J39" s="8">
</c>
      <c r="K39" s="8" t="s">
        <v>45</v>
      </c>
      <c r="L39" s="9" cm="1" t="str">
        <f t="array" ref="L39">IF(C39="","",IF(K39="Mort / Plus rien à faire","KO","OK"))</f>
        <v>OK</v>
      </c>
      <c r="M39" s="16">
        <v>46090.7022337963</v>
      </c>
      <c r="N39" s="16" cm="1" t="n">
        <f t="array" ref="N39">IF(OR(C39="",M39="",M39=0),"",M39)</f>
        <v>46090.7022337963</v>
      </c>
      <c r="O39" s="16">
</c>
      <c r="P39" s="16" cm="1" t="str">
        <f t="array" ref="P39">IF(C39="","",IF(OR(O39="",O39=0),"-",O39))</f>
        <v>-</v>
      </c>
      <c r="Q39" s="17">
        <v>1000000</v>
      </c>
      <c r="R39" s="17" cm="1" t="str">
        <f t="array" ref="R39">IF(C39="","",ROUND(Q39/1000000,3)&amp;" M€")</f>
        <v>1 M€</v>
      </c>
      <c r="S39" s="13" t="s">
        <v>131</v>
      </c>
      <c r="T39" s="9" cm="1" t="str">
        <f t="array" ref="T39">IF(C39="","",SUBSTITUTE(S39,"","")&amp;"%")</f>
        <v>20%</v>
      </c>
      <c r="U39" s="15" cm="1" t="str">
        <f t="array" ref="U39">IF(($N39="")*($P39=""),"",IF(($N39&lt;&gt;"")*($N39&gt;TODAY()-9)*($N39&lt;TODAY()+1)*($P39&lt;&gt;"")*($P39&gt;=TODAY())*($P39&lt;=TODAY()+13),"Semaine passée &amp; à venir",IF(($N39&lt;&gt;"")*($N39&gt;TODAY()-9)*($N39&lt;TODAY()+1),"Semaine passée",IF(($P39&lt;&gt;"")*($P39&gt;=TODAY())*($P39&lt;=TODAY()+13),"À venir","Autre"))))</f>
        <v>Autre</v>
      </c>
      <c r="V39" s="8" cm="1" t="n">
        <f t="array" ref="V39">IF(C39&lt;&gt;"",1,0)</f>
        <v>1</v>
      </c>
      <c r="W39" s="8">
</c>
      <c r="X39" s="8">
</c>
      <c r="Y39" s="8">
</c>
      <c r="Z39" s="8">
</c>
      <c r="AA39" s="8">
</c>
      <c r="AB39" s="8">
</c>
      <c r="AC39" s="8">
</c>
      <c r="AD39" s="8">
</c>
      <c r="AE39" s="8">
</c>
      <c r="AF39" s="8">
</c>
      <c r="AG39" s="8">
</c>
      <c r="AH39" s="8">
</c>
      <c r="AI39" s="8">
</c>
      <c r="AJ39" s="8">
</c>
      <c r="AK39" s="8">
</c>
    </row>
    <row r="40" ht="76.5" customHeight="1">
      <c r="A40" s="9" t="s">
        <v>23</v>
      </c>
      <c r="B40" s="9" t="s">
        <v>124</v>
      </c>
      <c r="C40" s="12" t="s">
        <v>155</v>
      </c>
      <c r="D40" s="13" t="s">
        <v>156</v>
      </c>
      <c r="E40" s="9" t="s">
        <v>54</v>
      </c>
      <c r="F40" s="8" t="s">
        <v>157</v>
      </c>
      <c r="G40" s="14" cm="1" t="str">
        <f t="array" ref="G40">IF(F40="","",SUBSTITUTE(SUBSTITUTE(SUBSTITUTE(SUBSTITUTE(F40,"&lt;li&gt;",CHAR(10)),"&lt;/li&gt;",""),"&lt;br&gt;",CHAR(10)),"&lt;strong&gt;",""))</f>
        <v>&lt;p&gt;Intérêt exprimé pour fonds Straton, pas de deeptech, focus cap dev défense et dossiers remploi. Prochaine étape&amp;nbsp;: trouver dates avec Thomas. Enrichissement lead impossible (email non valide). Nouvelle piste créée pour équipe Ventes. Pas d'autres actions ni retours prospect notables.&lt;/p&gt;</v>
      </c>
      <c r="H40" s="14" cm="1" t="str">
        <f t="array" ref="H40">IF(G40="","",SUBSTITUTE(SUBSTITUTE(SUBSTITUTE(SUBSTITUTE(SUBSTITUTE(G40,"&lt;p&gt;",""),"&lt;/p&gt;",""),"&lt;ul&gt;",""),"&lt;/ul&gt;",""),"&lt;/strong&gt;",""))</f>
        <v>Intérêt exprimé pour fonds Straton, pas de deeptech, focus cap dev défense et dossiers remploi. Prochaine étape&amp;nbsp;: trouver dates avec Thomas. Enrichissement lead impossible (email non valide). Nouvelle piste créée pour équipe Ventes. Pas d'autres actions ni retours prospect notables.</v>
      </c>
      <c r="I40" s="15" cm="1" t="str">
        <f t="array" ref="I40">IF(C40="","",IF(OR(H40="",H40=0,H40=FALSE),"-",H40))</f>
        <v>Intérêt exprimé pour fonds Straton, pas de deeptech, focus cap dev défense et dossiers remploi. Prochaine étape&amp;nbsp;: trouver dates avec Thomas. Enrichissement lead impossible (email non valide). Nouvelle piste créée pour équipe Ventes. Pas d'autres actions ni retours prospect notables.</v>
      </c>
      <c r="J40" s="8">
</c>
      <c r="K40" s="8" t="s">
        <v>45</v>
      </c>
      <c r="L40" s="9" cm="1" t="str">
        <f t="array" ref="L40">IF(C40="","",IF(K40="Mort / Plus rien à faire","KO","OK"))</f>
        <v>OK</v>
      </c>
      <c r="M40" s="16">
        <v>46063.51696759259</v>
      </c>
      <c r="N40" s="16" cm="1" t="n">
        <f t="array" ref="N40">IF(OR(C40="",M40="",M40=0),"",M40)</f>
        <v>46063.51696759259</v>
      </c>
      <c r="O40" s="16">
</c>
      <c r="P40" s="16" cm="1" t="str">
        <f t="array" ref="P40">IF(C40="","",IF(OR(O40="",O40=0),"-",O40))</f>
        <v>-</v>
      </c>
      <c r="Q40" s="17">
        <v>0</v>
      </c>
      <c r="R40" s="17" cm="1" t="str">
        <f t="array" ref="R40">IF(C40="","",ROUND(Q40/1000000,3)&amp;" M€")</f>
        <v>0 M€</v>
      </c>
      <c r="S40" s="13" t="s">
        <v>131</v>
      </c>
      <c r="T40" s="9" cm="1" t="str">
        <f t="array" ref="T40">IF(C40="","",SUBSTITUTE(S40,"","")&amp;"%")</f>
        <v>20%</v>
      </c>
      <c r="U40" s="15" cm="1" t="str">
        <f t="array" ref="U40">IF(($N40="")*($P40=""),"",IF(($N40&lt;&gt;"")*($N40&gt;TODAY()-9)*($N40&lt;TODAY()+1)*($P40&lt;&gt;"")*($P40&gt;=TODAY())*($P40&lt;=TODAY()+13),"Semaine passée &amp; à venir",IF(($N40&lt;&gt;"")*($N40&gt;TODAY()-9)*($N40&lt;TODAY()+1),"Semaine passée",IF(($P40&lt;&gt;"")*($P40&gt;=TODAY())*($P40&lt;=TODAY()+13),"À venir","Autre"))))</f>
        <v>Autre</v>
      </c>
      <c r="V40" s="8" cm="1" t="n">
        <f t="array" ref="V40">IF(C40&lt;&gt;"",1,0)</f>
        <v>1</v>
      </c>
      <c r="W40" s="8">
</c>
      <c r="X40" s="8">
</c>
      <c r="Y40" s="8">
</c>
      <c r="Z40" s="8">
</c>
      <c r="AA40" s="8">
</c>
      <c r="AB40" s="8">
</c>
      <c r="AC40" s="8">
</c>
      <c r="AD40" s="8">
</c>
      <c r="AE40" s="8">
</c>
      <c r="AF40" s="8">
</c>
      <c r="AG40" s="8">
</c>
      <c r="AH40" s="8">
</c>
      <c r="AI40" s="8">
</c>
      <c r="AJ40" s="8">
</c>
      <c r="AK40" s="8">
</c>
    </row>
    <row r="41" ht="76.5" customHeight="1">
      <c r="A41" s="9" t="s">
        <v>23</v>
      </c>
      <c r="B41" s="9" t="s">
        <v>32</v>
      </c>
      <c r="C41" s="12" t="s">
        <v>158</v>
      </c>
      <c r="D41" s="13" t="s">
        <v>159</v>
      </c>
      <c r="E41" s="9" t="s">
        <v>27</v>
      </c>
      <c r="F41" s="8" t="s">
        <v>160</v>
      </c>
      <c r="G41" s="14" cm="1" t="str">
        <f t="array" ref="G41">IF(F41="","",SUBSTITUTE(SUBSTITUTE(SUBSTITUTE(SUBSTITUTE(F41,"&lt;li&gt;",CHAR(10)),"&lt;/li&gt;",""),"&lt;br&gt;",CHAR(10)),"&lt;strong&gt;",""))</f>
        <v>&lt;p&gt;Offre présentée, instruction commune avec UNEO. Blocage UNEO (Président Leclaire) car déjà 5 offres, questionnement sur la démarche. Relance via directeur investissements, attente retour. Coordination passée avec UNEI, dossier instruit indépendamment. Prochaine étape : attente décision, pas d'action planifiée.&lt;/p&gt;</v>
      </c>
      <c r="H41" s="14" cm="1" t="str">
        <f t="array" ref="H41">IF(G41="","",SUBSTITUTE(SUBSTITUTE(SUBSTITUTE(SUBSTITUTE(SUBSTITUTE(G41,"&lt;p&gt;",""),"&lt;/p&gt;",""),"&lt;ul&gt;",""),"&lt;/ul&gt;",""),"&lt;/strong&gt;",""))</f>
        <v>Offre présentée, instruction commune avec UNEO. Blocage UNEO (Président Leclaire) car déjà 5 offres, questionnement sur la démarche. Relance via directeur investissements, attente retour. Coordination passée avec UNEI, dossier instruit indépendamment. Prochaine étape : attente décision, pas d'action planifiée.</v>
      </c>
      <c r="I41" s="15" cm="1" t="str">
        <f t="array" ref="I41">IF(C41="","",IF(OR(H41="",H41=0,H41=FALSE),"-",H41))</f>
        <v>Offre présentée, instruction commune avec UNEO. Blocage UNEO (Président Leclaire) car déjà 5 offres, questionnement sur la démarche. Relance via directeur investissements, attente retour. Coordination passée avec UNEI, dossier instruit indépendamment. Prochaine étape : attente décision, pas d'action planifiée.</v>
      </c>
      <c r="J41" s="8" t="s">
        <v>161</v>
      </c>
      <c r="K41" s="8" t="s">
        <v>45</v>
      </c>
      <c r="L41" s="9" cm="1" t="str">
        <f t="array" ref="L41">IF(C41="","",IF(K41="Mort / Plus rien à faire","KO","OK"))</f>
        <v>OK</v>
      </c>
      <c r="M41" s="16">
        <v>46114.69349537037</v>
      </c>
      <c r="N41" s="16" cm="1" t="n">
        <f t="array" ref="N41">IF(OR(C41="",M41="",M41=0),"",M41)</f>
        <v>46114.69349537037</v>
      </c>
      <c r="O41" s="16">
        <v>46162.083333333336</v>
      </c>
      <c r="P41" s="16" cm="1" t="n">
        <f t="array" ref="P41">IF(C41="","",IF(OR(O41="",O41=0),"-",O41))</f>
        <v>46162.083333333336</v>
      </c>
      <c r="Q41" s="17">
        <v>1000000</v>
      </c>
      <c r="R41" s="17" cm="1" t="str">
        <f t="array" ref="R41">IF(C41="","",ROUND(Q41/1000000,3)&amp;" M€")</f>
        <v>1 M€</v>
      </c>
      <c r="S41" s="13" t="s">
        <v>131</v>
      </c>
      <c r="T41" s="9" cm="1" t="str">
        <f t="array" ref="T41">IF(C41="","",SUBSTITUTE(S41,"","")&amp;"%")</f>
        <v>20%</v>
      </c>
      <c r="U41" s="15" cm="1" t="str">
        <f t="array" ref="U41">IF(($N41="")*($P41=""),"",IF(($N41&lt;&gt;"")*($N41&gt;TODAY()-9)*($N41&lt;TODAY()+1)*($P41&lt;&gt;"")*($P41&gt;=TODAY())*($P41&lt;=TODAY()+13),"Semaine passée &amp; à venir",IF(($N41&lt;&gt;"")*($N41&gt;TODAY()-9)*($N41&lt;TODAY()+1),"Semaine passée",IF(($P41&lt;&gt;"")*($P41&gt;=TODAY())*($P41&lt;=TODAY()+13),"À venir","Autre"))))</f>
        <v>Semaine passée</v>
      </c>
      <c r="V41" s="8" cm="1" t="n">
        <f t="array" ref="V41">IF(C41&lt;&gt;"",1,0)</f>
        <v>1</v>
      </c>
      <c r="W41" s="8">
</c>
      <c r="X41" s="8">
</c>
      <c r="Y41" s="8">
</c>
      <c r="Z41" s="8">
</c>
      <c r="AA41" s="8">
</c>
      <c r="AB41" s="8">
</c>
      <c r="AC41" s="8">
</c>
      <c r="AD41" s="8">
</c>
      <c r="AE41" s="8">
</c>
      <c r="AF41" s="8">
</c>
      <c r="AG41" s="8">
</c>
      <c r="AH41" s="8">
</c>
      <c r="AI41" s="8">
</c>
      <c r="AJ41" s="8">
</c>
      <c r="AK41" s="8">
</c>
    </row>
    <row r="42" ht="76.5" customHeight="1">
      <c r="A42" s="9" t="s">
        <v>23</v>
      </c>
      <c r="B42" s="9" t="s">
        <v>107</v>
      </c>
      <c r="C42" s="12" t="s">
        <v>108</v>
      </c>
      <c r="D42" s="13" t="s">
        <v>162</v>
      </c>
      <c r="E42" s="9" t="s">
        <v>27</v>
      </c>
      <c r="F42" s="8" t="s">
        <v>163</v>
      </c>
      <c r="G42" s="14" cm="1" t="str">
        <f t="array" ref="G42">IF(F42="","",SUBSTITUTE(SUBSTITUTE(SUBSTITUTE(SUBSTITUTE(F42,"&lt;li&gt;",CHAR(10)),"&lt;/li&gt;",""),"&lt;br&gt;",CHAR(10)),"&lt;strong&gt;",""))</f>
        <v>&lt;p&gt;RDV physique 30/01/26 avec Olivia Laplane (BPCE SA) : animation CE/BP BITD, référent défense par caisse, prise de parole prévue mars 2026. Prospect connectée au webinar Straton, montée en gamme validée, cible témoignage Straton 9 avril. En attente de commande. Prochaine action : pousser offre retail HNWIO.&lt;/p&gt;</v>
      </c>
      <c r="H42" s="14" cm="1" t="str">
        <f t="array" ref="H42">IF(G42="","",SUBSTITUTE(SUBSTITUTE(SUBSTITUTE(SUBSTITUTE(SUBSTITUTE(G42,"&lt;p&gt;",""),"&lt;/p&gt;",""),"&lt;ul&gt;",""),"&lt;/ul&gt;",""),"&lt;/strong&gt;",""))</f>
        <v>RDV physique 30/01/26 avec Olivia Laplane (BPCE SA) : animation CE/BP BITD, référent défense par caisse, prise de parole prévue mars 2026. Prospect connectée au webinar Straton, montée en gamme validée, cible témoignage Straton 9 avril. En attente de commande. Prochaine action : pousser offre retail HNWIO.</v>
      </c>
      <c r="I42" s="15" cm="1" t="str">
        <f t="array" ref="I42">IF(C42="","",IF(OR(H42="",H42=0,H42=FALSE),"-",H42))</f>
        <v>RDV physique 30/01/26 avec Olivia Laplane (BPCE SA) : animation CE/BP BITD, référent défense par caisse, prise de parole prévue mars 2026. Prospect connectée au webinar Straton, montée en gamme validée, cible témoignage Straton 9 avril. En attente de commande. Prochaine action : pousser offre retail HNWIO.</v>
      </c>
      <c r="J42" s="8">
</c>
      <c r="K42" s="8" t="s">
        <v>45</v>
      </c>
      <c r="L42" s="9" cm="1" t="str">
        <f t="array" ref="L42">IF(C42="","",IF(K42="Mort / Plus rien à faire","KO","OK"))</f>
        <v>OK</v>
      </c>
      <c r="M42" s="16">
        <v>46063.697905092595</v>
      </c>
      <c r="N42" s="16" cm="1" t="n">
        <f t="array" ref="N42">IF(OR(C42="",M42="",M42=0),"",M42)</f>
        <v>46063.697905092595</v>
      </c>
      <c r="O42" s="16">
</c>
      <c r="P42" s="16" cm="1" t="str">
        <f t="array" ref="P42">IF(C42="","",IF(OR(O42="",O42=0),"-",O42))</f>
        <v>-</v>
      </c>
      <c r="Q42" s="17">
        <v>0</v>
      </c>
      <c r="R42" s="17" cm="1" t="str">
        <f t="array" ref="R42">IF(C42="","",ROUND(Q42/1000000,3)&amp;" M€")</f>
        <v>0 M€</v>
      </c>
      <c r="S42" s="13" t="s">
        <v>164</v>
      </c>
      <c r="T42" s="9" cm="1" t="str">
        <f t="array" ref="T42">IF(C42="","",SUBSTITUTE(S42,"","")&amp;"%")</f>
        <v>10%</v>
      </c>
      <c r="U42" s="15" cm="1" t="str">
        <f t="array" ref="U42">IF(($N42="")*($P42=""),"",IF(($N42&lt;&gt;"")*($N42&gt;TODAY()-9)*($N42&lt;TODAY()+1)*($P42&lt;&gt;"")*($P42&gt;=TODAY())*($P42&lt;=TODAY()+13),"Semaine passée &amp; à venir",IF(($N42&lt;&gt;"")*($N42&gt;TODAY()-9)*($N42&lt;TODAY()+1),"Semaine passée",IF(($P42&lt;&gt;"")*($P42&gt;=TODAY())*($P42&lt;=TODAY()+13),"À venir","Autre"))))</f>
        <v>Autre</v>
      </c>
      <c r="V42" s="8" cm="1" t="n">
        <f t="array" ref="V42">IF(C42&lt;&gt;"",1,0)</f>
        <v>1</v>
      </c>
      <c r="W42" s="8">
</c>
      <c r="X42" s="8">
</c>
      <c r="Y42" s="8">
</c>
      <c r="Z42" s="8">
</c>
      <c r="AA42" s="8">
</c>
      <c r="AB42" s="8">
</c>
      <c r="AC42" s="8">
</c>
      <c r="AD42" s="8">
</c>
      <c r="AE42" s="8">
</c>
      <c r="AF42" s="8">
</c>
      <c r="AG42" s="8">
</c>
      <c r="AH42" s="8">
</c>
      <c r="AI42" s="8">
</c>
      <c r="AJ42" s="8">
</c>
      <c r="AK42" s="8">
</c>
    </row>
    <row r="43" ht="76.5" customHeight="1">
      <c r="A43" s="9" t="s">
        <v>23</v>
      </c>
      <c r="B43" s="9" t="s">
        <v>51</v>
      </c>
      <c r="C43" s="12" t="s">
        <v>165</v>
      </c>
      <c r="D43" s="13" t="s">
        <v>166</v>
      </c>
      <c r="E43" s="9" t="s">
        <v>54</v>
      </c>
      <c r="F43" s="8" t="s">
        <v>167</v>
      </c>
      <c r="G43" s="14" cm="1" t="str">
        <f t="array" ref="G43">IF(F43="","",SUBSTITUTE(SUBSTITUTE(SUBSTITUTE(SUBSTITUTE(F43,"&lt;li&gt;",CHAR(10)),"&lt;/li&gt;",""),"&lt;br&gt;",CHAR(10)),"&lt;strong&gt;",""))</f>
        <v>&lt;p&gt;Nouvelle piste créée pour équipe Ventes. Discussion reprise sur fonds Audacia, mais enrichissement lead impossible (email invalide). Aucun retour prospect sur fonds, pas d'activité ni d'action récente enregistrée, aucune prochaine étape planifiée, pas de suivi supplémentaire identifié à ce jour.&lt;/p&gt;</v>
      </c>
      <c r="H43" s="14" cm="1" t="str">
        <f t="array" ref="H43">IF(G43="","",SUBSTITUTE(SUBSTITUTE(SUBSTITUTE(SUBSTITUTE(SUBSTITUTE(G43,"&lt;p&gt;",""),"&lt;/p&gt;",""),"&lt;ul&gt;",""),"&lt;/ul&gt;",""),"&lt;/strong&gt;",""))</f>
        <v>Nouvelle piste créée pour équipe Ventes. Discussion reprise sur fonds Audacia, mais enrichissement lead impossible (email invalide). Aucun retour prospect sur fonds, pas d'activité ni d'action récente enregistrée, aucune prochaine étape planifiée, pas de suivi supplémentaire identifié à ce jour.</v>
      </c>
      <c r="I43" s="15" cm="1" t="str">
        <f t="array" ref="I43">IF(C43="","",IF(OR(H43="",H43=0,H43=FALSE),"-",H43))</f>
        <v>Nouvelle piste créée pour équipe Ventes. Discussion reprise sur fonds Audacia, mais enrichissement lead impossible (email invalide). Aucun retour prospect sur fonds, pas d'activité ni d'action récente enregistrée, aucune prochaine étape planifiée, pas de suivi supplémentaire identifié à ce jour.</v>
      </c>
      <c r="J43" s="8">
</c>
      <c r="K43" s="8" t="s">
        <v>45</v>
      </c>
      <c r="L43" s="9" cm="1" t="str">
        <f t="array" ref="L43">IF(C43="","",IF(K43="Mort / Plus rien à faire","KO","OK"))</f>
        <v>OK</v>
      </c>
      <c r="M43" s="16">
        <v>46094.76366898148</v>
      </c>
      <c r="N43" s="16" cm="1" t="n">
        <f t="array" ref="N43">IF(OR(C43="",M43="",M43=0),"",M43)</f>
        <v>46094.76366898148</v>
      </c>
      <c r="O43" s="16">
</c>
      <c r="P43" s="16" cm="1" t="str">
        <f t="array" ref="P43">IF(C43="","",IF(OR(O43="",O43=0),"-",O43))</f>
        <v>-</v>
      </c>
      <c r="Q43" s="17">
        <v>0</v>
      </c>
      <c r="R43" s="17" cm="1" t="str">
        <f t="array" ref="R43">IF(C43="","",ROUND(Q43/1000000,3)&amp;" M€")</f>
        <v>0 M€</v>
      </c>
      <c r="S43" s="13" t="s">
        <v>164</v>
      </c>
      <c r="T43" s="9" cm="1" t="str">
        <f t="array" ref="T43">IF(C43="","",SUBSTITUTE(S43,"","")&amp;"%")</f>
        <v>10%</v>
      </c>
      <c r="U43" s="15" cm="1" t="str">
        <f t="array" ref="U43">IF(($N43="")*($P43=""),"",IF(($N43&lt;&gt;"")*($N43&gt;TODAY()-9)*($N43&lt;TODAY()+1)*($P43&lt;&gt;"")*($P43&gt;=TODAY())*($P43&lt;=TODAY()+13),"Semaine passée &amp; à venir",IF(($N43&lt;&gt;"")*($N43&gt;TODAY()-9)*($N43&lt;TODAY()+1),"Semaine passée",IF(($P43&lt;&gt;"")*($P43&gt;=TODAY())*($P43&lt;=TODAY()+13),"À venir","Autre"))))</f>
        <v>Autre</v>
      </c>
      <c r="V43" s="8" cm="1" t="n">
        <f t="array" ref="V43">IF(C43&lt;&gt;"",1,0)</f>
        <v>1</v>
      </c>
      <c r="W43" s="8">
</c>
      <c r="X43" s="8">
</c>
      <c r="Y43" s="8">
</c>
      <c r="Z43" s="8">
</c>
      <c r="AA43" s="8">
</c>
      <c r="AB43" s="8">
</c>
      <c r="AC43" s="8">
</c>
      <c r="AD43" s="8">
</c>
      <c r="AE43" s="8">
</c>
      <c r="AF43" s="8">
</c>
      <c r="AG43" s="8">
</c>
      <c r="AH43" s="8">
</c>
      <c r="AI43" s="8">
</c>
      <c r="AJ43" s="8">
</c>
      <c r="AK43" s="8">
</c>
    </row>
    <row r="44" ht="76.5" customHeight="1">
      <c r="A44" s="9" t="s">
        <v>23</v>
      </c>
      <c r="B44" s="9" t="s">
        <v>168</v>
      </c>
      <c r="C44" s="12" t="s">
        <v>169</v>
      </c>
      <c r="D44" s="13" t="s">
        <v>170</v>
      </c>
      <c r="E44" s="9" t="s">
        <v>27</v>
      </c>
      <c r="F44" s="8" t="s">
        <v>171</v>
      </c>
      <c r="G44" s="14" cm="1" t="str">
        <f t="array" ref="G44">IF(F44="","",SUBSTITUTE(SUBSTITUTE(SUBSTITUTE(SUBSTITUTE(F44,"&lt;li&gt;",CHAR(10)),"&lt;/li&gt;",""),"&lt;br&gt;",CHAR(10)),"&lt;strong&gt;",""))</f>
        <v>&lt;p&gt;Mail présentation Straton envoyé 10/02, attribution initiale Romain Andrieu. Enrichissement lead impossible (email non valide). Nouvelle piste créée pour équipe Ventes. Pas d'activité ou retour prospect, prochaines étapes non définies. Suivi à relancer si besoin.&lt;/p&gt;</v>
      </c>
      <c r="H44" s="14" cm="1" t="str">
        <f t="array" ref="H44">IF(G44="","",SUBSTITUTE(SUBSTITUTE(SUBSTITUTE(SUBSTITUTE(SUBSTITUTE(G44,"&lt;p&gt;",""),"&lt;/p&gt;",""),"&lt;ul&gt;",""),"&lt;/ul&gt;",""),"&lt;/strong&gt;",""))</f>
        <v>Mail présentation Straton envoyé 10/02, attribution initiale Romain Andrieu. Enrichissement lead impossible (email non valide). Nouvelle piste créée pour équipe Ventes. Pas d'activité ou retour prospect, prochaines étapes non définies. Suivi à relancer si besoin.</v>
      </c>
      <c r="I44" s="15" cm="1" t="str">
        <f t="array" ref="I44">IF(C44="","",IF(OR(H44="",H44=0,H44=FALSE),"-",H44))</f>
        <v>Mail présentation Straton envoyé 10/02, attribution initiale Romain Andrieu. Enrichissement lead impossible (email non valide). Nouvelle piste créée pour équipe Ventes. Pas d'activité ou retour prospect, prochaines étapes non définies. Suivi à relancer si besoin.</v>
      </c>
      <c r="J44" s="8">
</c>
      <c r="K44" s="8" t="s">
        <v>40</v>
      </c>
      <c r="L44" s="9" cm="1" t="str">
        <f t="array" ref="L44">IF(C44="","",IF(K44="Mort / Plus rien à faire","KO","OK"))</f>
        <v>OK</v>
      </c>
      <c r="M44" s="16">
        <v>46063.629016203704</v>
      </c>
      <c r="N44" s="16" cm="1" t="n">
        <f t="array" ref="N44">IF(OR(C44="",M44="",M44=0),"",M44)</f>
        <v>46063.629016203704</v>
      </c>
      <c r="O44" s="16">
</c>
      <c r="P44" s="16" cm="1" t="str">
        <f t="array" ref="P44">IF(C44="","",IF(OR(O44="",O44=0),"-",O44))</f>
        <v>-</v>
      </c>
      <c r="Q44" s="17">
        <v>0</v>
      </c>
      <c r="R44" s="17" cm="1" t="str">
        <f t="array" ref="R44">IF(C44="","",ROUND(Q44/1000000,3)&amp;" M€")</f>
        <v>0 M€</v>
      </c>
      <c r="S44" s="13" t="s">
        <v>164</v>
      </c>
      <c r="T44" s="9" cm="1" t="str">
        <f t="array" ref="T44">IF(C44="","",SUBSTITUTE(S44,"","")&amp;"%")</f>
        <v>10%</v>
      </c>
      <c r="U44" s="15" cm="1" t="str">
        <f t="array" ref="U44">IF(($N44="")*($P44=""),"",IF(($N44&lt;&gt;"")*($N44&gt;TODAY()-9)*($N44&lt;TODAY()+1)*($P44&lt;&gt;"")*($P44&gt;=TODAY())*($P44&lt;=TODAY()+13),"Semaine passée &amp; à venir",IF(($N44&lt;&gt;"")*($N44&gt;TODAY()-9)*($N44&lt;TODAY()+1),"Semaine passée",IF(($P44&lt;&gt;"")*($P44&gt;=TODAY())*($P44&lt;=TODAY()+13),"À venir","Autre"))))</f>
        <v>Autre</v>
      </c>
      <c r="V44" s="8" cm="1" t="n">
        <f t="array" ref="V44">IF(C44&lt;&gt;"",1,0)</f>
        <v>1</v>
      </c>
      <c r="W44" s="8">
</c>
      <c r="X44" s="8">
</c>
      <c r="Y44" s="8">
</c>
      <c r="Z44" s="8">
</c>
      <c r="AA44" s="8">
</c>
      <c r="AB44" s="8">
</c>
      <c r="AC44" s="8">
</c>
      <c r="AD44" s="8">
</c>
      <c r="AE44" s="8">
</c>
      <c r="AF44" s="8">
</c>
      <c r="AG44" s="8">
</c>
      <c r="AH44" s="8">
</c>
      <c r="AI44" s="8">
</c>
      <c r="AJ44" s="8">
</c>
      <c r="AK44" s="8">
</c>
    </row>
    <row r="45" ht="76.5" customHeight="1">
      <c r="A45" s="9" t="s">
        <v>23</v>
      </c>
      <c r="B45" s="9" t="s">
        <v>32</v>
      </c>
      <c r="C45" s="12" t="s">
        <v>172</v>
      </c>
      <c r="D45" s="13" t="s">
        <v>173</v>
      </c>
      <c r="E45" s="9" t="s">
        <v>27</v>
      </c>
      <c r="F45" s="8" t="s">
        <v>174</v>
      </c>
      <c r="G45" s="14" cm="1" t="str">
        <f t="array" ref="G45">IF(F45="","",SUBSTITUTE(SUBSTITUTE(SUBSTITUTE(SUBSTITUTE(F45,"&lt;li&gt;",CHAR(10)),"&lt;/li&gt;",""),"&lt;br&gt;",CHAR(10)),"&lt;strong&gt;",""))</f>
        <v>&lt;p&gt;13/01/2026 : deck envoyé, à alimenter en 2026. Lead créé pour équipe Ventes. Tentative d'enrichissement échouée (email non valide). Aucune activité ni échange prospect identifié depuis, pas de retour ni prochaine étape précisée. Suivi à relancer ou compléter.&lt;/p&gt;</v>
      </c>
      <c r="H45" s="14" cm="1" t="str">
        <f t="array" ref="H45">IF(G45="","",SUBSTITUTE(SUBSTITUTE(SUBSTITUTE(SUBSTITUTE(SUBSTITUTE(G45,"&lt;p&gt;",""),"&lt;/p&gt;",""),"&lt;ul&gt;",""),"&lt;/ul&gt;",""),"&lt;/strong&gt;",""))</f>
        <v>13/01/2026 : deck envoyé, à alimenter en 2026. Lead créé pour équipe Ventes. Tentative d'enrichissement échouée (email non valide). Aucune activité ni échange prospect identifié depuis, pas de retour ni prochaine étape précisée. Suivi à relancer ou compléter.</v>
      </c>
      <c r="I45" s="15" cm="1" t="str">
        <f t="array" ref="I45">IF(C45="","",IF(OR(H45="",H45=0,H45=FALSE),"-",H45))</f>
        <v>13/01/2026 : deck envoyé, à alimenter en 2026. Lead créé pour équipe Ventes. Tentative d'enrichissement échouée (email non valide). Aucune activité ni échange prospect identifié depuis, pas de retour ni prochaine étape précisée. Suivi à relancer ou compléter.</v>
      </c>
      <c r="J45" s="8">
</c>
      <c r="K45" s="8" t="s">
        <v>45</v>
      </c>
      <c r="L45" s="9" cm="1" t="str">
        <f t="array" ref="L45">IF(C45="","",IF(K45="Mort / Plus rien à faire","KO","OK"))</f>
        <v>OK</v>
      </c>
      <c r="M45" s="16">
        <v>46064.51675925926</v>
      </c>
      <c r="N45" s="16" cm="1" t="n">
        <f t="array" ref="N45">IF(OR(C45="",M45="",M45=0),"",M45)</f>
        <v>46064.51675925926</v>
      </c>
      <c r="O45" s="16">
</c>
      <c r="P45" s="16" cm="1" t="str">
        <f t="array" ref="P45">IF(C45="","",IF(OR(O45="",O45=0),"-",O45))</f>
        <v>-</v>
      </c>
      <c r="Q45" s="17">
        <v>2000000</v>
      </c>
      <c r="R45" s="17" cm="1" t="str">
        <f t="array" ref="R45">IF(C45="","",ROUND(Q45/1000000,3)&amp;" M€")</f>
        <v>2 M€</v>
      </c>
      <c r="S45" s="13" t="s">
        <v>164</v>
      </c>
      <c r="T45" s="9" cm="1" t="str">
        <f t="array" ref="T45">IF(C45="","",SUBSTITUTE(S45,"","")&amp;"%")</f>
        <v>10%</v>
      </c>
      <c r="U45" s="15" cm="1" t="str">
        <f t="array" ref="U45">IF(($N45="")*($P45=""),"",IF(($N45&lt;&gt;"")*($N45&gt;TODAY()-9)*($N45&lt;TODAY()+1)*($P45&lt;&gt;"")*($P45&gt;=TODAY())*($P45&lt;=TODAY()+13),"Semaine passée &amp; à venir",IF(($N45&lt;&gt;"")*($N45&gt;TODAY()-9)*($N45&lt;TODAY()+1),"Semaine passée",IF(($P45&lt;&gt;"")*($P45&gt;=TODAY())*($P45&lt;=TODAY()+13),"À venir","Autre"))))</f>
        <v>Autre</v>
      </c>
      <c r="V45" s="8" cm="1" t="n">
        <f t="array" ref="V45">IF(C45&lt;&gt;"",1,0)</f>
        <v>1</v>
      </c>
      <c r="W45" s="8">
</c>
      <c r="X45" s="8">
</c>
      <c r="Y45" s="8">
</c>
      <c r="Z45" s="8">
</c>
      <c r="AA45" s="8">
</c>
      <c r="AB45" s="8">
</c>
      <c r="AC45" s="8">
</c>
      <c r="AD45" s="8">
</c>
      <c r="AE45" s="8">
</c>
      <c r="AF45" s="8">
</c>
      <c r="AG45" s="8">
</c>
      <c r="AH45" s="8">
</c>
      <c r="AI45" s="8">
</c>
      <c r="AJ45" s="8">
</c>
      <c r="AK45" s="8">
</c>
    </row>
    <row r="46" ht="76.5" customHeight="1">
      <c r="A46" s="9" t="s">
        <v>23</v>
      </c>
      <c r="B46" s="9" t="s">
        <v>32</v>
      </c>
      <c r="C46" s="12" t="s">
        <v>175</v>
      </c>
      <c r="D46" s="13" t="s">
        <v>176</v>
      </c>
      <c r="E46" s="9" t="s">
        <v>27</v>
      </c>
      <c r="F46" s="8" t="s">
        <v>177</v>
      </c>
      <c r="G46" s="14" cm="1" t="str">
        <f t="array" ref="G46">IF(F46="","",SUBSTITUTE(SUBSTITUTE(SUBSTITUTE(SUBSTITUTE(F46,"&lt;li&gt;",CHAR(10)),"&lt;/li&gt;",""),"&lt;br&gt;",CHAR(10)),"&lt;strong&gt;",""))</f>
        <v>&lt;p&gt;RDV physique réalisé, prospect pas intéressé par le fonds coté à ce stade (taux jugés peu attractifs). Allocation en réflexion, suivi à alimenter. Relance prévue pour un déjeuner, pas de retour sur évolution depuis. Prochaine étape&amp;nbsp;: relancer pour déjeuner, pas d'autres actions planifiées.&lt;/p&gt;</v>
      </c>
      <c r="H46" s="14" cm="1" t="str">
        <f t="array" ref="H46">IF(G46="","",SUBSTITUTE(SUBSTITUTE(SUBSTITUTE(SUBSTITUTE(SUBSTITUTE(G46,"&lt;p&gt;",""),"&lt;/p&gt;",""),"&lt;ul&gt;",""),"&lt;/ul&gt;",""),"&lt;/strong&gt;",""))</f>
        <v>RDV physique réalisé, prospect pas intéressé par le fonds coté à ce stade (taux jugés peu attractifs). Allocation en réflexion, suivi à alimenter. Relance prévue pour un déjeuner, pas de retour sur évolution depuis. Prochaine étape&amp;nbsp;: relancer pour déjeuner, pas d'autres actions planifiées.</v>
      </c>
      <c r="I46" s="15" cm="1" t="str">
        <f t="array" ref="I46">IF(C46="","",IF(OR(H46="",H46=0,H46=FALSE),"-",H46))</f>
        <v>RDV physique réalisé, prospect pas intéressé par le fonds coté à ce stade (taux jugés peu attractifs). Allocation en réflexion, suivi à alimenter. Relance prévue pour un déjeuner, pas de retour sur évolution depuis. Prochaine étape&amp;nbsp;: relancer pour déjeuner, pas d'autres actions planifiées.</v>
      </c>
      <c r="J46" s="8" t="s">
        <v>178</v>
      </c>
      <c r="K46" s="8" t="s">
        <v>88</v>
      </c>
      <c r="L46" s="9" cm="1" t="str">
        <f t="array" ref="L46">IF(C46="","",IF(K46="Mort / Plus rien à faire","KO","OK"))</f>
        <v>OK</v>
      </c>
      <c r="M46" s="16">
        <v>46114.68157407407</v>
      </c>
      <c r="N46" s="16" cm="1" t="n">
        <f t="array" ref="N46">IF(OR(C46="",M46="",M46=0),"",M46)</f>
        <v>46114.68157407407</v>
      </c>
      <c r="O46" s="16">
        <v>46149.083333333336</v>
      </c>
      <c r="P46" s="16" cm="1" t="n">
        <f t="array" ref="P46">IF(C46="","",IF(OR(O46="",O46=0),"-",O46))</f>
        <v>46149.083333333336</v>
      </c>
      <c r="Q46" s="17">
        <v>5000000</v>
      </c>
      <c r="R46" s="17" cm="1" t="str">
        <f t="array" ref="R46">IF(C46="","",ROUND(Q46/1000000,3)&amp;" M€")</f>
        <v>5 M€</v>
      </c>
      <c r="S46" s="13" t="s">
        <v>164</v>
      </c>
      <c r="T46" s="9" cm="1" t="str">
        <f t="array" ref="T46">IF(C46="","",SUBSTITUTE(S46,"","")&amp;"%")</f>
        <v>10%</v>
      </c>
      <c r="U46" s="15" cm="1" t="str">
        <f t="array" ref="U46">IF(($N46="")*($P46=""),"",IF(($N46&lt;&gt;"")*($N46&gt;TODAY()-9)*($N46&lt;TODAY()+1)*($P46&lt;&gt;"")*($P46&gt;=TODAY())*($P46&lt;=TODAY()+13),"Semaine passée &amp; à venir",IF(($N46&lt;&gt;"")*($N46&gt;TODAY()-9)*($N46&lt;TODAY()+1),"Semaine passée",IF(($P46&lt;&gt;"")*($P46&gt;=TODAY())*($P46&lt;=TODAY()+13),"À venir","Autre"))))</f>
        <v>Semaine passée</v>
      </c>
      <c r="V46" s="8" cm="1" t="n">
        <f t="array" ref="V46">IF(C46&lt;&gt;"",1,0)</f>
        <v>1</v>
      </c>
      <c r="W46" s="8">
</c>
      <c r="X46" s="8">
</c>
      <c r="Y46" s="8">
</c>
      <c r="Z46" s="8">
</c>
      <c r="AA46" s="8">
</c>
      <c r="AB46" s="8">
</c>
      <c r="AC46" s="8">
</c>
      <c r="AD46" s="8">
</c>
      <c r="AE46" s="8">
</c>
      <c r="AF46" s="8">
</c>
      <c r="AG46" s="8">
</c>
      <c r="AH46" s="8">
</c>
      <c r="AI46" s="8">
</c>
      <c r="AJ46" s="8">
</c>
      <c r="AK46" s="8">
</c>
    </row>
    <row r="47" ht="76.5" customHeight="1">
      <c r="A47" s="9" t="s">
        <v>23</v>
      </c>
      <c r="B47" s="9" t="s">
        <v>84</v>
      </c>
      <c r="C47" s="12" t="s">
        <v>179</v>
      </c>
      <c r="D47" s="13" t="s">
        <v>180</v>
      </c>
      <c r="E47" s="9" t="s">
        <v>54</v>
      </c>
      <c r="F47" s="8" t="s">
        <v>181</v>
      </c>
      <c r="G47" s="14" cm="1" t="str">
        <f t="array" ref="G47">IF(F47="","",SUBSTITUTE(SUBSTITUTE(SUBSTITUTE(SUBSTITUTE(F47,"&lt;li&gt;",CHAR(10)),"&lt;/li&gt;",""),"&lt;br&gt;",CHAR(10)),"&lt;strong&gt;",""))</f>
        <v>&lt;p&gt;Présentation fonds Audacia au prospect pour étudier un partenariat et envoi de dossiers. Aucun retour du prospect sur l'intérêt ou les suites à donner. Tentative d'enrichissement lead échouée (email invalide). Pas d'autres actions ou activités planifiées à ce jour.&lt;/p&gt;</v>
      </c>
      <c r="H47" s="14" cm="1" t="str">
        <f t="array" ref="H47">IF(G47="","",SUBSTITUTE(SUBSTITUTE(SUBSTITUTE(SUBSTITUTE(SUBSTITUTE(G47,"&lt;p&gt;",""),"&lt;/p&gt;",""),"&lt;ul&gt;",""),"&lt;/ul&gt;",""),"&lt;/strong&gt;",""))</f>
        <v>Présentation fonds Audacia au prospect pour étudier un partenariat et envoi de dossiers. Aucun retour du prospect sur l'intérêt ou les suites à donner. Tentative d'enrichissement lead échouée (email invalide). Pas d'autres actions ou activités planifiées à ce jour.</v>
      </c>
      <c r="I47" s="15" cm="1" t="str">
        <f t="array" ref="I47">IF(C47="","",IF(OR(H47="",H47=0,H47=FALSE),"-",H47))</f>
        <v>Présentation fonds Audacia au prospect pour étudier un partenariat et envoi de dossiers. Aucun retour du prospect sur l'intérêt ou les suites à donner. Tentative d'enrichissement lead échouée (email invalide). Pas d'autres actions ou activités planifiées à ce jour.</v>
      </c>
      <c r="J47" s="8">
</c>
      <c r="K47" s="8" t="s">
        <v>45</v>
      </c>
      <c r="L47" s="9" cm="1" t="str">
        <f t="array" ref="L47">IF(C47="","",IF(K47="Mort / Plus rien à faire","KO","OK"))</f>
        <v>OK</v>
      </c>
      <c r="M47" s="16">
        <v>46050.736030092594</v>
      </c>
      <c r="N47" s="16" cm="1" t="n">
        <f t="array" ref="N47">IF(OR(C47="",M47="",M47=0),"",M47)</f>
        <v>46050.736030092594</v>
      </c>
      <c r="O47" s="16">
</c>
      <c r="P47" s="16" cm="1" t="str">
        <f t="array" ref="P47">IF(C47="","",IF(OR(O47="",O47=0),"-",O47))</f>
        <v>-</v>
      </c>
      <c r="Q47" s="17">
        <v>0</v>
      </c>
      <c r="R47" s="17" cm="1" t="str">
        <f t="array" ref="R47">IF(C47="","",ROUND(Q47/1000000,3)&amp;" M€")</f>
        <v>0 M€</v>
      </c>
      <c r="S47" s="13" t="s">
        <v>164</v>
      </c>
      <c r="T47" s="9" cm="1" t="str">
        <f t="array" ref="T47">IF(C47="","",SUBSTITUTE(S47,"","")&amp;"%")</f>
        <v>10%</v>
      </c>
      <c r="U47" s="15" cm="1" t="str">
        <f t="array" ref="U47">IF(($N47="")*($P47=""),"",IF(($N47&lt;&gt;"")*($N47&gt;TODAY()-9)*($N47&lt;TODAY()+1)*($P47&lt;&gt;"")*($P47&gt;=TODAY())*($P47&lt;=TODAY()+13),"Semaine passée &amp; à venir",IF(($N47&lt;&gt;"")*($N47&gt;TODAY()-9)*($N47&lt;TODAY()+1),"Semaine passée",IF(($P47&lt;&gt;"")*($P47&gt;=TODAY())*($P47&lt;=TODAY()+13),"À venir","Autre"))))</f>
        <v>Autre</v>
      </c>
      <c r="V47" s="8" cm="1" t="n">
        <f t="array" ref="V47">IF(C47&lt;&gt;"",1,0)</f>
        <v>1</v>
      </c>
      <c r="W47" s="8">
</c>
      <c r="X47" s="8">
</c>
      <c r="Y47" s="8">
</c>
      <c r="Z47" s="8">
</c>
      <c r="AA47" s="8">
</c>
      <c r="AB47" s="8">
</c>
      <c r="AC47" s="8">
</c>
      <c r="AD47" s="8">
</c>
      <c r="AE47" s="8">
</c>
      <c r="AF47" s="8">
</c>
      <c r="AG47" s="8">
</c>
      <c r="AH47" s="8">
</c>
      <c r="AI47" s="8">
</c>
      <c r="AJ47" s="8">
</c>
      <c r="AK47" s="8">
</c>
    </row>
    <row r="48" ht="76.5" customHeight="1">
      <c r="A48" s="9" t="s">
        <v>23</v>
      </c>
      <c r="B48" s="9" t="s">
        <v>57</v>
      </c>
      <c r="C48" s="12" t="s">
        <v>182</v>
      </c>
      <c r="D48" s="13" t="s">
        <v>183</v>
      </c>
      <c r="E48" s="9" t="s">
        <v>27</v>
      </c>
      <c r="F48" s="8" t="s">
        <v>184</v>
      </c>
      <c r="G48" s="14" cm="1" t="str">
        <f t="array" ref="G48">IF(F48="","",SUBSTITUTE(SUBSTITUTE(SUBSTITUTE(SUBSTITUTE(F48,"&lt;li&gt;",CHAR(10)),"&lt;/li&gt;",""),"&lt;br&gt;",CHAR(10)),"&lt;strong&gt;",""))</f>
        <v>&lt;p&gt;Depuis départ O. Groleau, contact pris avec successeur D. Tomi. Plusieurs relances mail faites. RDV physique 24/03 avec JY Mary : CRPN KO sur fonds non cotés, allocations PE saturées, aucun dossier examiné à ce stade. Prochaine étape : relancer CRPN avant deadline 20/07/2026.&lt;/p&gt;</v>
      </c>
      <c r="H48" s="14" cm="1" t="str">
        <f t="array" ref="H48">IF(G48="","",SUBSTITUTE(SUBSTITUTE(SUBSTITUTE(SUBSTITUTE(SUBSTITUTE(G48,"&lt;p&gt;",""),"&lt;/p&gt;",""),"&lt;ul&gt;",""),"&lt;/ul&gt;",""),"&lt;/strong&gt;",""))</f>
        <v>Depuis départ O. Groleau, contact pris avec successeur D. Tomi. Plusieurs relances mail faites. RDV physique 24/03 avec JY Mary : CRPN KO sur fonds non cotés, allocations PE saturées, aucun dossier examiné à ce stade. Prochaine étape : relancer CRPN avant deadline 20/07/2026.</v>
      </c>
      <c r="I48" s="15" cm="1" t="str">
        <f t="array" ref="I48">IF(C48="","",IF(OR(H48="",H48=0,H48=FALSE),"-",H48))</f>
        <v>Depuis départ O. Groleau, contact pris avec successeur D. Tomi. Plusieurs relances mail faites. RDV physique 24/03 avec JY Mary : CRPN KO sur fonds non cotés, allocations PE saturées, aucun dossier examiné à ce stade. Prochaine étape : relancer CRPN avant deadline 20/07/2026.</v>
      </c>
      <c r="J48" s="8" t="s">
        <v>185</v>
      </c>
      <c r="K48" s="8" t="s">
        <v>88</v>
      </c>
      <c r="L48" s="9" cm="1" t="str">
        <f t="array" ref="L48">IF(C48="","",IF(K48="Mort / Plus rien à faire","KO","OK"))</f>
        <v>OK</v>
      </c>
      <c r="M48" s="16">
        <v>46105.648726851854</v>
      </c>
      <c r="N48" s="16" cm="1" t="n">
        <f t="array" ref="N48">IF(OR(C48="",M48="",M48=0),"",M48)</f>
        <v>46105.648726851854</v>
      </c>
      <c r="O48" s="16">
        <v>46223.083333333336</v>
      </c>
      <c r="P48" s="16" cm="1" t="n">
        <f t="array" ref="P48">IF(C48="","",IF(OR(O48="",O48=0),"-",O48))</f>
        <v>46223.083333333336</v>
      </c>
      <c r="Q48" s="17">
        <v>0</v>
      </c>
      <c r="R48" s="17" cm="1" t="str">
        <f t="array" ref="R48">IF(C48="","",ROUND(Q48/1000000,3)&amp;" M€")</f>
        <v>0 M€</v>
      </c>
      <c r="S48" s="13" t="s">
        <v>164</v>
      </c>
      <c r="T48" s="9" cm="1" t="str">
        <f t="array" ref="T48">IF(C48="","",SUBSTITUTE(S48,"","")&amp;"%")</f>
        <v>10%</v>
      </c>
      <c r="U48" s="15" cm="1" t="str">
        <f t="array" ref="U48">IF(($N48="")*($P48=""),"",IF(($N48&lt;&gt;"")*($N48&gt;TODAY()-9)*($N48&lt;TODAY()+1)*($P48&lt;&gt;"")*($P48&gt;=TODAY())*($P48&lt;=TODAY()+13),"Semaine passée &amp; à venir",IF(($N48&lt;&gt;"")*($N48&gt;TODAY()-9)*($N48&lt;TODAY()+1),"Semaine passée",IF(($P48&lt;&gt;"")*($P48&gt;=TODAY())*($P48&lt;=TODAY()+13),"À venir","Autre"))))</f>
        <v>Autre</v>
      </c>
      <c r="V48" s="8" cm="1" t="n">
        <f t="array" ref="V48">IF(C48&lt;&gt;"",1,0)</f>
        <v>1</v>
      </c>
      <c r="W48" s="8">
</c>
      <c r="X48" s="8">
</c>
      <c r="Y48" s="8">
</c>
      <c r="Z48" s="8">
</c>
      <c r="AA48" s="8">
</c>
      <c r="AB48" s="8">
</c>
      <c r="AC48" s="8">
</c>
      <c r="AD48" s="8">
</c>
      <c r="AE48" s="8">
</c>
      <c r="AF48" s="8">
</c>
      <c r="AG48" s="8">
</c>
      <c r="AH48" s="8">
</c>
      <c r="AI48" s="8">
</c>
      <c r="AJ48" s="8">
</c>
      <c r="AK48" s="8">
</c>
    </row>
    <row r="49" ht="76.5" customHeight="1">
      <c r="A49" s="9" t="s">
        <v>23</v>
      </c>
      <c r="B49" s="9" t="s">
        <v>84</v>
      </c>
      <c r="C49" s="12" t="s">
        <v>186</v>
      </c>
      <c r="D49" s="13" t="s">
        <v>187</v>
      </c>
      <c r="E49" s="9" t="s">
        <v>54</v>
      </c>
      <c r="F49" s="8" t="s">
        <v>188</v>
      </c>
      <c r="G49" s="14" cm="1" t="str">
        <f t="array" ref="G49">IF(F49="","",SUBSTITUTE(SUBSTITUTE(SUBSTITUTE(SUBSTITUTE(F49,"&lt;li&gt;",CHAR(10)),"&lt;/li&gt;",""),"&lt;br&gt;",CHAR(10)),"&lt;strong&gt;",""))</f>
        <v>&lt;p&gt;25/02/2026 : RDV café Paris 16 avec Directeur Cheval Blanc Patrimoine CGP, présentation offre globale. Intérêt mais pas de suite, préfère fonds de dette privés, réticent sur fonds fiscaux (mauvaise réputation). 28/01/2026 : call vœux, collecte FCPI Wind. Pas d'action future prévue à ce stade.&lt;/p&gt;</v>
      </c>
      <c r="H49" s="14" cm="1" t="str">
        <f t="array" ref="H49">IF(G49="","",SUBSTITUTE(SUBSTITUTE(SUBSTITUTE(SUBSTITUTE(SUBSTITUTE(G49,"&lt;p&gt;",""),"&lt;/p&gt;",""),"&lt;ul&gt;",""),"&lt;/ul&gt;",""),"&lt;/strong&gt;",""))</f>
        <v>25/02/2026 : RDV café Paris 16 avec Directeur Cheval Blanc Patrimoine CGP, présentation offre globale. Intérêt mais pas de suite, préfère fonds de dette privés, réticent sur fonds fiscaux (mauvaise réputation). 28/01/2026 : call vœux, collecte FCPI Wind. Pas d'action future prévue à ce stade.</v>
      </c>
      <c r="I49" s="15" cm="1" t="str">
        <f t="array" ref="I49">IF(C49="","",IF(OR(H49="",H49=0,H49=FALSE),"-",H49))</f>
        <v>25/02/2026 : RDV café Paris 16 avec Directeur Cheval Blanc Patrimoine CGP, présentation offre globale. Intérêt mais pas de suite, préfère fonds de dette privés, réticent sur fonds fiscaux (mauvaise réputation). 28/01/2026 : call vœux, collecte FCPI Wind. Pas d'action future prévue à ce stade.</v>
      </c>
      <c r="J49" s="8">
</c>
      <c r="K49" s="8" t="s">
        <v>45</v>
      </c>
      <c r="L49" s="9" cm="1" t="str">
        <f t="array" ref="L49">IF(C49="","",IF(K49="Mort / Plus rien à faire","KO","OK"))</f>
        <v>OK</v>
      </c>
      <c r="M49" s="16">
        <v>46083.46741898148</v>
      </c>
      <c r="N49" s="16" cm="1" t="n">
        <f t="array" ref="N49">IF(OR(C49="",M49="",M49=0),"",M49)</f>
        <v>46083.46741898148</v>
      </c>
      <c r="O49" s="16">
</c>
      <c r="P49" s="16" cm="1" t="str">
        <f t="array" ref="P49">IF(C49="","",IF(OR(O49="",O49=0),"-",O49))</f>
        <v>-</v>
      </c>
      <c r="Q49" s="17">
        <v>0</v>
      </c>
      <c r="R49" s="17" cm="1" t="str">
        <f t="array" ref="R49">IF(C49="","",ROUND(Q49/1000000,3)&amp;" M€")</f>
        <v>0 M€</v>
      </c>
      <c r="S49" s="13" t="s">
        <v>164</v>
      </c>
      <c r="T49" s="9" cm="1" t="str">
        <f t="array" ref="T49">IF(C49="","",SUBSTITUTE(S49,"","")&amp;"%")</f>
        <v>10%</v>
      </c>
      <c r="U49" s="15" cm="1" t="str">
        <f t="array" ref="U49">IF(($N49="")*($P49=""),"",IF(($N49&lt;&gt;"")*($N49&gt;TODAY()-9)*($N49&lt;TODAY()+1)*($P49&lt;&gt;"")*($P49&gt;=TODAY())*($P49&lt;=TODAY()+13),"Semaine passée &amp; à venir",IF(($N49&lt;&gt;"")*($N49&gt;TODAY()-9)*($N49&lt;TODAY()+1),"Semaine passée",IF(($P49&lt;&gt;"")*($P49&gt;=TODAY())*($P49&lt;=TODAY()+13),"À venir","Autre"))))</f>
        <v>Autre</v>
      </c>
      <c r="V49" s="8" cm="1" t="n">
        <f t="array" ref="V49">IF(C49&lt;&gt;"",1,0)</f>
        <v>1</v>
      </c>
      <c r="W49" s="8">
</c>
      <c r="X49" s="8">
</c>
      <c r="Y49" s="8">
</c>
      <c r="Z49" s="8">
</c>
      <c r="AA49" s="8">
</c>
      <c r="AB49" s="8">
</c>
      <c r="AC49" s="8">
</c>
      <c r="AD49" s="8">
</c>
      <c r="AE49" s="8">
</c>
      <c r="AF49" s="8">
</c>
      <c r="AG49" s="8">
</c>
      <c r="AH49" s="8">
</c>
      <c r="AI49" s="8">
</c>
      <c r="AJ49" s="8">
</c>
      <c r="AK49" s="8">
</c>
    </row>
    <row r="50" ht="76.5" customHeight="1">
      <c r="A50" s="9" t="s">
        <v>23</v>
      </c>
      <c r="B50" s="9" t="s">
        <v>189</v>
      </c>
      <c r="C50" s="12" t="s">
        <v>190</v>
      </c>
      <c r="D50" s="13" t="s">
        <v>191</v>
      </c>
      <c r="E50" s="9" t="s">
        <v>27</v>
      </c>
      <c r="F50" s="8" t="s">
        <v>192</v>
      </c>
      <c r="G50" s="14" cm="1" t="str">
        <f t="array" ref="G50">IF(F50="","",SUBSTITUTE(SUBSTITUTE(SUBSTITUTE(SUBSTITUTE(F50,"&lt;li&gt;",CHAR(10)),"&lt;/li&gt;",""),"&lt;br&gt;",CHAR(10)),"&lt;strong&gt;",""))</f>
        <v>&lt;p&gt;Multiples RDV et relances avec Pierre Tessier, Louis Potvin, Danielle Filistin, Georges Mitchell. Désaccord sur critères géographiques Desjardins, ouverture possible si évolution doctrine. Mandat SIPAREX gagné, attente retour Danielle/Georges. Prochaine étape&amp;nbsp;: relancer Pierre/Louis, suivi défense évolutive.&lt;/p&gt;</v>
      </c>
      <c r="H50" s="14" cm="1" t="str">
        <f t="array" ref="H50">IF(G50="","",SUBSTITUTE(SUBSTITUTE(SUBSTITUTE(SUBSTITUTE(SUBSTITUTE(G50,"&lt;p&gt;",""),"&lt;/p&gt;",""),"&lt;ul&gt;",""),"&lt;/ul&gt;",""),"&lt;/strong&gt;",""))</f>
        <v>Multiples RDV et relances avec Pierre Tessier, Louis Potvin, Danielle Filistin, Georges Mitchell. Désaccord sur critères géographiques Desjardins, ouverture possible si évolution doctrine. Mandat SIPAREX gagné, attente retour Danielle/Georges. Prochaine étape&amp;nbsp;: relancer Pierre/Louis, suivi défense évolutive.</v>
      </c>
      <c r="I50" s="15" cm="1" t="str">
        <f t="array" ref="I50">IF(C50="","",IF(OR(H50="",H50=0,H50=FALSE),"-",H50))</f>
        <v>Multiples RDV et relances avec Pierre Tessier, Louis Potvin, Danielle Filistin, Georges Mitchell. Désaccord sur critères géographiques Desjardins, ouverture possible si évolution doctrine. Mandat SIPAREX gagné, attente retour Danielle/Georges. Prochaine étape&amp;nbsp;: relancer Pierre/Louis, suivi défense évolutive.</v>
      </c>
      <c r="J50" s="8" t="s">
        <v>193</v>
      </c>
      <c r="K50" s="8" t="s">
        <v>45</v>
      </c>
      <c r="L50" s="9" cm="1" t="str">
        <f t="array" ref="L50">IF(C50="","",IF(K50="Mort / Plus rien à faire","KO","OK"))</f>
        <v>OK</v>
      </c>
      <c r="M50" s="16">
        <v>46094.498703703706</v>
      </c>
      <c r="N50" s="16" cm="1" t="n">
        <f t="array" ref="N50">IF(OR(C50="",M50="",M50=0),"",M50)</f>
        <v>46094.498703703706</v>
      </c>
      <c r="O50" s="16">
</c>
      <c r="P50" s="16" cm="1" t="str">
        <f t="array" ref="P50">IF(C50="","",IF(OR(O50="",O50=0),"-",O50))</f>
        <v>-</v>
      </c>
      <c r="Q50" s="17">
        <v>0</v>
      </c>
      <c r="R50" s="17" cm="1" t="str">
        <f t="array" ref="R50">IF(C50="","",ROUND(Q50/1000000,3)&amp;" M€")</f>
        <v>0 M€</v>
      </c>
      <c r="S50" s="13" t="s">
        <v>164</v>
      </c>
      <c r="T50" s="9" cm="1" t="str">
        <f t="array" ref="T50">IF(C50="","",SUBSTITUTE(S50,"","")&amp;"%")</f>
        <v>10%</v>
      </c>
      <c r="U50" s="15" cm="1" t="str">
        <f t="array" ref="U50">IF(($N50="")*($P50=""),"",IF(($N50&lt;&gt;"")*($N50&gt;TODAY()-9)*($N50&lt;TODAY()+1)*($P50&lt;&gt;"")*($P50&gt;=TODAY())*($P50&lt;=TODAY()+13),"Semaine passée &amp; à venir",IF(($N50&lt;&gt;"")*($N50&gt;TODAY()-9)*($N50&lt;TODAY()+1),"Semaine passée",IF(($P50&lt;&gt;"")*($P50&gt;=TODAY())*($P50&lt;=TODAY()+13),"À venir","Autre"))))</f>
        <v>Autre</v>
      </c>
      <c r="V50" s="8" cm="1" t="n">
        <f t="array" ref="V50">IF(C50&lt;&gt;"",1,0)</f>
        <v>1</v>
      </c>
      <c r="W50" s="8">
</c>
      <c r="X50" s="8">
</c>
      <c r="Y50" s="8">
</c>
      <c r="Z50" s="8">
</c>
      <c r="AA50" s="8">
</c>
      <c r="AB50" s="8">
</c>
      <c r="AC50" s="8">
</c>
      <c r="AD50" s="8">
</c>
      <c r="AE50" s="8">
</c>
      <c r="AF50" s="8">
</c>
      <c r="AG50" s="8">
</c>
      <c r="AH50" s="8">
</c>
      <c r="AI50" s="8">
</c>
      <c r="AJ50" s="8">
</c>
      <c r="AK50" s="8">
</c>
    </row>
    <row r="51" ht="76.5" customHeight="1">
      <c r="A51" s="9" t="s">
        <v>23</v>
      </c>
      <c r="B51" s="9" t="s">
        <v>32</v>
      </c>
      <c r="C51" s="12" t="s">
        <v>194</v>
      </c>
      <c r="D51" s="13" t="s">
        <v>195</v>
      </c>
      <c r="E51" s="9" t="s">
        <v>121</v>
      </c>
      <c r="F51" s="8" t="s">
        <v>196</v>
      </c>
      <c r="G51" s="14" cm="1" t="str">
        <f t="array" ref="G51">IF(F51="","",SUBSTITUTE(SUBSTITUTE(SUBSTITUTE(SUBSTITUTE(F51,"&lt;li&gt;",CHAR(10)),"&lt;/li&gt;",""),"&lt;br&gt;",CHAR(10)),"&lt;strong&gt;",""))</f>
        <v>&lt;p&gt;Appel update 24/02/2026 avec Estelle : fonds de dette impact en cours, pas de réinvestissement Weinberg, mapping des fonds en France prévu, Partners group en stand-by pour due dil Tikehau, Fabrice réticent au non côté, échanges courtier, chasse Mgen pour Géraldine Brasseur, RDV Partners en mars.&lt;/p&gt;</v>
      </c>
      <c r="H51" s="14" cm="1" t="str">
        <f t="array" ref="H51">IF(G51="","",SUBSTITUTE(SUBSTITUTE(SUBSTITUTE(SUBSTITUTE(SUBSTITUTE(G51,"&lt;p&gt;",""),"&lt;/p&gt;",""),"&lt;ul&gt;",""),"&lt;/ul&gt;",""),"&lt;/strong&gt;",""))</f>
        <v>Appel update 24/02/2026 avec Estelle : fonds de dette impact en cours, pas de réinvestissement Weinberg, mapping des fonds en France prévu, Partners group en stand-by pour due dil Tikehau, Fabrice réticent au non côté, échanges courtier, chasse Mgen pour Géraldine Brasseur, RDV Partners en mars.</v>
      </c>
      <c r="I51" s="15" cm="1" t="str">
        <f t="array" ref="I51">IF(C51="","",IF(OR(H51="",H51=0,H51=FALSE),"-",H51))</f>
        <v>Appel update 24/02/2026 avec Estelle : fonds de dette impact en cours, pas de réinvestissement Weinberg, mapping des fonds en France prévu, Partners group en stand-by pour due dil Tikehau, Fabrice réticent au non côté, échanges courtier, chasse Mgen pour Géraldine Brasseur, RDV Partners en mars.</v>
      </c>
      <c r="J51" s="8">
</c>
      <c r="K51" s="8" t="s">
        <v>40</v>
      </c>
      <c r="L51" s="9" cm="1" t="str">
        <f t="array" ref="L51">IF(C51="","",IF(K51="Mort / Plus rien à faire","KO","OK"))</f>
        <v>OK</v>
      </c>
      <c r="M51" s="16">
        <v>46077.53480324074</v>
      </c>
      <c r="N51" s="16" cm="1" t="n">
        <f t="array" ref="N51">IF(OR(C51="",M51="",M51=0),"",M51)</f>
        <v>46077.53480324074</v>
      </c>
      <c r="O51" s="16">
</c>
      <c r="P51" s="16" cm="1" t="str">
        <f t="array" ref="P51">IF(C51="","",IF(OR(O51="",O51=0),"-",O51))</f>
        <v>-</v>
      </c>
      <c r="Q51" s="17">
        <v>0</v>
      </c>
      <c r="R51" s="17" cm="1" t="str">
        <f t="array" ref="R51">IF(C51="","",ROUND(Q51/1000000,3)&amp;" M€")</f>
        <v>0 M€</v>
      </c>
      <c r="S51" s="13" t="s">
        <v>164</v>
      </c>
      <c r="T51" s="9" cm="1" t="str">
        <f t="array" ref="T51">IF(C51="","",SUBSTITUTE(S51,"","")&amp;"%")</f>
        <v>10%</v>
      </c>
      <c r="U51" s="15" cm="1" t="str">
        <f t="array" ref="U51">IF(($N51="")*($P51=""),"",IF(($N51&lt;&gt;"")*($N51&gt;TODAY()-9)*($N51&lt;TODAY()+1)*($P51&lt;&gt;"")*($P51&gt;=TODAY())*($P51&lt;=TODAY()+13),"Semaine passée &amp; à venir",IF(($N51&lt;&gt;"")*($N51&gt;TODAY()-9)*($N51&lt;TODAY()+1),"Semaine passée",IF(($P51&lt;&gt;"")*($P51&gt;=TODAY())*($P51&lt;=TODAY()+13),"À venir","Autre"))))</f>
        <v>Autre</v>
      </c>
      <c r="V51" s="8" cm="1" t="n">
        <f t="array" ref="V51">IF(C51&lt;&gt;"",1,0)</f>
        <v>1</v>
      </c>
      <c r="W51" s="8">
</c>
      <c r="X51" s="8">
</c>
      <c r="Y51" s="8">
</c>
      <c r="Z51" s="8">
</c>
      <c r="AA51" s="8">
</c>
      <c r="AB51" s="8">
</c>
      <c r="AC51" s="8">
</c>
      <c r="AD51" s="8">
</c>
      <c r="AE51" s="8">
</c>
      <c r="AF51" s="8">
</c>
      <c r="AG51" s="8">
</c>
      <c r="AH51" s="8">
</c>
      <c r="AI51" s="8">
</c>
      <c r="AJ51" s="8">
</c>
      <c r="AK51" s="8">
</c>
    </row>
    <row r="52" ht="76.5" customHeight="1">
      <c r="A52" s="9" t="s">
        <v>23</v>
      </c>
      <c r="B52" s="9" t="s">
        <v>77</v>
      </c>
      <c r="C52" s="12" t="s">
        <v>197</v>
      </c>
      <c r="D52" s="13" t="s">
        <v>198</v>
      </c>
      <c r="E52" s="9" t="s">
        <v>27</v>
      </c>
      <c r="F52" s="8" t="s">
        <v>199</v>
      </c>
      <c r="G52" s="14" cm="1" t="str">
        <f t="array" ref="G52">IF(F52="","",SUBSTITUTE(SUBSTITUTE(SUBSTITUTE(SUBSTITUTE(F52,"&lt;li&gt;",CHAR(10)),"&lt;/li&gt;",""),"&lt;br&gt;",CHAR(10)),"&lt;strong&gt;",""))</f>
        <v>&lt;p&gt;RDV qualification 22/01/26, offre axée Luxembourg, mise en relation Charlotte Donahue, action : contacter assureurs luxembourgeois, envoyer doc fonds PE. Présentation CAPDEV, Straton, Geodesic faite. Déjeuner Strat&amp;amp;Fi 03/03/26. Relance prévue fin mars 2026, proposition faite, attente retour prospect.&lt;/p&gt;</v>
      </c>
      <c r="H52" s="14" cm="1" t="str">
        <f t="array" ref="H52">IF(G52="","",SUBSTITUTE(SUBSTITUTE(SUBSTITUTE(SUBSTITUTE(SUBSTITUTE(G52,"&lt;p&gt;",""),"&lt;/p&gt;",""),"&lt;ul&gt;",""),"&lt;/ul&gt;",""),"&lt;/strong&gt;",""))</f>
        <v>RDV qualification 22/01/26, offre axée Luxembourg, mise en relation Charlotte Donahue, action : contacter assureurs luxembourgeois, envoyer doc fonds PE. Présentation CAPDEV, Straton, Geodesic faite. Déjeuner Strat&amp;amp;Fi 03/03/26. Relance prévue fin mars 2026, proposition faite, attente retour prospect.</v>
      </c>
      <c r="I52" s="15" cm="1" t="str">
        <f t="array" ref="I52">IF(C52="","",IF(OR(H52="",H52=0,H52=FALSE),"-",H52))</f>
        <v>RDV qualification 22/01/26, offre axée Luxembourg, mise en relation Charlotte Donahue, action : contacter assureurs luxembourgeois, envoyer doc fonds PE. Présentation CAPDEV, Straton, Geodesic faite. Déjeuner Strat&amp;amp;Fi 03/03/26. Relance prévue fin mars 2026, proposition faite, attente retour prospect.</v>
      </c>
      <c r="J52" s="8" t="s">
        <v>200</v>
      </c>
      <c r="K52" s="8" t="s">
        <v>45</v>
      </c>
      <c r="L52" s="9" cm="1" t="str">
        <f t="array" ref="L52">IF(C52="","",IF(K52="Mort / Plus rien à faire","KO","OK"))</f>
        <v>OK</v>
      </c>
      <c r="M52" s="16">
        <v>46092.77395833333</v>
      </c>
      <c r="N52" s="16" cm="1" t="n">
        <f t="array" ref="N52">IF(OR(C52="",M52="",M52=0),"",M52)</f>
        <v>46092.77395833333</v>
      </c>
      <c r="O52" s="16">
</c>
      <c r="P52" s="16" cm="1" t="str">
        <f t="array" ref="P52">IF(C52="","",IF(OR(O52="",O52=0),"-",O52))</f>
        <v>-</v>
      </c>
      <c r="Q52" s="17">
        <v>0</v>
      </c>
      <c r="R52" s="17" cm="1" t="str">
        <f t="array" ref="R52">IF(C52="","",ROUND(Q52/1000000,3)&amp;" M€")</f>
        <v>0 M€</v>
      </c>
      <c r="S52" s="13" t="s">
        <v>164</v>
      </c>
      <c r="T52" s="9" cm="1" t="str">
        <f t="array" ref="T52">IF(C52="","",SUBSTITUTE(S52,"","")&amp;"%")</f>
        <v>10%</v>
      </c>
      <c r="U52" s="15" cm="1" t="str">
        <f t="array" ref="U52">IF(($N52="")*($P52=""),"",IF(($N52&lt;&gt;"")*($N52&gt;TODAY()-9)*($N52&lt;TODAY()+1)*($P52&lt;&gt;"")*($P52&gt;=TODAY())*($P52&lt;=TODAY()+13),"Semaine passée &amp; à venir",IF(($N52&lt;&gt;"")*($N52&gt;TODAY()-9)*($N52&lt;TODAY()+1),"Semaine passée",IF(($P52&lt;&gt;"")*($P52&gt;=TODAY())*($P52&lt;=TODAY()+13),"À venir","Autre"))))</f>
        <v>Autre</v>
      </c>
      <c r="V52" s="8" cm="1" t="n">
        <f t="array" ref="V52">IF(C52&lt;&gt;"",1,0)</f>
        <v>1</v>
      </c>
      <c r="W52" s="8">
</c>
      <c r="X52" s="8">
</c>
      <c r="Y52" s="8">
</c>
      <c r="Z52" s="8">
</c>
      <c r="AA52" s="8">
</c>
      <c r="AB52" s="8">
</c>
      <c r="AC52" s="8">
</c>
      <c r="AD52" s="8">
</c>
      <c r="AE52" s="8">
</c>
      <c r="AF52" s="8">
</c>
      <c r="AG52" s="8">
</c>
      <c r="AH52" s="8">
</c>
      <c r="AI52" s="8">
</c>
      <c r="AJ52" s="8">
</c>
      <c r="AK52" s="8">
</c>
    </row>
    <row r="53" ht="76.5" customHeight="1">
      <c r="A53" s="9" t="s">
        <v>23</v>
      </c>
      <c r="B53" s="9">
</c>
      <c r="C53" s="12" t="s">
        <v>201</v>
      </c>
      <c r="D53" s="13" t="s">
        <v>202</v>
      </c>
      <c r="E53" s="9" t="s">
        <v>27</v>
      </c>
      <c r="F53" s="8" t="s">
        <v>203</v>
      </c>
      <c r="G53" s="14" cm="1" t="str">
        <f t="array" ref="G53">IF(F53="","",SUBSTITUTE(SUBSTITUTE(SUBSTITUTE(SUBSTITUTE(F53,"&lt;li&gt;",CHAR(10)),"&lt;/li&gt;",""),"&lt;br&gt;",CHAR(10)),"&lt;strong&gt;",""))</f>
        <v>&lt;p&gt;Nouvelle piste créée pour équipe Ventes par Romain Andrieu. Aucun échange, action ou retour prospect enregistré à ce jour. Pas d'activité, pas de suivi, aucune étape suivante planifiée. Aucun retour ou avis prospect sur les fonds présentés. Situation en attente de premières actions.&lt;/p&gt;</v>
      </c>
      <c r="H53" s="14" cm="1" t="str">
        <f t="array" ref="H53">IF(G53="","",SUBSTITUTE(SUBSTITUTE(SUBSTITUTE(SUBSTITUTE(SUBSTITUTE(G53,"&lt;p&gt;",""),"&lt;/p&gt;",""),"&lt;ul&gt;",""),"&lt;/ul&gt;",""),"&lt;/strong&gt;",""))</f>
        <v>Nouvelle piste créée pour équipe Ventes par Romain Andrieu. Aucun échange, action ou retour prospect enregistré à ce jour. Pas d'activité, pas de suivi, aucune étape suivante planifiée. Aucun retour ou avis prospect sur les fonds présentés. Situation en attente de premières actions.</v>
      </c>
      <c r="I53" s="15" cm="1" t="str">
        <f t="array" ref="I53">IF(C53="","",IF(OR(H53="",H53=0,H53=FALSE),"-",H53))</f>
        <v>Nouvelle piste créée pour équipe Ventes par Romain Andrieu. Aucun échange, action ou retour prospect enregistré à ce jour. Pas d'activité, pas de suivi, aucune étape suivante planifiée. Aucun retour ou avis prospect sur les fonds présentés. Situation en attente de premières actions.</v>
      </c>
      <c r="J53" s="8" t="s">
        <v>204</v>
      </c>
      <c r="K53" s="8" t="s">
        <v>40</v>
      </c>
      <c r="L53" s="9" cm="1" t="str">
        <f t="array" ref="L53">IF(C53="","",IF(K53="Mort / Plus rien à faire","KO","OK"))</f>
        <v>OK</v>
      </c>
      <c r="M53" s="16">
        <v>46113.76545138889</v>
      </c>
      <c r="N53" s="16" cm="1" t="n">
        <f t="array" ref="N53">IF(OR(C53="",M53="",M53=0),"",M53)</f>
        <v>46113.76545138889</v>
      </c>
      <c r="O53" s="16">
        <v>46225.083333333336</v>
      </c>
      <c r="P53" s="16" cm="1" t="n">
        <f t="array" ref="P53">IF(C53="","",IF(OR(O53="",O53=0),"-",O53))</f>
        <v>46225.083333333336</v>
      </c>
      <c r="Q53" s="17">
        <v>0</v>
      </c>
      <c r="R53" s="17" cm="1" t="str">
        <f t="array" ref="R53">IF(C53="","",ROUND(Q53/1000000,3)&amp;" M€")</f>
        <v>0 M€</v>
      </c>
      <c r="S53" s="13" t="s">
        <v>164</v>
      </c>
      <c r="T53" s="9" cm="1" t="str">
        <f t="array" ref="T53">IF(C53="","",SUBSTITUTE(S53,"","")&amp;"%")</f>
        <v>10%</v>
      </c>
      <c r="U53" s="15" cm="1" t="str">
        <f t="array" ref="U53">IF(($N53="")*($P53=""),"",IF(($N53&lt;&gt;"")*($N53&gt;TODAY()-9)*($N53&lt;TODAY()+1)*($P53&lt;&gt;"")*($P53&gt;=TODAY())*($P53&lt;=TODAY()+13),"Semaine passée &amp; à venir",IF(($N53&lt;&gt;"")*($N53&gt;TODAY()-9)*($N53&lt;TODAY()+1),"Semaine passée",IF(($P53&lt;&gt;"")*($P53&gt;=TODAY())*($P53&lt;=TODAY()+13),"À venir","Autre"))))</f>
        <v>Semaine passée</v>
      </c>
      <c r="V53" s="8" cm="1" t="n">
        <f t="array" ref="V53">IF(C53&lt;&gt;"",1,0)</f>
        <v>1</v>
      </c>
      <c r="W53" s="8">
</c>
      <c r="X53" s="8">
</c>
      <c r="Y53" s="8">
</c>
      <c r="Z53" s="8">
</c>
      <c r="AA53" s="8">
</c>
      <c r="AB53" s="8">
</c>
      <c r="AC53" s="8">
</c>
      <c r="AD53" s="8">
</c>
      <c r="AE53" s="8">
</c>
      <c r="AF53" s="8">
</c>
      <c r="AG53" s="8">
</c>
      <c r="AH53" s="8">
</c>
      <c r="AI53" s="8">
</c>
      <c r="AJ53" s="8">
</c>
      <c r="AK53" s="8">
</c>
    </row>
    <row r="54" ht="76.5" customHeight="1">
      <c r="A54" s="9" t="s">
        <v>23</v>
      </c>
      <c r="B54" s="9" t="s">
        <v>36</v>
      </c>
      <c r="C54" s="12" t="s">
        <v>205</v>
      </c>
      <c r="D54" s="13" t="s">
        <v>205</v>
      </c>
      <c r="E54" s="9" t="s">
        <v>54</v>
      </c>
      <c r="F54" s="8" t="s">
        <v>206</v>
      </c>
      <c r="G54" s="14" cm="1" t="str">
        <f t="array" ref="G54">IF(F54="","",SUBSTITUTE(SUBSTITUTE(SUBSTITUTE(SUBSTITUTE(F54,"&lt;li&gt;",CHAR(10)),"&lt;/li&gt;",""),"&lt;br&gt;",CHAR(10)),"&lt;strong&gt;",""))</f>
        <v>&lt;p&gt;Intérêt initial pour diversification/remploi (ex-CEO SDG Matjys). Café le 24/02, ticket jugé trop important par prospect. Dernier échange : prospect se consacre à l'achat de son appartement, projet mis en pause. Prochaine action : prise de news prévue le 04/01/2027.&lt;/p&gt;</v>
      </c>
      <c r="H54" s="14" cm="1" t="str">
        <f t="array" ref="H54">IF(G54="","",SUBSTITUTE(SUBSTITUTE(SUBSTITUTE(SUBSTITUTE(SUBSTITUTE(G54,"&lt;p&gt;",""),"&lt;/p&gt;",""),"&lt;ul&gt;",""),"&lt;/ul&gt;",""),"&lt;/strong&gt;",""))</f>
        <v>Intérêt initial pour diversification/remploi (ex-CEO SDG Matjys). Café le 24/02, ticket jugé trop important par prospect. Dernier échange : prospect se consacre à l'achat de son appartement, projet mis en pause. Prochaine action : prise de news prévue le 04/01/2027.</v>
      </c>
      <c r="I54" s="15" cm="1" t="str">
        <f t="array" ref="I54">IF(C54="","",IF(OR(H54="",H54=0,H54=FALSE),"-",H54))</f>
        <v>Intérêt initial pour diversification/remploi (ex-CEO SDG Matjys). Café le 24/02, ticket jugé trop important par prospect. Dernier échange : prospect se consacre à l'achat de son appartement, projet mis en pause. Prochaine action : prise de news prévue le 04/01/2027.</v>
      </c>
      <c r="J54" s="8" t="s">
        <v>56</v>
      </c>
      <c r="K54" s="8" t="s">
        <v>88</v>
      </c>
      <c r="L54" s="9" cm="1" t="str">
        <f t="array" ref="L54">IF(C54="","",IF(K54="Mort / Plus rien à faire","KO","OK"))</f>
        <v>OK</v>
      </c>
      <c r="M54" s="16">
        <v>46087.70153935185</v>
      </c>
      <c r="N54" s="16" cm="1" t="n">
        <f t="array" ref="N54">IF(OR(C54="",M54="",M54=0),"",M54)</f>
        <v>46087.70153935185</v>
      </c>
      <c r="O54" s="16">
        <v>46391.041666666664</v>
      </c>
      <c r="P54" s="16" cm="1" t="n">
        <f t="array" ref="P54">IF(C54="","",IF(OR(O54="",O54=0),"-",O54))</f>
        <v>46391.041666666664</v>
      </c>
      <c r="Q54" s="17">
        <v>0</v>
      </c>
      <c r="R54" s="17" cm="1" t="str">
        <f t="array" ref="R54">IF(C54="","",ROUND(Q54/1000000,3)&amp;" M€")</f>
        <v>0 M€</v>
      </c>
      <c r="S54" s="13" t="s">
        <v>164</v>
      </c>
      <c r="T54" s="9" cm="1" t="str">
        <f t="array" ref="T54">IF(C54="","",SUBSTITUTE(S54,"","")&amp;"%")</f>
        <v>10%</v>
      </c>
      <c r="U54" s="15" cm="1" t="str">
        <f t="array" ref="U54">IF(($N54="")*($P54=""),"",IF(($N54&lt;&gt;"")*($N54&gt;TODAY()-9)*($N54&lt;TODAY()+1)*($P54&lt;&gt;"")*($P54&gt;=TODAY())*($P54&lt;=TODAY()+13),"Semaine passée &amp; à venir",IF(($N54&lt;&gt;"")*($N54&gt;TODAY()-9)*($N54&lt;TODAY()+1),"Semaine passée",IF(($P54&lt;&gt;"")*($P54&gt;=TODAY())*($P54&lt;=TODAY()+13),"À venir","Autre"))))</f>
        <v>Autre</v>
      </c>
      <c r="V54" s="8" cm="1" t="n">
        <f t="array" ref="V54">IF(C54&lt;&gt;"",1,0)</f>
        <v>1</v>
      </c>
      <c r="W54" s="8">
</c>
      <c r="X54" s="8">
</c>
      <c r="Y54" s="8">
</c>
      <c r="Z54" s="8">
</c>
      <c r="AA54" s="8">
</c>
      <c r="AB54" s="8">
</c>
      <c r="AC54" s="8">
</c>
      <c r="AD54" s="8">
</c>
      <c r="AE54" s="8">
</c>
      <c r="AF54" s="8">
</c>
      <c r="AG54" s="8">
</c>
      <c r="AH54" s="8">
</c>
      <c r="AI54" s="8">
</c>
      <c r="AJ54" s="8">
</c>
      <c r="AK54" s="8">
</c>
    </row>
    <row r="55" ht="76.5" customHeight="1">
      <c r="A55" s="9" t="s">
        <v>23</v>
      </c>
      <c r="B55" s="9" t="s">
        <v>51</v>
      </c>
      <c r="C55" s="12" t="s">
        <v>207</v>
      </c>
      <c r="D55" s="13" t="s">
        <v>208</v>
      </c>
      <c r="E55" s="9" t="s">
        <v>54</v>
      </c>
      <c r="F55" s="8" t="s">
        <v>209</v>
      </c>
      <c r="G55" s="14" cm="1" t="str">
        <f t="array" ref="G55">IF(F55="","",SUBSTITUTE(SUBSTITUTE(SUBSTITUTE(SUBSTITUTE(F55,"&lt;li&gt;",CHAR(10)),"&lt;/li&gt;",""),"&lt;br&gt;",CHAR(10)),"&lt;strong&gt;",""))</f>
        <v>&lt;p&gt;Projet référencement fonds, passage en comité prévu mi-février (comité décalé). Pas d'enrichissement possible (email invalide). Nouvelle piste créée pour équipe Ventes. Prochaine étape&amp;nbsp;: attendre retour du comité mi-février. Aucun retour prospect sur fonds présenté à ce stade.&lt;/p&gt;</v>
      </c>
      <c r="H55" s="14" cm="1" t="str">
        <f t="array" ref="H55">IF(G55="","",SUBSTITUTE(SUBSTITUTE(SUBSTITUTE(SUBSTITUTE(SUBSTITUTE(G55,"&lt;p&gt;",""),"&lt;/p&gt;",""),"&lt;ul&gt;",""),"&lt;/ul&gt;",""),"&lt;/strong&gt;",""))</f>
        <v>Projet référencement fonds, passage en comité prévu mi-février (comité décalé). Pas d'enrichissement possible (email invalide). Nouvelle piste créée pour équipe Ventes. Prochaine étape&amp;nbsp;: attendre retour du comité mi-février. Aucun retour prospect sur fonds présenté à ce stade.</v>
      </c>
      <c r="I55" s="15" cm="1" t="str">
        <f t="array" ref="I55">IF(C55="","",IF(OR(H55="",H55=0,H55=FALSE),"-",H55))</f>
        <v>Projet référencement fonds, passage en comité prévu mi-février (comité décalé). Pas d'enrichissement possible (email invalide). Nouvelle piste créée pour équipe Ventes. Prochaine étape&amp;nbsp;: attendre retour du comité mi-février. Aucun retour prospect sur fonds présenté à ce stade.</v>
      </c>
      <c r="J55" s="8">
</c>
      <c r="K55" s="8" t="s">
        <v>45</v>
      </c>
      <c r="L55" s="9" cm="1" t="str">
        <f t="array" ref="L55">IF(C55="","",IF(K55="Mort / Plus rien à faire","KO","OK"))</f>
        <v>OK</v>
      </c>
      <c r="M55" s="16">
        <v>46050.68894675926</v>
      </c>
      <c r="N55" s="16" cm="1" t="n">
        <f t="array" ref="N55">IF(OR(C55="",M55="",M55=0),"",M55)</f>
        <v>46050.68894675926</v>
      </c>
      <c r="O55" s="16">
</c>
      <c r="P55" s="16" cm="1" t="str">
        <f t="array" ref="P55">IF(C55="","",IF(OR(O55="",O55=0),"-",O55))</f>
        <v>-</v>
      </c>
      <c r="Q55" s="17">
        <v>0</v>
      </c>
      <c r="R55" s="17" cm="1" t="str">
        <f t="array" ref="R55">IF(C55="","",ROUND(Q55/1000000,3)&amp;" M€")</f>
        <v>0 M€</v>
      </c>
      <c r="S55" s="13" t="s">
        <v>164</v>
      </c>
      <c r="T55" s="9" cm="1" t="str">
        <f t="array" ref="T55">IF(C55="","",SUBSTITUTE(S55,"","")&amp;"%")</f>
        <v>10%</v>
      </c>
      <c r="U55" s="15" cm="1" t="str">
        <f t="array" ref="U55">IF(($N55="")*($P55=""),"",IF(($N55&lt;&gt;"")*($N55&gt;TODAY()-9)*($N55&lt;TODAY()+1)*($P55&lt;&gt;"")*($P55&gt;=TODAY())*($P55&lt;=TODAY()+13),"Semaine passée &amp; à venir",IF(($N55&lt;&gt;"")*($N55&gt;TODAY()-9)*($N55&lt;TODAY()+1),"Semaine passée",IF(($P55&lt;&gt;"")*($P55&gt;=TODAY())*($P55&lt;=TODAY()+13),"À venir","Autre"))))</f>
        <v>Autre</v>
      </c>
      <c r="V55" s="8" cm="1" t="n">
        <f t="array" ref="V55">IF(C55&lt;&gt;"",1,0)</f>
        <v>1</v>
      </c>
      <c r="W55" s="8">
</c>
      <c r="X55" s="8">
</c>
      <c r="Y55" s="8">
</c>
      <c r="Z55" s="8">
</c>
      <c r="AA55" s="8">
</c>
      <c r="AB55" s="8">
</c>
      <c r="AC55" s="8">
</c>
      <c r="AD55" s="8">
</c>
      <c r="AE55" s="8">
</c>
      <c r="AF55" s="8">
</c>
      <c r="AG55" s="8">
</c>
      <c r="AH55" s="8">
</c>
      <c r="AI55" s="8">
</c>
      <c r="AJ55" s="8">
</c>
      <c r="AK55" s="8">
</c>
    </row>
    <row r="56" ht="76.5" customHeight="1">
      <c r="A56" s="9" t="s">
        <v>23</v>
      </c>
      <c r="B56" s="9" t="s">
        <v>36</v>
      </c>
      <c r="C56" s="12" t="s">
        <v>210</v>
      </c>
      <c r="D56" s="13" t="s">
        <v>211</v>
      </c>
      <c r="E56" s="9" t="s">
        <v>54</v>
      </c>
      <c r="F56" s="8" t="s">
        <v>212</v>
      </c>
      <c r="G56" s="14" cm="1" t="str">
        <f t="array" ref="G56">IF(F56="","",SUBSTITUTE(SUBSTITUTE(SUBSTITUTE(SUBSTITUTE(F56,"&lt;li&gt;",CHAR(10)),"&lt;/li&gt;",""),"&lt;br&gt;",CHAR(10)),"&lt;strong&gt;",""))</f>
        <v>&lt;p&gt;Déjeuner 26/03 avec Famille Derville, Charles, Olivier. Remerciements envoyés. Intérêt exprimé pour Straton et le spatial. Pas de retour négatif sur Quantonation II. Prochaine étape : approfondir Straton/spatial avec le prospect. Aucun refus ou blocage mentionné à ce stade.&lt;/p&gt;</v>
      </c>
      <c r="H56" s="14" cm="1" t="str">
        <f t="array" ref="H56">IF(G56="","",SUBSTITUTE(SUBSTITUTE(SUBSTITUTE(SUBSTITUTE(SUBSTITUTE(G56,"&lt;p&gt;",""),"&lt;/p&gt;",""),"&lt;ul&gt;",""),"&lt;/ul&gt;",""),"&lt;/strong&gt;",""))</f>
        <v>Déjeuner 26/03 avec Famille Derville, Charles, Olivier. Remerciements envoyés. Intérêt exprimé pour Straton et le spatial. Pas de retour négatif sur Quantonation II. Prochaine étape : approfondir Straton/spatial avec le prospect. Aucun refus ou blocage mentionné à ce stade.</v>
      </c>
      <c r="I56" s="15" cm="1" t="str">
        <f t="array" ref="I56">IF(C56="","",IF(OR(H56="",H56=0,H56=FALSE),"-",H56))</f>
        <v>Déjeuner 26/03 avec Famille Derville, Charles, Olivier. Remerciements envoyés. Intérêt exprimé pour Straton et le spatial. Pas de retour négatif sur Quantonation II. Prochaine étape : approfondir Straton/spatial avec le prospect. Aucun refus ou blocage mentionné à ce stade.</v>
      </c>
      <c r="J56" s="8" t="s">
        <v>213</v>
      </c>
      <c r="K56" s="8" t="s">
        <v>45</v>
      </c>
      <c r="L56" s="9" cm="1" t="str">
        <f t="array" ref="L56">IF(C56="","",IF(K56="Mort / Plus rien à faire","KO","OK"))</f>
        <v>OK</v>
      </c>
      <c r="M56" s="16">
        <v>46108.69771990741</v>
      </c>
      <c r="N56" s="16" cm="1" t="n">
        <f t="array" ref="N56">IF(OR(C56="",M56="",M56=0),"",M56)</f>
        <v>46108.69771990741</v>
      </c>
      <c r="O56" s="16">
</c>
      <c r="P56" s="16" cm="1" t="str">
        <f t="array" ref="P56">IF(C56="","",IF(OR(O56="",O56=0),"-",O56))</f>
        <v>-</v>
      </c>
      <c r="Q56" s="17">
        <v>0</v>
      </c>
      <c r="R56" s="17" cm="1" t="str">
        <f t="array" ref="R56">IF(C56="","",ROUND(Q56/1000000,3)&amp;" M€")</f>
        <v>0 M€</v>
      </c>
      <c r="S56" s="13" t="s">
        <v>164</v>
      </c>
      <c r="T56" s="9" cm="1" t="str">
        <f t="array" ref="T56">IF(C56="","",SUBSTITUTE(S56,"","")&amp;"%")</f>
        <v>10%</v>
      </c>
      <c r="U56" s="15" cm="1" t="str">
        <f t="array" ref="U56">IF(($N56="")*($P56=""),"",IF(($N56&lt;&gt;"")*($N56&gt;TODAY()-9)*($N56&lt;TODAY()+1)*($P56&lt;&gt;"")*($P56&gt;=TODAY())*($P56&lt;=TODAY()+13),"Semaine passée &amp; à venir",IF(($N56&lt;&gt;"")*($N56&gt;TODAY()-9)*($N56&lt;TODAY()+1),"Semaine passée",IF(($P56&lt;&gt;"")*($P56&gt;=TODAY())*($P56&lt;=TODAY()+13),"À venir","Autre"))))</f>
        <v>Semaine passée</v>
      </c>
      <c r="V56" s="8" cm="1" t="n">
        <f t="array" ref="V56">IF(C56&lt;&gt;"",1,0)</f>
        <v>1</v>
      </c>
      <c r="W56" s="8">
</c>
      <c r="X56" s="8">
</c>
      <c r="Y56" s="8">
</c>
      <c r="Z56" s="8">
</c>
      <c r="AA56" s="8">
</c>
      <c r="AB56" s="8">
</c>
      <c r="AC56" s="8">
</c>
      <c r="AD56" s="8">
</c>
      <c r="AE56" s="8">
</c>
      <c r="AF56" s="8">
</c>
      <c r="AG56" s="8">
</c>
      <c r="AH56" s="8">
</c>
      <c r="AI56" s="8">
</c>
      <c r="AJ56" s="8">
</c>
      <c r="AK56" s="8">
</c>
    </row>
    <row r="57" ht="76.5" customHeight="1">
      <c r="A57" s="9" t="s">
        <v>23</v>
      </c>
      <c r="B57" s="9" t="s">
        <v>214</v>
      </c>
      <c r="C57" s="12" t="s">
        <v>215</v>
      </c>
      <c r="D57" s="13" t="s">
        <v>216</v>
      </c>
      <c r="E57" s="9" t="s">
        <v>27</v>
      </c>
      <c r="F57" s="8" t="s">
        <v>217</v>
      </c>
      <c r="G57" s="14" cm="1" t="str">
        <f t="array" ref="G57">IF(F57="","",SUBSTITUTE(SUBSTITUTE(SUBSTITUTE(SUBSTITUTE(F57,"&lt;li&gt;",CHAR(10)),"&lt;/li&gt;",""),"&lt;br&gt;",CHAR(10)),"&lt;strong&gt;",""))</f>
        <v>&lt;p&gt;RDV physique 27/01/2026 avec Normandie Participations : fonds régional, 100M€, 60 participations, ticket capped, focus PME/defense, lancement fonds défense et littoral, LPs institutionnels régionaux. Prochaine étape : présenter le dealflow normand, deadline 07/05/2026. Intérêt prospect : rassurant.&lt;/p&gt;</v>
      </c>
      <c r="H57" s="14" cm="1" t="str">
        <f t="array" ref="H57">IF(G57="","",SUBSTITUTE(SUBSTITUTE(SUBSTITUTE(SUBSTITUTE(SUBSTITUTE(G57,"&lt;p&gt;",""),"&lt;/p&gt;",""),"&lt;ul&gt;",""),"&lt;/ul&gt;",""),"&lt;/strong&gt;",""))</f>
        <v>RDV physique 27/01/2026 avec Normandie Participations : fonds régional, 100M€, 60 participations, ticket capped, focus PME/defense, lancement fonds défense et littoral, LPs institutionnels régionaux. Prochaine étape : présenter le dealflow normand, deadline 07/05/2026. Intérêt prospect : rassurant.</v>
      </c>
      <c r="I57" s="15" cm="1" t="str">
        <f t="array" ref="I57">IF(C57="","",IF(OR(H57="",H57=0,H57=FALSE),"-",H57))</f>
        <v>RDV physique 27/01/2026 avec Normandie Participations : fonds régional, 100M€, 60 participations, ticket capped, focus PME/defense, lancement fonds défense et littoral, LPs institutionnels régionaux. Prochaine étape : présenter le dealflow normand, deadline 07/05/2026. Intérêt prospect : rassurant.</v>
      </c>
      <c r="J57" s="8" t="s">
        <v>218</v>
      </c>
      <c r="K57" s="8" t="s">
        <v>88</v>
      </c>
      <c r="L57" s="9" cm="1" t="str">
        <f t="array" ref="L57">IF(C57="","",IF(K57="Mort / Plus rien à faire","KO","OK"))</f>
        <v>OK</v>
      </c>
      <c r="M57" s="16">
        <v>46050.662777777776</v>
      </c>
      <c r="N57" s="16" cm="1" t="n">
        <f t="array" ref="N57">IF(OR(C57="",M57="",M57=0),"",M57)</f>
        <v>46050.662777777776</v>
      </c>
      <c r="O57" s="16">
        <v>46149.083333333336</v>
      </c>
      <c r="P57" s="16" cm="1" t="n">
        <f t="array" ref="P57">IF(C57="","",IF(OR(O57="",O57=0),"-",O57))</f>
        <v>46149.083333333336</v>
      </c>
      <c r="Q57" s="17">
        <v>0</v>
      </c>
      <c r="R57" s="17" cm="1" t="str">
        <f t="array" ref="R57">IF(C57="","",ROUND(Q57/1000000,3)&amp;" M€")</f>
        <v>0 M€</v>
      </c>
      <c r="S57" s="13" t="s">
        <v>164</v>
      </c>
      <c r="T57" s="9" cm="1" t="str">
        <f t="array" ref="T57">IF(C57="","",SUBSTITUTE(S57,"","")&amp;"%")</f>
        <v>10%</v>
      </c>
      <c r="U57" s="15" cm="1" t="str">
        <f t="array" ref="U57">IF(($N57="")*($P57=""),"",IF(($N57&lt;&gt;"")*($N57&gt;TODAY()-9)*($N57&lt;TODAY()+1)*($P57&lt;&gt;"")*($P57&gt;=TODAY())*($P57&lt;=TODAY()+13),"Semaine passée &amp; à venir",IF(($N57&lt;&gt;"")*($N57&gt;TODAY()-9)*($N57&lt;TODAY()+1),"Semaine passée",IF(($P57&lt;&gt;"")*($P57&gt;=TODAY())*($P57&lt;=TODAY()+13),"À venir","Autre"))))</f>
        <v>Autre</v>
      </c>
      <c r="V57" s="8" cm="1" t="n">
        <f t="array" ref="V57">IF(C57&lt;&gt;"",1,0)</f>
        <v>1</v>
      </c>
      <c r="W57" s="8">
</c>
      <c r="X57" s="8">
</c>
      <c r="Y57" s="8">
</c>
      <c r="Z57" s="8">
</c>
      <c r="AA57" s="8">
</c>
      <c r="AB57" s="8">
</c>
      <c r="AC57" s="8">
</c>
      <c r="AD57" s="8">
</c>
      <c r="AE57" s="8">
</c>
      <c r="AF57" s="8">
</c>
      <c r="AG57" s="8">
</c>
      <c r="AH57" s="8">
</c>
      <c r="AI57" s="8">
</c>
      <c r="AJ57" s="8">
</c>
      <c r="AK57" s="8">
</c>
    </row>
    <row r="58" ht="76.5" customHeight="1">
      <c r="A58" s="9" t="s">
        <v>23</v>
      </c>
      <c r="B58" s="9" t="s">
        <v>77</v>
      </c>
      <c r="C58" s="12" t="s">
        <v>219</v>
      </c>
      <c r="D58" s="13" t="s">
        <v>220</v>
      </c>
      <c r="E58" s="9" t="s">
        <v>54</v>
      </c>
      <c r="F58" s="8" t="s">
        <v>221</v>
      </c>
      <c r="G58" s="14" cm="1" t="str">
        <f t="array" ref="G58">IF(F58="","",SUBSTITUTE(SUBSTITUTE(SUBSTITUTE(SUBSTITUTE(F58,"&lt;li&gt;",CHAR(10)),"&lt;/li&gt;",""),"&lt;br&gt;",CHAR(10)),"&lt;strong&gt;",""))</f>
        <v>&lt;p&gt;Piste créée équipe Ventes. Tentative enrichissement lead échouée (email invalide). Échange sur fonds deeptech et remploi clients, pas de retour prospect ni prochaines étapes identifiées. Aucune activité complémentaire, pas de conclusion prospect sur fonds présentés.&lt;/p&gt;</v>
      </c>
      <c r="H58" s="14" cm="1" t="str">
        <f t="array" ref="H58">IF(G58="","",SUBSTITUTE(SUBSTITUTE(SUBSTITUTE(SUBSTITUTE(SUBSTITUTE(G58,"&lt;p&gt;",""),"&lt;/p&gt;",""),"&lt;ul&gt;",""),"&lt;/ul&gt;",""),"&lt;/strong&gt;",""))</f>
        <v>Piste créée équipe Ventes. Tentative enrichissement lead échouée (email invalide). Échange sur fonds deeptech et remploi clients, pas de retour prospect ni prochaines étapes identifiées. Aucune activité complémentaire, pas de conclusion prospect sur fonds présentés.</v>
      </c>
      <c r="I58" s="15" cm="1" t="str">
        <f t="array" ref="I58">IF(C58="","",IF(OR(H58="",H58=0,H58=FALSE),"-",H58))</f>
        <v>Piste créée équipe Ventes. Tentative enrichissement lead échouée (email invalide). Échange sur fonds deeptech et remploi clients, pas de retour prospect ni prochaines étapes identifiées. Aucune activité complémentaire, pas de conclusion prospect sur fonds présentés.</v>
      </c>
      <c r="J58" s="8">
</c>
      <c r="K58" s="8" t="s">
        <v>45</v>
      </c>
      <c r="L58" s="9" cm="1" t="str">
        <f t="array" ref="L58">IF(C58="","",IF(K58="Mort / Plus rien à faire","KO","OK"))</f>
        <v>OK</v>
      </c>
      <c r="M58" s="16">
        <v>46050.696539351855</v>
      </c>
      <c r="N58" s="16" cm="1" t="n">
        <f t="array" ref="N58">IF(OR(C58="",M58="",M58=0),"",M58)</f>
        <v>46050.696539351855</v>
      </c>
      <c r="O58" s="16">
</c>
      <c r="P58" s="16" cm="1" t="str">
        <f t="array" ref="P58">IF(C58="","",IF(OR(O58="",O58=0),"-",O58))</f>
        <v>-</v>
      </c>
      <c r="Q58" s="17">
        <v>0</v>
      </c>
      <c r="R58" s="17" cm="1" t="str">
        <f t="array" ref="R58">IF(C58="","",ROUND(Q58/1000000,3)&amp;" M€")</f>
        <v>0 M€</v>
      </c>
      <c r="S58" s="13" t="s">
        <v>164</v>
      </c>
      <c r="T58" s="9" cm="1" t="str">
        <f t="array" ref="T58">IF(C58="","",SUBSTITUTE(S58,"","")&amp;"%")</f>
        <v>10%</v>
      </c>
      <c r="U58" s="15" cm="1" t="str">
        <f t="array" ref="U58">IF(($N58="")*($P58=""),"",IF(($N58&lt;&gt;"")*($N58&gt;TODAY()-9)*($N58&lt;TODAY()+1)*($P58&lt;&gt;"")*($P58&gt;=TODAY())*($P58&lt;=TODAY()+13),"Semaine passée &amp; à venir",IF(($N58&lt;&gt;"")*($N58&gt;TODAY()-9)*($N58&lt;TODAY()+1),"Semaine passée",IF(($P58&lt;&gt;"")*($P58&gt;=TODAY())*($P58&lt;=TODAY()+13),"À venir","Autre"))))</f>
        <v>Autre</v>
      </c>
      <c r="V58" s="8" cm="1" t="n">
        <f t="array" ref="V58">IF(C58&lt;&gt;"",1,0)</f>
        <v>1</v>
      </c>
      <c r="W58" s="8">
</c>
      <c r="X58" s="8">
</c>
      <c r="Y58" s="8">
</c>
      <c r="Z58" s="8">
</c>
      <c r="AA58" s="8">
</c>
      <c r="AB58" s="8">
</c>
      <c r="AC58" s="8">
</c>
      <c r="AD58" s="8">
</c>
      <c r="AE58" s="8">
</c>
      <c r="AF58" s="8">
</c>
      <c r="AG58" s="8">
</c>
      <c r="AH58" s="8">
</c>
      <c r="AI58" s="8">
</c>
      <c r="AJ58" s="8">
</c>
      <c r="AK58" s="8">
</c>
    </row>
    <row r="59" ht="76.5" customHeight="1">
      <c r="A59" s="9" t="s">
        <v>23</v>
      </c>
      <c r="B59" s="9" t="s">
        <v>32</v>
      </c>
      <c r="C59" s="12" t="s">
        <v>222</v>
      </c>
      <c r="D59" s="13" t="s">
        <v>223</v>
      </c>
      <c r="E59" s="9" t="s">
        <v>27</v>
      </c>
      <c r="F59" s="8" t="s">
        <v>224</v>
      </c>
      <c r="G59" s="14" cm="1" t="str">
        <f t="array" ref="G59">IF(F59="","",SUBSTITUTE(SUBSTITUTE(SUBSTITUTE(SUBSTITUTE(F59,"&lt;li&gt;",CHAR(10)),"&lt;/li&gt;",""),"&lt;br&gt;",CHAR(10)),"&lt;strong&gt;",""))</f>
        <v>&lt;p&gt;Aucune activité menée sur le prospect. Seule information disponible : une nouvelle piste a été créée pour l'équipe Ventes par Romain Andrieu le 14/01/2026. Aucun échange, action ou retour prospect enregistré à ce jour. Pas d'étape ou de conclusion sur les fonds présentés. Prochaines actions non planifiées.&lt;/p&gt;</v>
      </c>
      <c r="H59" s="14" cm="1" t="str">
        <f t="array" ref="H59">IF(G59="","",SUBSTITUTE(SUBSTITUTE(SUBSTITUTE(SUBSTITUTE(SUBSTITUTE(G59,"&lt;p&gt;",""),"&lt;/p&gt;",""),"&lt;ul&gt;",""),"&lt;/ul&gt;",""),"&lt;/strong&gt;",""))</f>
        <v>Aucune activité menée sur le prospect. Seule information disponible : une nouvelle piste a été créée pour l'équipe Ventes par Romain Andrieu le 14/01/2026. Aucun échange, action ou retour prospect enregistré à ce jour. Pas d'étape ou de conclusion sur les fonds présentés. Prochaines actions non planifiées.</v>
      </c>
      <c r="I59" s="15" cm="1" t="str">
        <f t="array" ref="I59">IF(C59="","",IF(OR(H59="",H59=0,H59=FALSE),"-",H59))</f>
        <v>Aucune activité menée sur le prospect. Seule information disponible : une nouvelle piste a été créée pour l'équipe Ventes par Romain Andrieu le 14/01/2026. Aucun échange, action ou retour prospect enregistré à ce jour. Pas d'étape ou de conclusion sur les fonds présentés. Prochaines actions non planifiées.</v>
      </c>
      <c r="J59" s="8">
</c>
      <c r="K59" s="8" t="s">
        <v>40</v>
      </c>
      <c r="L59" s="9" cm="1" t="str">
        <f t="array" ref="L59">IF(C59="","",IF(K59="Mort / Plus rien à faire","KO","OK"))</f>
        <v>OK</v>
      </c>
      <c r="M59" s="16">
        <v>46087.71891203704</v>
      </c>
      <c r="N59" s="16" cm="1" t="n">
        <f t="array" ref="N59">IF(OR(C59="",M59="",M59=0),"",M59)</f>
        <v>46087.71891203704</v>
      </c>
      <c r="O59" s="16">
</c>
      <c r="P59" s="16" cm="1" t="str">
        <f t="array" ref="P59">IF(C59="","",IF(OR(O59="",O59=0),"-",O59))</f>
        <v>-</v>
      </c>
      <c r="Q59" s="17">
        <v>0</v>
      </c>
      <c r="R59" s="17" cm="1" t="str">
        <f t="array" ref="R59">IF(C59="","",ROUND(Q59/1000000,3)&amp;" M€")</f>
        <v>0 M€</v>
      </c>
      <c r="S59" s="13" t="s">
        <v>164</v>
      </c>
      <c r="T59" s="9" cm="1" t="str">
        <f t="array" ref="T59">IF(C59="","",SUBSTITUTE(S59,"","")&amp;"%")</f>
        <v>10%</v>
      </c>
      <c r="U59" s="15" cm="1" t="str">
        <f t="array" ref="U59">IF(($N59="")*($P59=""),"",IF(($N59&lt;&gt;"")*($N59&gt;TODAY()-9)*($N59&lt;TODAY()+1)*($P59&lt;&gt;"")*($P59&gt;=TODAY())*($P59&lt;=TODAY()+13),"Semaine passée &amp; à venir",IF(($N59&lt;&gt;"")*($N59&gt;TODAY()-9)*($N59&lt;TODAY()+1),"Semaine passée",IF(($P59&lt;&gt;"")*($P59&gt;=TODAY())*($P59&lt;=TODAY()+13),"À venir","Autre"))))</f>
        <v>Autre</v>
      </c>
      <c r="V59" s="8" cm="1" t="n">
        <f t="array" ref="V59">IF(C59&lt;&gt;"",1,0)</f>
        <v>1</v>
      </c>
      <c r="W59" s="8">
</c>
      <c r="X59" s="8">
</c>
      <c r="Y59" s="8">
</c>
      <c r="Z59" s="8">
</c>
      <c r="AA59" s="8">
</c>
      <c r="AB59" s="8">
</c>
      <c r="AC59" s="8">
</c>
      <c r="AD59" s="8">
</c>
      <c r="AE59" s="8">
</c>
      <c r="AF59" s="8">
</c>
      <c r="AG59" s="8">
</c>
      <c r="AH59" s="8">
</c>
      <c r="AI59" s="8">
</c>
      <c r="AJ59" s="8">
</c>
      <c r="AK59" s="8">
</c>
    </row>
    <row r="60" ht="76.5" customHeight="1">
      <c r="A60" s="9" t="s">
        <v>23</v>
      </c>
      <c r="B60" s="9" t="s">
        <v>84</v>
      </c>
      <c r="C60" s="12" t="s">
        <v>225</v>
      </c>
      <c r="D60" s="13" t="s">
        <v>226</v>
      </c>
      <c r="E60" s="9" t="s">
        <v>54</v>
      </c>
      <c r="F60" s="8" t="s">
        <v>227</v>
      </c>
      <c r="G60" s="14" cm="1" t="str">
        <f t="array" ref="G60">IF(F60="","",SUBSTITUTE(SUBSTITUTE(SUBSTITUTE(SUBSTITUTE(F60,"&lt;li&gt;",CHAR(10)),"&lt;/li&gt;",""),"&lt;br&gt;",CHAR(10)),"&lt;strong&gt;",""))</f>
        <v>&lt;p&gt;Nouvelle piste créée pour équipe Ventes. Tentative d'enrichissement lead échouée (email invalide). Action prévue : organiser petit déjeuner avec clients. Aucune activité supplémentaire ni retour prospect sur fonds présentés. Prochaine étape : planification du rendez-vous.&lt;/p&gt;</v>
      </c>
      <c r="H60" s="14" cm="1" t="str">
        <f t="array" ref="H60">IF(G60="","",SUBSTITUTE(SUBSTITUTE(SUBSTITUTE(SUBSTITUTE(SUBSTITUTE(G60,"&lt;p&gt;",""),"&lt;/p&gt;",""),"&lt;ul&gt;",""),"&lt;/ul&gt;",""),"&lt;/strong&gt;",""))</f>
        <v>Nouvelle piste créée pour équipe Ventes. Tentative d'enrichissement lead échouée (email invalide). Action prévue : organiser petit déjeuner avec clients. Aucune activité supplémentaire ni retour prospect sur fonds présentés. Prochaine étape : planification du rendez-vous.</v>
      </c>
      <c r="I60" s="15" cm="1" t="str">
        <f t="array" ref="I60">IF(C60="","",IF(OR(H60="",H60=0,H60=FALSE),"-",H60))</f>
        <v>Nouvelle piste créée pour équipe Ventes. Tentative d'enrichissement lead échouée (email invalide). Action prévue : organiser petit déjeuner avec clients. Aucune activité supplémentaire ni retour prospect sur fonds présentés. Prochaine étape : planification du rendez-vous.</v>
      </c>
      <c r="J60" s="8">
</c>
      <c r="K60" s="8" t="s">
        <v>45</v>
      </c>
      <c r="L60" s="9" cm="1" t="str">
        <f t="array" ref="L60">IF(C60="","",IF(K60="Mort / Plus rien à faire","KO","OK"))</f>
        <v>OK</v>
      </c>
      <c r="M60" s="16">
        <v>46050.699953703705</v>
      </c>
      <c r="N60" s="16" cm="1" t="n">
        <f t="array" ref="N60">IF(OR(C60="",M60="",M60=0),"",M60)</f>
        <v>46050.699953703705</v>
      </c>
      <c r="O60" s="16">
</c>
      <c r="P60" s="16" cm="1" t="str">
        <f t="array" ref="P60">IF(C60="","",IF(OR(O60="",O60=0),"-",O60))</f>
        <v>-</v>
      </c>
      <c r="Q60" s="17">
        <v>0</v>
      </c>
      <c r="R60" s="17" cm="1" t="str">
        <f t="array" ref="R60">IF(C60="","",ROUND(Q60/1000000,3)&amp;" M€")</f>
        <v>0 M€</v>
      </c>
      <c r="S60" s="13" t="s">
        <v>164</v>
      </c>
      <c r="T60" s="9" cm="1" t="str">
        <f t="array" ref="T60">IF(C60="","",SUBSTITUTE(S60,"","")&amp;"%")</f>
        <v>10%</v>
      </c>
      <c r="U60" s="15" cm="1" t="str">
        <f t="array" ref="U60">IF(($N60="")*($P60=""),"",IF(($N60&lt;&gt;"")*($N60&gt;TODAY()-9)*($N60&lt;TODAY()+1)*($P60&lt;&gt;"")*($P60&gt;=TODAY())*($P60&lt;=TODAY()+13),"Semaine passée &amp; à venir",IF(($N60&lt;&gt;"")*($N60&gt;TODAY()-9)*($N60&lt;TODAY()+1),"Semaine passée",IF(($P60&lt;&gt;"")*($P60&gt;=TODAY())*($P60&lt;=TODAY()+13),"À venir","Autre"))))</f>
        <v>Autre</v>
      </c>
      <c r="V60" s="8" cm="1" t="n">
        <f t="array" ref="V60">IF(C60&lt;&gt;"",1,0)</f>
        <v>1</v>
      </c>
      <c r="W60" s="8">
</c>
      <c r="X60" s="8">
</c>
      <c r="Y60" s="8">
</c>
      <c r="Z60" s="8">
</c>
      <c r="AA60" s="8">
</c>
      <c r="AB60" s="8">
</c>
      <c r="AC60" s="8">
</c>
      <c r="AD60" s="8">
</c>
      <c r="AE60" s="8">
</c>
      <c r="AF60" s="8">
</c>
      <c r="AG60" s="8">
</c>
      <c r="AH60" s="8">
</c>
      <c r="AI60" s="8">
</c>
      <c r="AJ60" s="8">
</c>
      <c r="AK60" s="8">
</c>
    </row>
    <row r="61" ht="76.5" customHeight="1">
      <c r="A61" s="9" t="s">
        <v>23</v>
      </c>
      <c r="B61" s="9" t="s">
        <v>57</v>
      </c>
      <c r="C61" s="12" t="s">
        <v>228</v>
      </c>
      <c r="D61" s="13" t="s">
        <v>229</v>
      </c>
      <c r="E61" s="9" t="s">
        <v>27</v>
      </c>
      <c r="F61" s="8" t="s">
        <v>230</v>
      </c>
      <c r="G61" s="14" cm="1" t="str">
        <f t="array" ref="G61">IF(F61="","",SUBSTITUTE(SUBSTITUTE(SUBSTITUTE(SUBSTITUTE(F61,"&lt;li&gt;",CHAR(10)),"&lt;/li&gt;",""),"&lt;br&gt;",CHAR(10)),"&lt;strong&gt;",""))</f>
        <v>&lt;p&gt;RDV physique 21/01/2025 : défense ok, dette ok, PE non coté pas de place, fonds Tourisme sans intérêt, focus 2026 sur souveraineté/défense. Déjeuner présentation STRATON calé au 17/04/2026 avec David Boyer. Prochaine étape : organiser ce déjeuner. Pas d'autres actions récentes.&lt;/p&gt;</v>
      </c>
      <c r="H61" s="14" cm="1" t="str">
        <f t="array" ref="H61">IF(G61="","",SUBSTITUTE(SUBSTITUTE(SUBSTITUTE(SUBSTITUTE(SUBSTITUTE(G61,"&lt;p&gt;",""),"&lt;/p&gt;",""),"&lt;ul&gt;",""),"&lt;/ul&gt;",""),"&lt;/strong&gt;",""))</f>
        <v>RDV physique 21/01/2025 : défense ok, dette ok, PE non coté pas de place, fonds Tourisme sans intérêt, focus 2026 sur souveraineté/défense. Déjeuner présentation STRATON calé au 17/04/2026 avec David Boyer. Prochaine étape : organiser ce déjeuner. Pas d'autres actions récentes.</v>
      </c>
      <c r="I61" s="15" cm="1" t="str">
        <f t="array" ref="I61">IF(C61="","",IF(OR(H61="",H61=0,H61=FALSE),"-",H61))</f>
        <v>RDV physique 21/01/2025 : défense ok, dette ok, PE non coté pas de place, fonds Tourisme sans intérêt, focus 2026 sur souveraineté/défense. Déjeuner présentation STRATON calé au 17/04/2026 avec David Boyer. Prochaine étape : organiser ce déjeuner. Pas d'autres actions récentes.</v>
      </c>
      <c r="J61" s="8" t="s">
        <v>231</v>
      </c>
      <c r="K61" s="8" t="s">
        <v>40</v>
      </c>
      <c r="L61" s="9" cm="1" t="str">
        <f t="array" ref="L61">IF(C61="","",IF(K61="Mort / Plus rien à faire","KO","OK"))</f>
        <v>OK</v>
      </c>
      <c r="M61" s="16">
        <v>46090.58775462963</v>
      </c>
      <c r="N61" s="16" cm="1" t="n">
        <f t="array" ref="N61">IF(OR(C61="",M61="",M61=0),"",M61)</f>
        <v>46090.58775462963</v>
      </c>
      <c r="O61" s="16">
        <v>46129.083333333336</v>
      </c>
      <c r="P61" s="16" cm="1" t="n">
        <f t="array" ref="P61">IF(C61="","",IF(OR(O61="",O61=0),"-",O61))</f>
        <v>46129.083333333336</v>
      </c>
      <c r="Q61" s="17">
        <v>0</v>
      </c>
      <c r="R61" s="17" cm="1" t="str">
        <f t="array" ref="R61">IF(C61="","",ROUND(Q61/1000000,3)&amp;" M€")</f>
        <v>0 M€</v>
      </c>
      <c r="S61" s="13" t="s">
        <v>164</v>
      </c>
      <c r="T61" s="9" cm="1" t="str">
        <f t="array" ref="T61">IF(C61="","",SUBSTITUTE(S61,"","")&amp;"%")</f>
        <v>10%</v>
      </c>
      <c r="U61" s="15" cm="1" t="str">
        <f t="array" ref="U61">IF(($N61="")*($P61=""),"",IF(($N61&lt;&gt;"")*($N61&gt;TODAY()-9)*($N61&lt;TODAY()+1)*($P61&lt;&gt;"")*($P61&gt;=TODAY())*($P61&lt;=TODAY()+13),"Semaine passée &amp; à venir",IF(($N61&lt;&gt;"")*($N61&gt;TODAY()-9)*($N61&lt;TODAY()+1),"Semaine passée",IF(($P61&lt;&gt;"")*($P61&gt;=TODAY())*($P61&lt;=TODAY()+13),"À venir","Autre"))))</f>
        <v>Autre</v>
      </c>
      <c r="V61" s="8" cm="1" t="n">
        <f t="array" ref="V61">IF(C61&lt;&gt;"",1,0)</f>
        <v>1</v>
      </c>
      <c r="W61" s="8">
</c>
      <c r="X61" s="8">
</c>
      <c r="Y61" s="8">
</c>
      <c r="Z61" s="8">
</c>
      <c r="AA61" s="8">
</c>
      <c r="AB61" s="8">
</c>
      <c r="AC61" s="8">
</c>
      <c r="AD61" s="8">
</c>
      <c r="AE61" s="8">
</c>
      <c r="AF61" s="8">
</c>
      <c r="AG61" s="8">
</c>
      <c r="AH61" s="8">
</c>
      <c r="AI61" s="8">
</c>
      <c r="AJ61" s="8">
</c>
      <c r="AK61" s="8">
</c>
    </row>
    <row r="62" ht="76.5" customHeight="1">
      <c r="A62" s="9" t="s">
        <v>23</v>
      </c>
      <c r="B62" s="9" t="s">
        <v>51</v>
      </c>
      <c r="C62" s="12" t="s">
        <v>232</v>
      </c>
      <c r="D62" s="13" t="s">
        <v>233</v>
      </c>
      <c r="E62" s="9" t="s">
        <v>54</v>
      </c>
      <c r="F62" s="8" t="s">
        <v>234</v>
      </c>
      <c r="G62" s="14" cm="1" t="str">
        <f t="array" ref="G62">IF(F62="","",SUBSTITUTE(SUBSTITUTE(SUBSTITUTE(SUBSTITUTE(F62,"&lt;li&gt;",CHAR(10)),"&lt;/li&gt;",""),"&lt;br&gt;",CHAR(10)),"&lt;strong&gt;",""))</f>
        <v>&lt;p&gt;05/02/2026: Intérêt prospect pour solutions diversification, peu de dossiers remploi, prise de contact pour organiser RDV avec Charles. 13/03/2026: Appel avec Edouard Gaurier, proposition de dates pour rencontre gérant FCPI et Audacia, mail envoyé pour fixer RDV en avril. Prochaine étape : rencontre à planifier.&lt;/p&gt;</v>
      </c>
      <c r="H62" s="14" cm="1" t="str">
        <f t="array" ref="H62">IF(G62="","",SUBSTITUTE(SUBSTITUTE(SUBSTITUTE(SUBSTITUTE(SUBSTITUTE(G62,"&lt;p&gt;",""),"&lt;/p&gt;",""),"&lt;ul&gt;",""),"&lt;/ul&gt;",""),"&lt;/strong&gt;",""))</f>
        <v>05/02/2026: Intérêt prospect pour solutions diversification, peu de dossiers remploi, prise de contact pour organiser RDV avec Charles. 13/03/2026: Appel avec Edouard Gaurier, proposition de dates pour rencontre gérant FCPI et Audacia, mail envoyé pour fixer RDV en avril. Prochaine étape : rencontre à planifier.</v>
      </c>
      <c r="I62" s="15" cm="1" t="str">
        <f t="array" ref="I62">IF(C62="","",IF(OR(H62="",H62=0,H62=FALSE),"-",H62))</f>
        <v>05/02/2026: Intérêt prospect pour solutions diversification, peu de dossiers remploi, prise de contact pour organiser RDV avec Charles. 13/03/2026: Appel avec Edouard Gaurier, proposition de dates pour rencontre gérant FCPI et Audacia, mail envoyé pour fixer RDV en avril. Prochaine étape : rencontre à planifier.</v>
      </c>
      <c r="J62" s="8">
</c>
      <c r="K62" s="8" t="s">
        <v>45</v>
      </c>
      <c r="L62" s="9" cm="1" t="str">
        <f t="array" ref="L62">IF(C62="","",IF(K62="Mort / Plus rien à faire","KO","OK"))</f>
        <v>OK</v>
      </c>
      <c r="M62" s="16">
        <v>46094.7534375</v>
      </c>
      <c r="N62" s="16" cm="1" t="n">
        <f t="array" ref="N62">IF(OR(C62="",M62="",M62=0),"",M62)</f>
        <v>46094.7534375</v>
      </c>
      <c r="O62" s="16">
</c>
      <c r="P62" s="16" cm="1" t="str">
        <f t="array" ref="P62">IF(C62="","",IF(OR(O62="",O62=0),"-",O62))</f>
        <v>-</v>
      </c>
      <c r="Q62" s="17">
        <v>0</v>
      </c>
      <c r="R62" s="17" cm="1" t="str">
        <f t="array" ref="R62">IF(C62="","",ROUND(Q62/1000000,3)&amp;" M€")</f>
        <v>0 M€</v>
      </c>
      <c r="S62" s="13" t="s">
        <v>164</v>
      </c>
      <c r="T62" s="9" cm="1" t="str">
        <f t="array" ref="T62">IF(C62="","",SUBSTITUTE(S62,"","")&amp;"%")</f>
        <v>10%</v>
      </c>
      <c r="U62" s="15" cm="1" t="str">
        <f t="array" ref="U62">IF(($N62="")*($P62=""),"",IF(($N62&lt;&gt;"")*($N62&gt;TODAY()-9)*($N62&lt;TODAY()+1)*($P62&lt;&gt;"")*($P62&gt;=TODAY())*($P62&lt;=TODAY()+13),"Semaine passée &amp; à venir",IF(($N62&lt;&gt;"")*($N62&gt;TODAY()-9)*($N62&lt;TODAY()+1),"Semaine passée",IF(($P62&lt;&gt;"")*($P62&gt;=TODAY())*($P62&lt;=TODAY()+13),"À venir","Autre"))))</f>
        <v>Autre</v>
      </c>
      <c r="V62" s="8" cm="1" t="n">
        <f t="array" ref="V62">IF(C62&lt;&gt;"",1,0)</f>
        <v>1</v>
      </c>
      <c r="W62" s="8">
</c>
      <c r="X62" s="8">
</c>
      <c r="Y62" s="8">
</c>
      <c r="Z62" s="8">
</c>
      <c r="AA62" s="8">
</c>
      <c r="AB62" s="8">
</c>
      <c r="AC62" s="8">
</c>
      <c r="AD62" s="8">
</c>
      <c r="AE62" s="8">
</c>
      <c r="AF62" s="8">
</c>
      <c r="AG62" s="8">
</c>
      <c r="AH62" s="8">
</c>
      <c r="AI62" s="8">
</c>
      <c r="AJ62" s="8">
</c>
      <c r="AK62" s="8">
</c>
    </row>
    <row r="63" ht="76.5" customHeight="1">
      <c r="A63" s="9" t="s">
        <v>23</v>
      </c>
      <c r="B63" s="9" t="s">
        <v>214</v>
      </c>
      <c r="C63" s="12" t="s">
        <v>235</v>
      </c>
      <c r="D63" s="13" t="s">
        <v>236</v>
      </c>
      <c r="E63" s="9" t="s">
        <v>27</v>
      </c>
      <c r="F63" s="8" t="s">
        <v>237</v>
      </c>
      <c r="G63" s="14" cm="1" t="str">
        <f t="array" ref="G63">IF(F63="","",SUBSTITUTE(SUBSTITUTE(SUBSTITUTE(SUBSTITUTE(F63,"&lt;li&gt;",CHAR(10)),"&lt;/li&gt;",""),"&lt;br&gt;",CHAR(10)),"&lt;strong&gt;",""))</f>
        <v>&lt;p&gt;Nouvelle piste créée pour équipe Ventes. Aucun échange, activité ou retour prospect enregistré à ce jour. Pas d'action menée ni de prochaine étape planifiée. Aucun retour sur fonds présentés, aucune conclusion ou avis prospect disponible. Suivi inexistant à ce stade.&lt;/p&gt;</v>
      </c>
      <c r="H63" s="14" cm="1" t="str">
        <f t="array" ref="H63">IF(G63="","",SUBSTITUTE(SUBSTITUTE(SUBSTITUTE(SUBSTITUTE(SUBSTITUTE(G63,"&lt;p&gt;",""),"&lt;/p&gt;",""),"&lt;ul&gt;",""),"&lt;/ul&gt;",""),"&lt;/strong&gt;",""))</f>
        <v>Nouvelle piste créée pour équipe Ventes. Aucun échange, activité ou retour prospect enregistré à ce jour. Pas d'action menée ni de prochaine étape planifiée. Aucun retour sur fonds présentés, aucune conclusion ou avis prospect disponible. Suivi inexistant à ce stade.</v>
      </c>
      <c r="I63" s="15" cm="1" t="str">
        <f t="array" ref="I63">IF(C63="","",IF(OR(H63="",H63=0,H63=FALSE),"-",H63))</f>
        <v>Nouvelle piste créée pour équipe Ventes. Aucun échange, activité ou retour prospect enregistré à ce jour. Pas d'action menée ni de prochaine étape planifiée. Aucun retour sur fonds présentés, aucune conclusion ou avis prospect disponible. Suivi inexistant à ce stade.</v>
      </c>
      <c r="J63" s="8">
</c>
      <c r="K63" s="8" t="s">
        <v>40</v>
      </c>
      <c r="L63" s="9" cm="1" t="str">
        <f t="array" ref="L63">IF(C63="","",IF(K63="Mort / Plus rien à faire","KO","OK"))</f>
        <v>OK</v>
      </c>
      <c r="M63" s="16">
        <v>46114.68803240741</v>
      </c>
      <c r="N63" s="16" cm="1" t="n">
        <f t="array" ref="N63">IF(OR(C63="",M63="",M63=0),"",M63)</f>
        <v>46114.68803240741</v>
      </c>
      <c r="O63" s="16">
</c>
      <c r="P63" s="16" cm="1" t="str">
        <f t="array" ref="P63">IF(C63="","",IF(OR(O63="",O63=0),"-",O63))</f>
        <v>-</v>
      </c>
      <c r="Q63" s="17">
        <v>0</v>
      </c>
      <c r="R63" s="17" cm="1" t="str">
        <f t="array" ref="R63">IF(C63="","",ROUND(Q63/1000000,3)&amp;" M€")</f>
        <v>0 M€</v>
      </c>
      <c r="S63" s="13" t="s">
        <v>164</v>
      </c>
      <c r="T63" s="9" cm="1" t="str">
        <f t="array" ref="T63">IF(C63="","",SUBSTITUTE(S63,"","")&amp;"%")</f>
        <v>10%</v>
      </c>
      <c r="U63" s="15" cm="1" t="str">
        <f t="array" ref="U63">IF(($N63="")*($P63=""),"",IF(($N63&lt;&gt;"")*($N63&gt;TODAY()-9)*($N63&lt;TODAY()+1)*($P63&lt;&gt;"")*($P63&gt;=TODAY())*($P63&lt;=TODAY()+13),"Semaine passée &amp; à venir",IF(($N63&lt;&gt;"")*($N63&gt;TODAY()-9)*($N63&lt;TODAY()+1),"Semaine passée",IF(($P63&lt;&gt;"")*($P63&gt;=TODAY())*($P63&lt;=TODAY()+13),"À venir","Autre"))))</f>
        <v>Semaine passée</v>
      </c>
      <c r="V63" s="8" cm="1" t="n">
        <f t="array" ref="V63">IF(C63&lt;&gt;"",1,0)</f>
        <v>1</v>
      </c>
      <c r="W63" s="8">
</c>
      <c r="X63" s="8">
</c>
      <c r="Y63" s="8">
</c>
      <c r="Z63" s="8">
</c>
      <c r="AA63" s="8">
</c>
      <c r="AB63" s="8">
</c>
      <c r="AC63" s="8">
</c>
      <c r="AD63" s="8">
</c>
      <c r="AE63" s="8">
</c>
      <c r="AF63" s="8">
</c>
      <c r="AG63" s="8">
</c>
      <c r="AH63" s="8">
</c>
      <c r="AI63" s="8">
</c>
      <c r="AJ63" s="8">
</c>
      <c r="AK63" s="8">
</c>
    </row>
    <row r="64" ht="76.5" customHeight="1">
      <c r="A64" s="9" t="s">
        <v>23</v>
      </c>
      <c r="B64" s="9" t="s">
        <v>51</v>
      </c>
      <c r="C64" s="12" t="s">
        <v>165</v>
      </c>
      <c r="D64" s="13" t="s">
        <v>238</v>
      </c>
      <c r="E64" s="9" t="s">
        <v>27</v>
      </c>
      <c r="F64" s="8" t="s">
        <v>239</v>
      </c>
      <c r="G64" s="14" cm="1" t="str">
        <f t="array" ref="G64">IF(F64="","",SUBSTITUTE(SUBSTITUTE(SUBSTITUTE(SUBSTITUTE(F64,"&lt;li&gt;",CHAR(10)),"&lt;/li&gt;",""),"&lt;br&gt;",CHAR(10)),"&lt;strong&gt;",""))</f>
        <v>&lt;p&gt;RDV physique 23/02/2026, apéro Fort de France&amp;nbsp;: process référencement in-house BRED, chasse gardée Guyane/FdF, peu de concurrence gestion privée. 300 familles ciblées. Prochaine étape&amp;nbsp;: présenter fonds Straton/Géodesic. Introduction famille pour leverage bancaire, question sur fonds AUDACIA. OdP à la manoeuvre.&lt;/p&gt;</v>
      </c>
      <c r="H64" s="14" cm="1" t="str">
        <f t="array" ref="H64">IF(G64="","",SUBSTITUTE(SUBSTITUTE(SUBSTITUTE(SUBSTITUTE(SUBSTITUTE(G64,"&lt;p&gt;",""),"&lt;/p&gt;",""),"&lt;ul&gt;",""),"&lt;/ul&gt;",""),"&lt;/strong&gt;",""))</f>
        <v>RDV physique 23/02/2026, apéro Fort de France&amp;nbsp;: process référencement in-house BRED, chasse gardée Guyane/FdF, peu de concurrence gestion privée. 300 familles ciblées. Prochaine étape&amp;nbsp;: présenter fonds Straton/Géodesic. Introduction famille pour leverage bancaire, question sur fonds AUDACIA. OdP à la manoeuvre.</v>
      </c>
      <c r="I64" s="15" cm="1" t="str">
        <f t="array" ref="I64">IF(C64="","",IF(OR(H64="",H64=0,H64=FALSE),"-",H64))</f>
        <v>RDV physique 23/02/2026, apéro Fort de France&amp;nbsp;: process référencement in-house BRED, chasse gardée Guyane/FdF, peu de concurrence gestion privée. 300 familles ciblées. Prochaine étape&amp;nbsp;: présenter fonds Straton/Géodesic. Introduction famille pour leverage bancaire, question sur fonds AUDACIA. OdP à la manoeuvre.</v>
      </c>
      <c r="J64" s="8" t="s">
        <v>240</v>
      </c>
      <c r="K64" s="8" t="s">
        <v>40</v>
      </c>
      <c r="L64" s="9" cm="1" t="str">
        <f t="array" ref="L64">IF(C64="","",IF(K64="Mort / Plus rien à faire","KO","OK"))</f>
        <v>OK</v>
      </c>
      <c r="M64" s="16">
        <v>46094.43515046296</v>
      </c>
      <c r="N64" s="16" cm="1" t="n">
        <f t="array" ref="N64">IF(OR(C64="",M64="",M64=0),"",M64)</f>
        <v>46094.43515046296</v>
      </c>
      <c r="O64" s="16">
</c>
      <c r="P64" s="16" cm="1" t="str">
        <f t="array" ref="P64">IF(C64="","",IF(OR(O64="",O64=0),"-",O64))</f>
        <v>-</v>
      </c>
      <c r="Q64" s="17">
        <v>1000000</v>
      </c>
      <c r="R64" s="17" cm="1" t="str">
        <f t="array" ref="R64">IF(C64="","",ROUND(Q64/1000000,3)&amp;" M€")</f>
        <v>1 M€</v>
      </c>
      <c r="S64" s="13" t="s">
        <v>164</v>
      </c>
      <c r="T64" s="9" cm="1" t="str">
        <f t="array" ref="T64">IF(C64="","",SUBSTITUTE(S64,"","")&amp;"%")</f>
        <v>10%</v>
      </c>
      <c r="U64" s="15" cm="1" t="str">
        <f t="array" ref="U64">IF(($N64="")*($P64=""),"",IF(($N64&lt;&gt;"")*($N64&gt;TODAY()-9)*($N64&lt;TODAY()+1)*($P64&lt;&gt;"")*($P64&gt;=TODAY())*($P64&lt;=TODAY()+13),"Semaine passée &amp; à venir",IF(($N64&lt;&gt;"")*($N64&gt;TODAY()-9)*($N64&lt;TODAY()+1),"Semaine passée",IF(($P64&lt;&gt;"")*($P64&gt;=TODAY())*($P64&lt;=TODAY()+13),"À venir","Autre"))))</f>
        <v>Autre</v>
      </c>
      <c r="V64" s="8" cm="1" t="n">
        <f t="array" ref="V64">IF(C64&lt;&gt;"",1,0)</f>
        <v>1</v>
      </c>
      <c r="W64" s="8">
</c>
      <c r="X64" s="8">
</c>
      <c r="Y64" s="8">
</c>
      <c r="Z64" s="8">
</c>
      <c r="AA64" s="8">
</c>
      <c r="AB64" s="8">
</c>
      <c r="AC64" s="8">
</c>
      <c r="AD64" s="8">
</c>
      <c r="AE64" s="8">
</c>
      <c r="AF64" s="8">
</c>
      <c r="AG64" s="8">
</c>
      <c r="AH64" s="8">
</c>
      <c r="AI64" s="8">
</c>
      <c r="AJ64" s="8">
</c>
      <c r="AK64" s="8">
</c>
    </row>
    <row r="65" ht="76.5" customHeight="1">
      <c r="A65" s="9" t="s">
        <v>23</v>
      </c>
      <c r="B65" s="9" t="s">
        <v>124</v>
      </c>
      <c r="C65" s="12" t="s">
        <v>241</v>
      </c>
      <c r="D65" s="13" t="s">
        <v>242</v>
      </c>
      <c r="E65" s="9" t="s">
        <v>54</v>
      </c>
      <c r="F65" s="8" t="s">
        <v>243</v>
      </c>
      <c r="G65" s="14" cm="1" t="str">
        <f t="array" ref="G65">IF(F65="","",SUBSTITUTE(SUBSTITUTE(SUBSTITUTE(SUBSTITUTE(F65,"&lt;li&gt;",CHAR(10)),"&lt;/li&gt;",""),"&lt;br&gt;",CHAR(10)),"&lt;strong&gt;",""))</f>
        <v>&lt;p&gt;Point sur fonds deeptech, docs à envoyer pour alimenter. Enrichissement lead impossible (email non valide). Nouvelle piste créée pour équipe Ventes. Pas d'autres activités ni retours prospects. Prochaine étape : envoi de documentation, attente retour sur fonds présentés.&lt;/p&gt;</v>
      </c>
      <c r="H65" s="14" cm="1" t="str">
        <f t="array" ref="H65">IF(G65="","",SUBSTITUTE(SUBSTITUTE(SUBSTITUTE(SUBSTITUTE(SUBSTITUTE(G65,"&lt;p&gt;",""),"&lt;/p&gt;",""),"&lt;ul&gt;",""),"&lt;/ul&gt;",""),"&lt;/strong&gt;",""))</f>
        <v>Point sur fonds deeptech, docs à envoyer pour alimenter. Enrichissement lead impossible (email non valide). Nouvelle piste créée pour équipe Ventes. Pas d'autres activités ni retours prospects. Prochaine étape : envoi de documentation, attente retour sur fonds présentés.</v>
      </c>
      <c r="I65" s="15" cm="1" t="str">
        <f t="array" ref="I65">IF(C65="","",IF(OR(H65="",H65=0,H65=FALSE),"-",H65))</f>
        <v>Point sur fonds deeptech, docs à envoyer pour alimenter. Enrichissement lead impossible (email non valide). Nouvelle piste créée pour équipe Ventes. Pas d'autres activités ni retours prospects. Prochaine étape : envoi de documentation, attente retour sur fonds présentés.</v>
      </c>
      <c r="J65" s="8">
</c>
      <c r="K65" s="8" t="s">
        <v>45</v>
      </c>
      <c r="L65" s="9" cm="1" t="str">
        <f t="array" ref="L65">IF(C65="","",IF(K65="Mort / Plus rien à faire","KO","OK"))</f>
        <v>OK</v>
      </c>
      <c r="M65" s="16">
        <v>46050.69390046296</v>
      </c>
      <c r="N65" s="16" cm="1" t="n">
        <f t="array" ref="N65">IF(OR(C65="",M65="",M65=0),"",M65)</f>
        <v>46050.69390046296</v>
      </c>
      <c r="O65" s="16">
</c>
      <c r="P65" s="16" cm="1" t="str">
        <f t="array" ref="P65">IF(C65="","",IF(OR(O65="",O65=0),"-",O65))</f>
        <v>-</v>
      </c>
      <c r="Q65" s="17">
        <v>0</v>
      </c>
      <c r="R65" s="17" cm="1" t="str">
        <f t="array" ref="R65">IF(C65="","",ROUND(Q65/1000000,3)&amp;" M€")</f>
        <v>0 M€</v>
      </c>
      <c r="S65" s="13" t="s">
        <v>164</v>
      </c>
      <c r="T65" s="9" cm="1" t="str">
        <f t="array" ref="T65">IF(C65="","",SUBSTITUTE(S65,"","")&amp;"%")</f>
        <v>10%</v>
      </c>
      <c r="U65" s="15" cm="1" t="str">
        <f t="array" ref="U65">IF(($N65="")*($P65=""),"",IF(($N65&lt;&gt;"")*($N65&gt;TODAY()-9)*($N65&lt;TODAY()+1)*($P65&lt;&gt;"")*($P65&gt;=TODAY())*($P65&lt;=TODAY()+13),"Semaine passée &amp; à venir",IF(($N65&lt;&gt;"")*($N65&gt;TODAY()-9)*($N65&lt;TODAY()+1),"Semaine passée",IF(($P65&lt;&gt;"")*($P65&gt;=TODAY())*($P65&lt;=TODAY()+13),"À venir","Autre"))))</f>
        <v>Autre</v>
      </c>
      <c r="V65" s="8" cm="1" t="n">
        <f t="array" ref="V65">IF(C65&lt;&gt;"",1,0)</f>
        <v>1</v>
      </c>
      <c r="W65" s="8">
</c>
      <c r="X65" s="8">
</c>
      <c r="Y65" s="8">
</c>
      <c r="Z65" s="8">
</c>
      <c r="AA65" s="8">
</c>
      <c r="AB65" s="8">
</c>
      <c r="AC65" s="8">
</c>
      <c r="AD65" s="8">
</c>
      <c r="AE65" s="8">
</c>
      <c r="AF65" s="8">
</c>
      <c r="AG65" s="8">
</c>
      <c r="AH65" s="8">
</c>
      <c r="AI65" s="8">
</c>
      <c r="AJ65" s="8">
</c>
      <c r="AK65" s="8">
</c>
    </row>
    <row r="66" ht="76.5" customHeight="1">
      <c r="A66" s="9" t="s">
        <v>23</v>
      </c>
      <c r="B66" s="9" t="s">
        <v>244</v>
      </c>
      <c r="C66" s="12" t="s">
        <v>245</v>
      </c>
      <c r="D66" s="13" t="s">
        <v>246</v>
      </c>
      <c r="E66" s="9" t="s">
        <v>27</v>
      </c>
      <c r="F66" s="8" t="s">
        <v>247</v>
      </c>
      <c r="G66" s="14" cm="1" t="str">
        <f t="array" ref="G66">IF(F66="","",SUBSTITUTE(SUBSTITUTE(SUBSTITUTE(SUBSTITUTE(F66,"&lt;li&gt;",CHAR(10)),"&lt;/li&gt;",""),"&lt;br&gt;",CHAR(10)),"&lt;strong&gt;",""))</f>
        <v>&lt;p&gt;Nouvelle piste créée pour équipe Ventes par Romain Andrieu le 06/01/2026. Aucun échange, activité ou action de suivi enregistrés depuis la création. Pas de retour prospect, pas de prochaine étape planifiée, aucune interaction significative à ce jour.&lt;/p&gt;</v>
      </c>
      <c r="H66" s="14" cm="1" t="str">
        <f t="array" ref="H66">IF(G66="","",SUBSTITUTE(SUBSTITUTE(SUBSTITUTE(SUBSTITUTE(SUBSTITUTE(G66,"&lt;p&gt;",""),"&lt;/p&gt;",""),"&lt;ul&gt;",""),"&lt;/ul&gt;",""),"&lt;/strong&gt;",""))</f>
        <v>Nouvelle piste créée pour équipe Ventes par Romain Andrieu le 06/01/2026. Aucun échange, activité ou action de suivi enregistrés depuis la création. Pas de retour prospect, pas de prochaine étape planifiée, aucune interaction significative à ce jour.</v>
      </c>
      <c r="I66" s="15" cm="1" t="str">
        <f t="array" ref="I66">IF(C66="","",IF(OR(H66="",H66=0,H66=FALSE),"-",H66))</f>
        <v>Nouvelle piste créée pour équipe Ventes par Romain Andrieu le 06/01/2026. Aucun échange, activité ou action de suivi enregistrés depuis la création. Pas de retour prospect, pas de prochaine étape planifiée, aucune interaction significative à ce jour.</v>
      </c>
      <c r="J66" s="8">
</c>
      <c r="K66" s="8" t="s">
        <v>45</v>
      </c>
      <c r="L66" s="9" cm="1" t="str">
        <f t="array" ref="L66">IF(C66="","",IF(K66="Mort / Plus rien à faire","KO","OK"))</f>
        <v>OK</v>
      </c>
      <c r="M66" s="16">
        <v>46090.69517361111</v>
      </c>
      <c r="N66" s="16" cm="1" t="n">
        <f t="array" ref="N66">IF(OR(C66="",M66="",M66=0),"",M66)</f>
        <v>46090.69517361111</v>
      </c>
      <c r="O66" s="16">
</c>
      <c r="P66" s="16" cm="1" t="str">
        <f t="array" ref="P66">IF(C66="","",IF(OR(O66="",O66=0),"-",O66))</f>
        <v>-</v>
      </c>
      <c r="Q66" s="17">
        <v>10000000</v>
      </c>
      <c r="R66" s="17" cm="1" t="str">
        <f t="array" ref="R66">IF(C66="","",ROUND(Q66/1000000,3)&amp;" M€")</f>
        <v>10 M€</v>
      </c>
      <c r="S66" s="13" t="s">
        <v>164</v>
      </c>
      <c r="T66" s="9" cm="1" t="str">
        <f t="array" ref="T66">IF(C66="","",SUBSTITUTE(S66,"","")&amp;"%")</f>
        <v>10%</v>
      </c>
      <c r="U66" s="15" cm="1" t="str">
        <f t="array" ref="U66">IF(($N66="")*($P66=""),"",IF(($N66&lt;&gt;"")*($N66&gt;TODAY()-9)*($N66&lt;TODAY()+1)*($P66&lt;&gt;"")*($P66&gt;=TODAY())*($P66&lt;=TODAY()+13),"Semaine passée &amp; à venir",IF(($N66&lt;&gt;"")*($N66&gt;TODAY()-9)*($N66&lt;TODAY()+1),"Semaine passée",IF(($P66&lt;&gt;"")*($P66&gt;=TODAY())*($P66&lt;=TODAY()+13),"À venir","Autre"))))</f>
        <v>Autre</v>
      </c>
      <c r="V66" s="8" cm="1" t="n">
        <f t="array" ref="V66">IF(C66&lt;&gt;"",1,0)</f>
        <v>1</v>
      </c>
      <c r="W66" s="8">
</c>
      <c r="X66" s="8">
</c>
      <c r="Y66" s="8">
</c>
      <c r="Z66" s="8">
</c>
      <c r="AA66" s="8">
</c>
      <c r="AB66" s="8">
</c>
      <c r="AC66" s="8">
</c>
      <c r="AD66" s="8">
</c>
      <c r="AE66" s="8">
</c>
      <c r="AF66" s="8">
</c>
      <c r="AG66" s="8">
</c>
      <c r="AH66" s="8">
</c>
      <c r="AI66" s="8">
</c>
      <c r="AJ66" s="8">
</c>
      <c r="AK66" s="8">
</c>
    </row>
    <row r="67" ht="76.5" customHeight="1">
      <c r="A67" s="9" t="s">
        <v>23</v>
      </c>
      <c r="B67" s="9" t="s">
        <v>57</v>
      </c>
      <c r="C67" s="12" t="s">
        <v>248</v>
      </c>
      <c r="D67" s="13" t="s">
        <v>249</v>
      </c>
      <c r="E67" s="9" t="s">
        <v>27</v>
      </c>
      <c r="F67" s="8" t="s">
        <v>250</v>
      </c>
      <c r="G67" s="14" cm="1" t="str">
        <f t="array" ref="G67">IF(F67="","",SUBSTITUTE(SUBSTITUTE(SUBSTITUTE(SUBSTITUTE(F67,"&lt;li&gt;",CHAR(10)),"&lt;/li&gt;",""),"&lt;br&gt;",CHAR(10)),"&lt;strong&gt;",""))</f>
        <v>&lt;p&gt;Aucune activité menée sur le prospect. Infos : CARCDSF, caisse de retraite obligatoire pour chirurgiens-dentistes en France, structure reconnue, gère la retraite de milliers de professionnels de santé. Nouvelle piste créée pour équipe Ventes, pas d'autres actions ou retours notés.&lt;/p&gt;</v>
      </c>
      <c r="H67" s="14" cm="1" t="str">
        <f t="array" ref="H67">IF(G67="","",SUBSTITUTE(SUBSTITUTE(SUBSTITUTE(SUBSTITUTE(SUBSTITUTE(G67,"&lt;p&gt;",""),"&lt;/p&gt;",""),"&lt;ul&gt;",""),"&lt;/ul&gt;",""),"&lt;/strong&gt;",""))</f>
        <v>Aucune activité menée sur le prospect. Infos : CARCDSF, caisse de retraite obligatoire pour chirurgiens-dentistes en France, structure reconnue, gère la retraite de milliers de professionnels de santé. Nouvelle piste créée pour équipe Ventes, pas d'autres actions ou retours notés.</v>
      </c>
      <c r="I67" s="15" cm="1" t="str">
        <f t="array" ref="I67">IF(C67="","",IF(OR(H67="",H67=0,H67=FALSE),"-",H67))</f>
        <v>Aucune activité menée sur le prospect. Infos : CARCDSF, caisse de retraite obligatoire pour chirurgiens-dentistes en France, structure reconnue, gère la retraite de milliers de professionnels de santé. Nouvelle piste créée pour équipe Ventes, pas d'autres actions ou retours notés.</v>
      </c>
      <c r="J67" s="8">
</c>
      <c r="K67" s="8" t="s">
        <v>40</v>
      </c>
      <c r="L67" s="9" cm="1" t="str">
        <f t="array" ref="L67">IF(C67="","",IF(K67="Mort / Plus rien à faire","KO","OK"))</f>
        <v>OK</v>
      </c>
      <c r="M67" s="16">
        <v>46090.85857638889</v>
      </c>
      <c r="N67" s="16" cm="1" t="n">
        <f t="array" ref="N67">IF(OR(C67="",M67="",M67=0),"",M67)</f>
        <v>46090.85857638889</v>
      </c>
      <c r="O67" s="16">
</c>
      <c r="P67" s="16" cm="1" t="str">
        <f t="array" ref="P67">IF(C67="","",IF(OR(O67="",O67=0),"-",O67))</f>
        <v>-</v>
      </c>
      <c r="Q67" s="17">
        <v>0</v>
      </c>
      <c r="R67" s="17" cm="1" t="str">
        <f t="array" ref="R67">IF(C67="","",ROUND(Q67/1000000,3)&amp;" M€")</f>
        <v>0 M€</v>
      </c>
      <c r="S67" s="13" t="s">
        <v>164</v>
      </c>
      <c r="T67" s="9" cm="1" t="str">
        <f t="array" ref="T67">IF(C67="","",SUBSTITUTE(S67,"","")&amp;"%")</f>
        <v>10%</v>
      </c>
      <c r="U67" s="15" cm="1" t="str">
        <f t="array" ref="U67">IF(($N67="")*($P67=""),"",IF(($N67&lt;&gt;"")*($N67&gt;TODAY()-9)*($N67&lt;TODAY()+1)*($P67&lt;&gt;"")*($P67&gt;=TODAY())*($P67&lt;=TODAY()+13),"Semaine passée &amp; à venir",IF(($N67&lt;&gt;"")*($N67&gt;TODAY()-9)*($N67&lt;TODAY()+1),"Semaine passée",IF(($P67&lt;&gt;"")*($P67&gt;=TODAY())*($P67&lt;=TODAY()+13),"À venir","Autre"))))</f>
        <v>Autre</v>
      </c>
      <c r="V67" s="8" cm="1" t="n">
        <f t="array" ref="V67">IF(C67&lt;&gt;"",1,0)</f>
        <v>1</v>
      </c>
      <c r="W67" s="8">
</c>
      <c r="X67" s="8">
</c>
      <c r="Y67" s="8">
</c>
      <c r="Z67" s="8">
</c>
      <c r="AA67" s="8">
</c>
      <c r="AB67" s="8">
</c>
      <c r="AC67" s="8">
</c>
      <c r="AD67" s="8">
</c>
      <c r="AE67" s="8">
</c>
      <c r="AF67" s="8">
</c>
      <c r="AG67" s="8">
</c>
      <c r="AH67" s="8">
</c>
      <c r="AI67" s="8">
</c>
      <c r="AJ67" s="8">
</c>
      <c r="AK67" s="8">
</c>
    </row>
    <row r="68" ht="76.5" customHeight="1">
      <c r="A68" s="9" t="s">
        <v>23</v>
      </c>
      <c r="B68" s="9" t="s">
        <v>168</v>
      </c>
      <c r="C68" s="12" t="s">
        <v>251</v>
      </c>
      <c r="D68" s="13" t="s">
        <v>252</v>
      </c>
      <c r="E68" s="9" t="s">
        <v>54</v>
      </c>
      <c r="F68" s="8" t="s">
        <v>253</v>
      </c>
      <c r="G68" s="14" cm="1" t="str">
        <f t="array" ref="G68">IF(F68="","",SUBSTITUTE(SUBSTITUTE(SUBSTITUTE(SUBSTITUTE(F68,"&lt;li&gt;",CHAR(10)),"&lt;/li&gt;",""),"&lt;br&gt;",CHAR(10)),"&lt;strong&gt;",""))</f>
        <v>&lt;p&gt;03/02/2026: Point offre remploi. 28/01: Préparation petit déjeuner sur fonds remploi et deeptech. Enrichissement lead impossible (email invalide). Nouvelle piste créée équipe Ventes. Prochaine étape: organiser petit déjeuner thématique. Pas d'autres actions ou retours prospects notés.&lt;/p&gt;</v>
      </c>
      <c r="H68" s="14" cm="1" t="str">
        <f t="array" ref="H68">IF(G68="","",SUBSTITUTE(SUBSTITUTE(SUBSTITUTE(SUBSTITUTE(SUBSTITUTE(G68,"&lt;p&gt;",""),"&lt;/p&gt;",""),"&lt;ul&gt;",""),"&lt;/ul&gt;",""),"&lt;/strong&gt;",""))</f>
        <v>03/02/2026: Point offre remploi. 28/01: Préparation petit déjeuner sur fonds remploi et deeptech. Enrichissement lead impossible (email invalide). Nouvelle piste créée équipe Ventes. Prochaine étape: organiser petit déjeuner thématique. Pas d'autres actions ou retours prospects notés.</v>
      </c>
      <c r="I68" s="15" cm="1" t="str">
        <f t="array" ref="I68">IF(C68="","",IF(OR(H68="",H68=0,H68=FALSE),"-",H68))</f>
        <v>03/02/2026: Point offre remploi. 28/01: Préparation petit déjeuner sur fonds remploi et deeptech. Enrichissement lead impossible (email invalide). Nouvelle piste créée équipe Ventes. Prochaine étape: organiser petit déjeuner thématique. Pas d'autres actions ou retours prospects notés.</v>
      </c>
      <c r="J68" s="8">
</c>
      <c r="K68" s="8" t="s">
        <v>45</v>
      </c>
      <c r="L68" s="9" cm="1" t="str">
        <f t="array" ref="L68">IF(C68="","",IF(K68="Mort / Plus rien à faire","KO","OK"))</f>
        <v>OK</v>
      </c>
      <c r="M68" s="16">
        <v>46063.47023148148</v>
      </c>
      <c r="N68" s="16" cm="1" t="n">
        <f t="array" ref="N68">IF(OR(C68="",M68="",M68=0),"",M68)</f>
        <v>46063.47023148148</v>
      </c>
      <c r="O68" s="16">
</c>
      <c r="P68" s="16" cm="1" t="str">
        <f t="array" ref="P68">IF(C68="","",IF(OR(O68="",O68=0),"-",O68))</f>
        <v>-</v>
      </c>
      <c r="Q68" s="17">
        <v>0</v>
      </c>
      <c r="R68" s="17" cm="1" t="str">
        <f t="array" ref="R68">IF(C68="","",ROUND(Q68/1000000,3)&amp;" M€")</f>
        <v>0 M€</v>
      </c>
      <c r="S68" s="13" t="s">
        <v>164</v>
      </c>
      <c r="T68" s="9" cm="1" t="str">
        <f t="array" ref="T68">IF(C68="","",SUBSTITUTE(S68,"","")&amp;"%")</f>
        <v>10%</v>
      </c>
      <c r="U68" s="15" cm="1" t="str">
        <f t="array" ref="U68">IF(($N68="")*($P68=""),"",IF(($N68&lt;&gt;"")*($N68&gt;TODAY()-9)*($N68&lt;TODAY()+1)*($P68&lt;&gt;"")*($P68&gt;=TODAY())*($P68&lt;=TODAY()+13),"Semaine passée &amp; à venir",IF(($N68&lt;&gt;"")*($N68&gt;TODAY()-9)*($N68&lt;TODAY()+1),"Semaine passée",IF(($P68&lt;&gt;"")*($P68&gt;=TODAY())*($P68&lt;=TODAY()+13),"À venir","Autre"))))</f>
        <v>Autre</v>
      </c>
      <c r="V68" s="8" cm="1" t="n">
        <f t="array" ref="V68">IF(C68&lt;&gt;"",1,0)</f>
        <v>1</v>
      </c>
      <c r="W68" s="8">
</c>
      <c r="X68" s="8">
</c>
      <c r="Y68" s="8">
</c>
      <c r="Z68" s="8">
</c>
      <c r="AA68" s="8">
</c>
      <c r="AB68" s="8">
</c>
      <c r="AC68" s="8">
</c>
      <c r="AD68" s="8">
</c>
      <c r="AE68" s="8">
</c>
      <c r="AF68" s="8">
</c>
      <c r="AG68" s="8">
</c>
      <c r="AH68" s="8">
</c>
      <c r="AI68" s="8">
</c>
      <c r="AJ68" s="8">
</c>
      <c r="AK68" s="8">
</c>
    </row>
    <row r="69" ht="76.5" customHeight="1">
      <c r="A69" s="9" t="s">
        <v>23</v>
      </c>
      <c r="B69" s="9" t="s">
        <v>84</v>
      </c>
      <c r="C69" s="12" t="s">
        <v>254</v>
      </c>
      <c r="D69" s="13" t="s">
        <v>255</v>
      </c>
      <c r="E69" s="9" t="s">
        <v>54</v>
      </c>
      <c r="F69" s="8" t="s">
        <v>256</v>
      </c>
      <c r="G69" s="14" cm="1" t="str">
        <f t="array" ref="G69">IF(F69="","",SUBSTITUTE(SUBSTITUTE(SUBSTITUTE(SUBSTITUTE(F69,"&lt;li&gt;",CHAR(10)),"&lt;/li&gt;",""),"&lt;br&gt;",CHAR(10)),"&lt;strong&gt;",""))</f>
        <v>&lt;p&gt;Intérêt souverain noté le 28/01, création piste pour équipe Ventes. Tentative d'enrichissement lead échouée (email invalide). Aucune activité ou action supplémentaire enregistrée, pas de prochaine étape identifiée à ce jour.&lt;/p&gt;</v>
      </c>
      <c r="H69" s="14" cm="1" t="str">
        <f t="array" ref="H69">IF(G69="","",SUBSTITUTE(SUBSTITUTE(SUBSTITUTE(SUBSTITUTE(SUBSTITUTE(G69,"&lt;p&gt;",""),"&lt;/p&gt;",""),"&lt;ul&gt;",""),"&lt;/ul&gt;",""),"&lt;/strong&gt;",""))</f>
        <v>Intérêt souverain noté le 28/01, création piste pour équipe Ventes. Tentative d'enrichissement lead échouée (email invalide). Aucune activité ou action supplémentaire enregistrée, pas de prochaine étape identifiée à ce jour.</v>
      </c>
      <c r="I69" s="15" cm="1" t="str">
        <f t="array" ref="I69">IF(C69="","",IF(OR(H69="",H69=0,H69=FALSE),"-",H69))</f>
        <v>Intérêt souverain noté le 28/01, création piste pour équipe Ventes. Tentative d'enrichissement lead échouée (email invalide). Aucune activité ou action supplémentaire enregistrée, pas de prochaine étape identifiée à ce jour.</v>
      </c>
      <c r="J69" s="8">
</c>
      <c r="K69" s="8" t="s">
        <v>45</v>
      </c>
      <c r="L69" s="9" cm="1" t="str">
        <f t="array" ref="L69">IF(C69="","",IF(K69="Mort / Plus rien à faire","KO","OK"))</f>
        <v>OK</v>
      </c>
      <c r="M69" s="16">
        <v>46050.68548611111</v>
      </c>
      <c r="N69" s="16" cm="1" t="n">
        <f t="array" ref="N69">IF(OR(C69="",M69="",M69=0),"",M69)</f>
        <v>46050.68548611111</v>
      </c>
      <c r="O69" s="16">
</c>
      <c r="P69" s="16" cm="1" t="str">
        <f t="array" ref="P69">IF(C69="","",IF(OR(O69="",O69=0),"-",O69))</f>
        <v>-</v>
      </c>
      <c r="Q69" s="17">
        <v>0</v>
      </c>
      <c r="R69" s="17" cm="1" t="str">
        <f t="array" ref="R69">IF(C69="","",ROUND(Q69/1000000,3)&amp;" M€")</f>
        <v>0 M€</v>
      </c>
      <c r="S69" s="13" t="s">
        <v>164</v>
      </c>
      <c r="T69" s="9" cm="1" t="str">
        <f t="array" ref="T69">IF(C69="","",SUBSTITUTE(S69,"","")&amp;"%")</f>
        <v>10%</v>
      </c>
      <c r="U69" s="15" cm="1" t="str">
        <f t="array" ref="U69">IF(($N69="")*($P69=""),"",IF(($N69&lt;&gt;"")*($N69&gt;TODAY()-9)*($N69&lt;TODAY()+1)*($P69&lt;&gt;"")*($P69&gt;=TODAY())*($P69&lt;=TODAY()+13),"Semaine passée &amp; à venir",IF(($N69&lt;&gt;"")*($N69&gt;TODAY()-9)*($N69&lt;TODAY()+1),"Semaine passée",IF(($P69&lt;&gt;"")*($P69&gt;=TODAY())*($P69&lt;=TODAY()+13),"À venir","Autre"))))</f>
        <v>Autre</v>
      </c>
      <c r="V69" s="8" cm="1" t="n">
        <f t="array" ref="V69">IF(C69&lt;&gt;"",1,0)</f>
        <v>1</v>
      </c>
      <c r="W69" s="8">
</c>
      <c r="X69" s="8">
</c>
      <c r="Y69" s="8">
</c>
      <c r="Z69" s="8">
</c>
      <c r="AA69" s="8">
</c>
      <c r="AB69" s="8">
</c>
      <c r="AC69" s="8">
</c>
      <c r="AD69" s="8">
</c>
      <c r="AE69" s="8">
</c>
      <c r="AF69" s="8">
</c>
      <c r="AG69" s="8">
</c>
      <c r="AH69" s="8">
</c>
      <c r="AI69" s="8">
</c>
      <c r="AJ69" s="8">
</c>
      <c r="AK69" s="8">
</c>
    </row>
    <row r="70" ht="76.5" customHeight="1">
      <c r="A70" s="9" t="s">
        <v>23</v>
      </c>
      <c r="B70" s="9" t="s">
        <v>124</v>
      </c>
      <c r="C70" s="12" t="s">
        <v>257</v>
      </c>
      <c r="D70" s="13" t="s">
        <v>257</v>
      </c>
      <c r="E70" s="9" t="s">
        <v>27</v>
      </c>
      <c r="F70" s="8" t="s">
        <v>258</v>
      </c>
      <c r="G70" s="14" cm="1" t="str">
        <f t="array" ref="G70">IF(F70="","",SUBSTITUTE(SUBSTITUTE(SUBSTITUTE(SUBSTITUTE(F70,"&lt;li&gt;",CHAR(10)),"&lt;/li&gt;",""),"&lt;br&gt;",CHAR(10)),"&lt;strong&gt;",""))</f>
        <v>&lt;p&gt;Aucune activité ni échange enregistré sur l'opportunité Marie de Vaugelas. Seule information : piste créée pour l'équipe Ventes, aucun suivi, action ou retour prospect identifié à ce jour. Pas de prochaine étape planifiée ni de conclusion sur l'intérêt ou le ressenti du prospect.&lt;/p&gt;</v>
      </c>
      <c r="H70" s="14" cm="1" t="str">
        <f t="array" ref="H70">IF(G70="","",SUBSTITUTE(SUBSTITUTE(SUBSTITUTE(SUBSTITUTE(SUBSTITUTE(G70,"&lt;p&gt;",""),"&lt;/p&gt;",""),"&lt;ul&gt;",""),"&lt;/ul&gt;",""),"&lt;/strong&gt;",""))</f>
        <v>Aucune activité ni échange enregistré sur l'opportunité Marie de Vaugelas. Seule information : piste créée pour l'équipe Ventes, aucun suivi, action ou retour prospect identifié à ce jour. Pas de prochaine étape planifiée ni de conclusion sur l'intérêt ou le ressenti du prospect.</v>
      </c>
      <c r="I70" s="15" cm="1" t="str">
        <f t="array" ref="I70">IF(C70="","",IF(OR(H70="",H70=0,H70=FALSE),"-",H70))</f>
        <v>Aucune activité ni échange enregistré sur l'opportunité Marie de Vaugelas. Seule information : piste créée pour l'équipe Ventes, aucun suivi, action ou retour prospect identifié à ce jour. Pas de prochaine étape planifiée ni de conclusion sur l'intérêt ou le ressenti du prospect.</v>
      </c>
      <c r="J70" s="8">
</c>
      <c r="K70" s="8" t="s">
        <v>40</v>
      </c>
      <c r="L70" s="9" cm="1" t="str">
        <f t="array" ref="L70">IF(C70="","",IF(K70="Mort / Plus rien à faire","KO","OK"))</f>
        <v>OK</v>
      </c>
      <c r="M70" s="16">
        <v>46028.549733796295</v>
      </c>
      <c r="N70" s="16" cm="1" t="n">
        <f t="array" ref="N70">IF(OR(C70="",M70="",M70=0),"",M70)</f>
        <v>46028.549733796295</v>
      </c>
      <c r="O70" s="16">
</c>
      <c r="P70" s="16" cm="1" t="str">
        <f t="array" ref="P70">IF(C70="","",IF(OR(O70="",O70=0),"-",O70))</f>
        <v>-</v>
      </c>
      <c r="Q70" s="17">
        <v>100000</v>
      </c>
      <c r="R70" s="17" cm="1" t="str">
        <f t="array" ref="R70">IF(C70="","",ROUND(Q70/1000000,3)&amp;" M€")</f>
        <v>0.1 M€</v>
      </c>
      <c r="S70" s="13" t="s">
        <v>164</v>
      </c>
      <c r="T70" s="9" cm="1" t="str">
        <f t="array" ref="T70">IF(C70="","",SUBSTITUTE(S70,"","")&amp;"%")</f>
        <v>10%</v>
      </c>
      <c r="U70" s="15" cm="1" t="str">
        <f t="array" ref="U70">IF(($N70="")*($P70=""),"",IF(($N70&lt;&gt;"")*($N70&gt;TODAY()-9)*($N70&lt;TODAY()+1)*($P70&lt;&gt;"")*($P70&gt;=TODAY())*($P70&lt;=TODAY()+13),"Semaine passée &amp; à venir",IF(($N70&lt;&gt;"")*($N70&gt;TODAY()-9)*($N70&lt;TODAY()+1),"Semaine passée",IF(($P70&lt;&gt;"")*($P70&gt;=TODAY())*($P70&lt;=TODAY()+13),"À venir","Autre"))))</f>
        <v>Autre</v>
      </c>
      <c r="V70" s="8" cm="1" t="n">
        <f t="array" ref="V70">IF(C70&lt;&gt;"",1,0)</f>
        <v>1</v>
      </c>
      <c r="W70" s="8">
</c>
      <c r="X70" s="8">
</c>
      <c r="Y70" s="8">
</c>
      <c r="Z70" s="8">
</c>
      <c r="AA70" s="8">
</c>
      <c r="AB70" s="8">
</c>
      <c r="AC70" s="8">
</c>
      <c r="AD70" s="8">
</c>
      <c r="AE70" s="8">
</c>
      <c r="AF70" s="8">
</c>
      <c r="AG70" s="8">
</c>
      <c r="AH70" s="8">
</c>
      <c r="AI70" s="8">
</c>
      <c r="AJ70" s="8">
</c>
      <c r="AK70" s="8">
</c>
    </row>
    <row r="71" ht="76.5" customHeight="1">
      <c r="A71" s="9" t="s">
        <v>23</v>
      </c>
      <c r="B71" s="9" t="s">
        <v>214</v>
      </c>
      <c r="C71" s="12" t="s">
        <v>259</v>
      </c>
      <c r="D71" s="13" t="s">
        <v>260</v>
      </c>
      <c r="E71" s="9" t="s">
        <v>27</v>
      </c>
      <c r="F71" s="8" t="s">
        <v>261</v>
      </c>
      <c r="G71" s="14" cm="1" t="str">
        <f t="array" ref="G71">IF(F71="","",SUBSTITUTE(SUBSTITUTE(SUBSTITUTE(SUBSTITUTE(F71,"&lt;li&gt;",CHAR(10)),"&lt;/li&gt;",""),"&lt;br&gt;",CHAR(10)),"&lt;strong&gt;",""))</f>
        <v>&lt;p&gt;RDV physique 10/02/2026 avec Patrick Bouchindom : prospect indique ne pas avoir d’enveloppe pour investissements non-côtés en 2026, pas de veille active sur l’offre. Aucune prochaine action prévue. Nouvelle piste créée pour équipe Ventes le 28/11/2025. Pas d’autres activités récentes.&lt;/p&gt;</v>
      </c>
      <c r="H71" s="14" cm="1" t="str">
        <f t="array" ref="H71">IF(G71="","",SUBSTITUTE(SUBSTITUTE(SUBSTITUTE(SUBSTITUTE(SUBSTITUTE(G71,"&lt;p&gt;",""),"&lt;/p&gt;",""),"&lt;ul&gt;",""),"&lt;/ul&gt;",""),"&lt;/strong&gt;",""))</f>
        <v>RDV physique 10/02/2026 avec Patrick Bouchindom : prospect indique ne pas avoir d’enveloppe pour investissements non-côtés en 2026, pas de veille active sur l’offre. Aucune prochaine action prévue. Nouvelle piste créée pour équipe Ventes le 28/11/2025. Pas d’autres activités récentes.</v>
      </c>
      <c r="I71" s="15" cm="1" t="str">
        <f t="array" ref="I71">IF(C71="","",IF(OR(H71="",H71=0,H71=FALSE),"-",H71))</f>
        <v>RDV physique 10/02/2026 avec Patrick Bouchindom : prospect indique ne pas avoir d’enveloppe pour investissements non-côtés en 2026, pas de veille active sur l’offre. Aucune prochaine action prévue. Nouvelle piste créée pour équipe Ventes le 28/11/2025. Pas d’autres activités récentes.</v>
      </c>
      <c r="J71" s="8" t="s">
        <v>262</v>
      </c>
      <c r="K71" s="8" t="s">
        <v>88</v>
      </c>
      <c r="L71" s="9" cm="1" t="str">
        <f t="array" ref="L71">IF(C71="","",IF(K71="Mort / Plus rien à faire","KO","OK"))</f>
        <v>OK</v>
      </c>
      <c r="M71" s="16">
        <v>46063.754837962966</v>
      </c>
      <c r="N71" s="16" cm="1" t="n">
        <f t="array" ref="N71">IF(OR(C71="",M71="",M71=0),"",M71)</f>
        <v>46063.754837962966</v>
      </c>
      <c r="O71" s="16">
        <v>46286.083333333336</v>
      </c>
      <c r="P71" s="16" cm="1" t="n">
        <f t="array" ref="P71">IF(C71="","",IF(OR(O71="",O71=0),"-",O71))</f>
        <v>46286.083333333336</v>
      </c>
      <c r="Q71" s="17">
        <v>0</v>
      </c>
      <c r="R71" s="17" cm="1" t="str">
        <f t="array" ref="R71">IF(C71="","",ROUND(Q71/1000000,3)&amp;" M€")</f>
        <v>0 M€</v>
      </c>
      <c r="S71" s="13" t="s">
        <v>164</v>
      </c>
      <c r="T71" s="9" cm="1" t="str">
        <f t="array" ref="T71">IF(C71="","",SUBSTITUTE(S71,"","")&amp;"%")</f>
        <v>10%</v>
      </c>
      <c r="U71" s="15" cm="1" t="str">
        <f t="array" ref="U71">IF(($N71="")*($P71=""),"",IF(($N71&lt;&gt;"")*($N71&gt;TODAY()-9)*($N71&lt;TODAY()+1)*($P71&lt;&gt;"")*($P71&gt;=TODAY())*($P71&lt;=TODAY()+13),"Semaine passée &amp; à venir",IF(($N71&lt;&gt;"")*($N71&gt;TODAY()-9)*($N71&lt;TODAY()+1),"Semaine passée",IF(($P71&lt;&gt;"")*($P71&gt;=TODAY())*($P71&lt;=TODAY()+13),"À venir","Autre"))))</f>
        <v>Autre</v>
      </c>
      <c r="V71" s="8" cm="1" t="n">
        <f t="array" ref="V71">IF(C71&lt;&gt;"",1,0)</f>
        <v>1</v>
      </c>
      <c r="W71" s="8">
</c>
      <c r="X71" s="8">
</c>
      <c r="Y71" s="8">
</c>
      <c r="Z71" s="8">
</c>
      <c r="AA71" s="8">
</c>
      <c r="AB71" s="8">
</c>
      <c r="AC71" s="8">
</c>
      <c r="AD71" s="8">
</c>
      <c r="AE71" s="8">
</c>
      <c r="AF71" s="8">
</c>
      <c r="AG71" s="8">
</c>
      <c r="AH71" s="8">
</c>
      <c r="AI71" s="8">
</c>
      <c r="AJ71" s="8">
</c>
      <c r="AK71" s="8">
</c>
    </row>
    <row r="72" ht="76.5" customHeight="1">
      <c r="A72" s="9" t="s">
        <v>23</v>
      </c>
      <c r="B72" s="9" t="s">
        <v>107</v>
      </c>
      <c r="C72" s="12" t="s">
        <v>263</v>
      </c>
      <c r="D72" s="13" t="s">
        <v>264</v>
      </c>
      <c r="E72" s="9" t="s">
        <v>27</v>
      </c>
      <c r="F72" s="8" t="s">
        <v>265</v>
      </c>
      <c r="G72" s="14" cm="1" t="str">
        <f t="array" ref="G72">IF(F72="","",SUBSTITUTE(SUBSTITUTE(SUBSTITUTE(SUBSTITUTE(F72,"&lt;li&gt;",CHAR(10)),"&lt;/li&gt;",""),"&lt;br&gt;",CHAR(10)),"&lt;strong&gt;",""))</f>
        <v>&lt;p&gt;Aucune activité récente ni échange détaillé enregistré sur ce prospect. Dernière info : création d'une nouvelle piste pour l'équipe Ventes par Romain Andrieu. Pas d'action, ni de retour prospect, ni de prochaine étape identifiée. Infos spécifiques ou chiffres clés non disponibles.&lt;/p&gt;</v>
      </c>
      <c r="H72" s="14" cm="1" t="str">
        <f t="array" ref="H72">IF(G72="","",SUBSTITUTE(SUBSTITUTE(SUBSTITUTE(SUBSTITUTE(SUBSTITUTE(G72,"&lt;p&gt;",""),"&lt;/p&gt;",""),"&lt;ul&gt;",""),"&lt;/ul&gt;",""),"&lt;/strong&gt;",""))</f>
        <v>Aucune activité récente ni échange détaillé enregistré sur ce prospect. Dernière info : création d'une nouvelle piste pour l'équipe Ventes par Romain Andrieu. Pas d'action, ni de retour prospect, ni de prochaine étape identifiée. Infos spécifiques ou chiffres clés non disponibles.</v>
      </c>
      <c r="I72" s="15" cm="1" t="str">
        <f t="array" ref="I72">IF(C72="","",IF(OR(H72="",H72=0,H72=FALSE),"-",H72))</f>
        <v>Aucune activité récente ni échange détaillé enregistré sur ce prospect. Dernière info : création d'une nouvelle piste pour l'équipe Ventes par Romain Andrieu. Pas d'action, ni de retour prospect, ni de prochaine étape identifiée. Infos spécifiques ou chiffres clés non disponibles.</v>
      </c>
      <c r="J72" s="8">
</c>
      <c r="K72" s="8" t="s">
        <v>40</v>
      </c>
      <c r="L72" s="9" cm="1" t="str">
        <f t="array" ref="L72">IF(C72="","",IF(K72="Mort / Plus rien à faire","KO","OK"))</f>
        <v>OK</v>
      </c>
      <c r="M72" s="16">
        <v>45992.44721064815</v>
      </c>
      <c r="N72" s="16" cm="1" t="n">
        <f t="array" ref="N72">IF(OR(C72="",M72="",M72=0),"",M72)</f>
        <v>45992.44721064815</v>
      </c>
      <c r="O72" s="16">
</c>
      <c r="P72" s="16" cm="1" t="str">
        <f t="array" ref="P72">IF(C72="","",IF(OR(O72="",O72=0),"-",O72))</f>
        <v>-</v>
      </c>
      <c r="Q72" s="17">
        <v>0</v>
      </c>
      <c r="R72" s="17" cm="1" t="str">
        <f t="array" ref="R72">IF(C72="","",ROUND(Q72/1000000,3)&amp;" M€")</f>
        <v>0 M€</v>
      </c>
      <c r="S72" s="13" t="s">
        <v>164</v>
      </c>
      <c r="T72" s="9" cm="1" t="str">
        <f t="array" ref="T72">IF(C72="","",SUBSTITUTE(S72,"","")&amp;"%")</f>
        <v>10%</v>
      </c>
      <c r="U72" s="15" cm="1" t="str">
        <f t="array" ref="U72">IF(($N72="")*($P72=""),"",IF(($N72&lt;&gt;"")*($N72&gt;TODAY()-9)*($N72&lt;TODAY()+1)*($P72&lt;&gt;"")*($P72&gt;=TODAY())*($P72&lt;=TODAY()+13),"Semaine passée &amp; à venir",IF(($N72&lt;&gt;"")*($N72&gt;TODAY()-9)*($N72&lt;TODAY()+1),"Semaine passée",IF(($P72&lt;&gt;"")*($P72&gt;=TODAY())*($P72&lt;=TODAY()+13),"À venir","Autre"))))</f>
        <v>Autre</v>
      </c>
      <c r="V72" s="8" cm="1" t="n">
        <f t="array" ref="V72">IF(C72&lt;&gt;"",1,0)</f>
        <v>1</v>
      </c>
      <c r="W72" s="8">
</c>
      <c r="X72" s="8">
</c>
      <c r="Y72" s="8">
</c>
      <c r="Z72" s="8">
</c>
      <c r="AA72" s="8">
</c>
      <c r="AB72" s="8">
</c>
      <c r="AC72" s="8">
</c>
      <c r="AD72" s="8">
</c>
      <c r="AE72" s="8">
</c>
      <c r="AF72" s="8">
</c>
      <c r="AG72" s="8">
</c>
      <c r="AH72" s="8">
</c>
      <c r="AI72" s="8">
</c>
      <c r="AJ72" s="8">
</c>
      <c r="AK72" s="8">
</c>
    </row>
    <row r="73" ht="76.5" customHeight="1">
      <c r="A73" s="9" t="s">
        <v>23</v>
      </c>
      <c r="B73" s="9" t="s">
        <v>124</v>
      </c>
      <c r="C73" s="12" t="s">
        <v>266</v>
      </c>
      <c r="D73" s="13" t="s">
        <v>267</v>
      </c>
      <c r="E73" s="9" t="s">
        <v>27</v>
      </c>
      <c r="F73" s="8" t="s">
        <v>268</v>
      </c>
      <c r="G73" s="14" cm="1" t="str">
        <f t="array" ref="G73">IF(F73="","",SUBSTITUTE(SUBSTITUTE(SUBSTITUTE(SUBSTITUTE(F73,"&lt;li&gt;",CHAR(10)),"&lt;/li&gt;",""),"&lt;br&gt;",CHAR(10)),"&lt;strong&gt;",""))</f>
        <v>&lt;p&gt;Nouvelle piste créée pour équipe Ventes. Aucun échange, action ou retour prospect enregistré à ce jour. Pas d'activité, pas de suivi, pas de prochaine étape identifiée. Aucun retour ni conclusion prospect sur les fonds présentés. En attente de premières interactions ou actions concrètes.&lt;/p&gt;</v>
      </c>
      <c r="H73" s="14" cm="1" t="str">
        <f t="array" ref="H73">IF(G73="","",SUBSTITUTE(SUBSTITUTE(SUBSTITUTE(SUBSTITUTE(SUBSTITUTE(G73,"&lt;p&gt;",""),"&lt;/p&gt;",""),"&lt;ul&gt;",""),"&lt;/ul&gt;",""),"&lt;/strong&gt;",""))</f>
        <v>Nouvelle piste créée pour équipe Ventes. Aucun échange, action ou retour prospect enregistré à ce jour. Pas d'activité, pas de suivi, pas de prochaine étape identifiée. Aucun retour ni conclusion prospect sur les fonds présentés. En attente de premières interactions ou actions concrètes.</v>
      </c>
      <c r="I73" s="15" cm="1" t="str">
        <f t="array" ref="I73">IF(C73="","",IF(OR(H73="",H73=0,H73=FALSE),"-",H73))</f>
        <v>Nouvelle piste créée pour équipe Ventes. Aucun échange, action ou retour prospect enregistré à ce jour. Pas d'activité, pas de suivi, pas de prochaine étape identifiée. Aucun retour ni conclusion prospect sur les fonds présentés. En attente de premières interactions ou actions concrètes.</v>
      </c>
      <c r="J73" s="8" t="s">
        <v>269</v>
      </c>
      <c r="K73" s="8" t="s">
        <v>45</v>
      </c>
      <c r="L73" s="9" cm="1" t="str">
        <f t="array" ref="L73">IF(C73="","",IF(K73="Mort / Plus rien à faire","KO","OK"))</f>
        <v>OK</v>
      </c>
      <c r="M73" s="16">
        <v>46108.73412037037</v>
      </c>
      <c r="N73" s="16" cm="1" t="n">
        <f t="array" ref="N73">IF(OR(C73="",M73="",M73=0),"",M73)</f>
        <v>46108.73412037037</v>
      </c>
      <c r="O73" s="16">
        <v>46122.083333333336</v>
      </c>
      <c r="P73" s="16" cm="1" t="n">
        <f t="array" ref="P73">IF(C73="","",IF(OR(O73="",O73=0),"-",O73))</f>
        <v>46122.083333333336</v>
      </c>
      <c r="Q73" s="17">
        <v>0</v>
      </c>
      <c r="R73" s="17" cm="1" t="str">
        <f t="array" ref="R73">IF(C73="","",ROUND(Q73/1000000,3)&amp;" M€")</f>
        <v>0 M€</v>
      </c>
      <c r="S73" s="13" t="s">
        <v>164</v>
      </c>
      <c r="T73" s="9" cm="1" t="str">
        <f t="array" ref="T73">IF(C73="","",SUBSTITUTE(S73,"","")&amp;"%")</f>
        <v>10%</v>
      </c>
      <c r="U73" s="15" cm="1" t="str">
        <f t="array" ref="U73">IF(($N73="")*($P73=""),"",IF(($N73&lt;&gt;"")*($N73&gt;TODAY()-9)*($N73&lt;TODAY()+1)*($P73&lt;&gt;"")*($P73&gt;=TODAY())*($P73&lt;=TODAY()+13),"Semaine passée &amp; à venir",IF(($N73&lt;&gt;"")*($N73&gt;TODAY()-9)*($N73&lt;TODAY()+1),"Semaine passée",IF(($P73&lt;&gt;"")*($P73&gt;=TODAY())*($P73&lt;=TODAY()+13),"À venir","Autre"))))</f>
        <v>Semaine passée &amp; à venir</v>
      </c>
      <c r="V73" s="8" cm="1" t="n">
        <f t="array" ref="V73">IF(C73&lt;&gt;"",1,0)</f>
        <v>1</v>
      </c>
      <c r="W73" s="8">
</c>
      <c r="X73" s="8">
</c>
      <c r="Y73" s="8">
</c>
      <c r="Z73" s="8">
</c>
      <c r="AA73" s="8">
</c>
      <c r="AB73" s="8">
</c>
      <c r="AC73" s="8">
</c>
      <c r="AD73" s="8">
</c>
      <c r="AE73" s="8">
</c>
      <c r="AF73" s="8">
</c>
      <c r="AG73" s="8">
</c>
      <c r="AH73" s="8">
</c>
      <c r="AI73" s="8">
</c>
      <c r="AJ73" s="8">
</c>
      <c r="AK73" s="8">
</c>
    </row>
    <row r="74" ht="76.5" customHeight="1">
      <c r="A74" s="9" t="s">
        <v>23</v>
      </c>
      <c r="B74" s="9" t="s">
        <v>32</v>
      </c>
      <c r="C74" s="12" t="s">
        <v>270</v>
      </c>
      <c r="D74" s="13" t="s">
        <v>271</v>
      </c>
      <c r="E74" s="9" t="s">
        <v>27</v>
      </c>
      <c r="F74" s="8" t="s">
        <v>272</v>
      </c>
      <c r="G74" s="14" cm="1" t="str">
        <f t="array" ref="G74">IF(F74="","",SUBSTITUTE(SUBSTITUTE(SUBSTITUTE(SUBSTITUTE(F74,"&lt;li&gt;",CHAR(10)),"&lt;/li&gt;",""),"&lt;br&gt;",CHAR(10)),"&lt;strong&gt;",""))</f>
        <v>&lt;p&gt;RDV physique Straton, passage comité 30/03. Retour prospect&amp;nbsp;: taille fonds jugée trop petite, souhaite observer la dynamique avant rediscussion possible. Prochaine étape&amp;nbsp;: tenir prospect informé de la levée, pas de seuil spécifique. Suivi à prévoir avant 06/07.&lt;/p&gt;</v>
      </c>
      <c r="H74" s="14" cm="1" t="str">
        <f t="array" ref="H74">IF(G74="","",SUBSTITUTE(SUBSTITUTE(SUBSTITUTE(SUBSTITUTE(SUBSTITUTE(G74,"&lt;p&gt;",""),"&lt;/p&gt;",""),"&lt;ul&gt;",""),"&lt;/ul&gt;",""),"&lt;/strong&gt;",""))</f>
        <v>RDV physique Straton, passage comité 30/03. Retour prospect&amp;nbsp;: taille fonds jugée trop petite, souhaite observer la dynamique avant rediscussion possible. Prochaine étape&amp;nbsp;: tenir prospect informé de la levée, pas de seuil spécifique. Suivi à prévoir avant 06/07.</v>
      </c>
      <c r="I74" s="15" cm="1" t="str">
        <f t="array" ref="I74">IF(C74="","",IF(OR(H74="",H74=0,H74=FALSE),"-",H74))</f>
        <v>RDV physique Straton, passage comité 30/03. Retour prospect&amp;nbsp;: taille fonds jugée trop petite, souhaite observer la dynamique avant rediscussion possible. Prochaine étape&amp;nbsp;: tenir prospect informé de la levée, pas de seuil spécifique. Suivi à prévoir avant 06/07.</v>
      </c>
      <c r="J74" s="8" t="s">
        <v>273</v>
      </c>
      <c r="K74" s="8" t="s">
        <v>88</v>
      </c>
      <c r="L74" s="9" cm="1" t="str">
        <f t="array" ref="L74">IF(C74="","",IF(K74="Mort / Plus rien à faire","KO","OK"))</f>
        <v>OK</v>
      </c>
      <c r="M74" s="16">
        <v>46112.675405092596</v>
      </c>
      <c r="N74" s="16" cm="1" t="n">
        <f t="array" ref="N74">IF(OR(C74="",M74="",M74=0),"",M74)</f>
        <v>46112.675405092596</v>
      </c>
      <c r="O74" s="16">
        <v>46209.083333333336</v>
      </c>
      <c r="P74" s="16" cm="1" t="n">
        <f t="array" ref="P74">IF(C74="","",IF(OR(O74="",O74=0),"-",O74))</f>
        <v>46209.083333333336</v>
      </c>
      <c r="Q74" s="17">
        <v>1000000</v>
      </c>
      <c r="R74" s="17" cm="1" t="str">
        <f t="array" ref="R74">IF(C74="","",ROUND(Q74/1000000,3)&amp;" M€")</f>
        <v>1 M€</v>
      </c>
      <c r="S74" s="13" t="s">
        <v>164</v>
      </c>
      <c r="T74" s="9" cm="1" t="str">
        <f t="array" ref="T74">IF(C74="","",SUBSTITUTE(S74,"","")&amp;"%")</f>
        <v>10%</v>
      </c>
      <c r="U74" s="15" cm="1" t="str">
        <f t="array" ref="U74">IF(($N74="")*($P74=""),"",IF(($N74&lt;&gt;"")*($N74&gt;TODAY()-9)*($N74&lt;TODAY()+1)*($P74&lt;&gt;"")*($P74&gt;=TODAY())*($P74&lt;=TODAY()+13),"Semaine passée &amp; à venir",IF(($N74&lt;&gt;"")*($N74&gt;TODAY()-9)*($N74&lt;TODAY()+1),"Semaine passée",IF(($P74&lt;&gt;"")*($P74&gt;=TODAY())*($P74&lt;=TODAY()+13),"À venir","Autre"))))</f>
        <v>Semaine passée</v>
      </c>
      <c r="V74" s="8" cm="1" t="n">
        <f t="array" ref="V74">IF(C74&lt;&gt;"",1,0)</f>
        <v>1</v>
      </c>
      <c r="W74" s="8">
</c>
      <c r="X74" s="8">
</c>
      <c r="Y74" s="8">
</c>
      <c r="Z74" s="8">
</c>
      <c r="AA74" s="8">
</c>
      <c r="AB74" s="8">
</c>
      <c r="AC74" s="8">
</c>
      <c r="AD74" s="8">
</c>
      <c r="AE74" s="8">
</c>
      <c r="AF74" s="8">
</c>
      <c r="AG74" s="8">
</c>
      <c r="AH74" s="8">
</c>
      <c r="AI74" s="8">
</c>
      <c r="AJ74" s="8">
</c>
      <c r="AK74" s="8">
</c>
    </row>
    <row r="75" ht="76.5" customHeight="1">
      <c r="A75" s="9" t="s">
        <v>23</v>
      </c>
      <c r="B75" s="9" t="s">
        <v>32</v>
      </c>
      <c r="C75" s="12" t="s">
        <v>274</v>
      </c>
      <c r="D75" s="13" t="s">
        <v>275</v>
      </c>
      <c r="E75" s="9" t="s">
        <v>27</v>
      </c>
      <c r="F75" s="8" t="s">
        <v>276</v>
      </c>
      <c r="G75" s="14" cm="1" t="str">
        <f t="array" ref="G75">IF(F75="","",SUBSTITUTE(SUBSTITUTE(SUBSTITUTE(SUBSTITUTE(F75,"&lt;li&gt;",CHAR(10)),"&lt;/li&gt;",""),"&lt;br&gt;",CHAR(10)),"&lt;strong&gt;",""))</f>
        <v>&lt;p&gt;Mail envoyé au nouveau DG Patrick Gallou le 01/04/2026. RDV physique terminé, échanges sur RMC, CARAC, LAFRANCEMUTUALISTE. Pas de retour prospect détaillé sur les fonds. Prochaine étape&amp;nbsp;: suivi mail en attente de réponse, relance prévue avant le 07/04/2026.&lt;/p&gt;</v>
      </c>
      <c r="H75" s="14" cm="1" t="str">
        <f t="array" ref="H75">IF(G75="","",SUBSTITUTE(SUBSTITUTE(SUBSTITUTE(SUBSTITUTE(SUBSTITUTE(G75,"&lt;p&gt;",""),"&lt;/p&gt;",""),"&lt;ul&gt;",""),"&lt;/ul&gt;",""),"&lt;/strong&gt;",""))</f>
        <v>Mail envoyé au nouveau DG Patrick Gallou le 01/04/2026. RDV physique terminé, échanges sur RMC, CARAC, LAFRANCEMUTUALISTE. Pas de retour prospect détaillé sur les fonds. Prochaine étape&amp;nbsp;: suivi mail en attente de réponse, relance prévue avant le 07/04/2026.</v>
      </c>
      <c r="I75" s="15" cm="1" t="str">
        <f t="array" ref="I75">IF(C75="","",IF(OR(H75="",H75=0,H75=FALSE),"-",H75))</f>
        <v>Mail envoyé au nouveau DG Patrick Gallou le 01/04/2026. RDV physique terminé, échanges sur RMC, CARAC, LAFRANCEMUTUALISTE. Pas de retour prospect détaillé sur les fonds. Prochaine étape&amp;nbsp;: suivi mail en attente de réponse, relance prévue avant le 07/04/2026.</v>
      </c>
      <c r="J75" s="8" t="s">
        <v>277</v>
      </c>
      <c r="K75" s="8" t="s">
        <v>40</v>
      </c>
      <c r="L75" s="9" cm="1" t="str">
        <f t="array" ref="L75">IF(C75="","",IF(K75="Mort / Plus rien à faire","KO","OK"))</f>
        <v>OK</v>
      </c>
      <c r="M75" s="16">
        <v>46113.45612268519</v>
      </c>
      <c r="N75" s="16" cm="1" t="n">
        <f t="array" ref="N75">IF(OR(C75="",M75="",M75=0),"",M75)</f>
        <v>46113.45612268519</v>
      </c>
      <c r="O75" s="16">
</c>
      <c r="P75" s="16" cm="1" t="str">
        <f t="array" ref="P75">IF(C75="","",IF(OR(O75="",O75=0),"-",O75))</f>
        <v>-</v>
      </c>
      <c r="Q75" s="17">
        <v>0</v>
      </c>
      <c r="R75" s="17" cm="1" t="str">
        <f t="array" ref="R75">IF(C75="","",ROUND(Q75/1000000,3)&amp;" M€")</f>
        <v>0 M€</v>
      </c>
      <c r="S75" s="13" t="s">
        <v>164</v>
      </c>
      <c r="T75" s="9" cm="1" t="str">
        <f t="array" ref="T75">IF(C75="","",SUBSTITUTE(S75,"","")&amp;"%")</f>
        <v>10%</v>
      </c>
      <c r="U75" s="15" cm="1" t="str">
        <f t="array" ref="U75">IF(($N75="")*($P75=""),"",IF(($N75&lt;&gt;"")*($N75&gt;TODAY()-9)*($N75&lt;TODAY()+1)*($P75&lt;&gt;"")*($P75&gt;=TODAY())*($P75&lt;=TODAY()+13),"Semaine passée &amp; à venir",IF(($N75&lt;&gt;"")*($N75&gt;TODAY()-9)*($N75&lt;TODAY()+1),"Semaine passée",IF(($P75&lt;&gt;"")*($P75&gt;=TODAY())*($P75&lt;=TODAY()+13),"À venir","Autre"))))</f>
        <v>Semaine passée</v>
      </c>
      <c r="V75" s="8" cm="1" t="n">
        <f t="array" ref="V75">IF(C75&lt;&gt;"",1,0)</f>
        <v>1</v>
      </c>
      <c r="W75" s="8">
</c>
      <c r="X75" s="8">
</c>
      <c r="Y75" s="8">
</c>
      <c r="Z75" s="8">
</c>
      <c r="AA75" s="8">
</c>
      <c r="AB75" s="8">
</c>
      <c r="AC75" s="8">
</c>
      <c r="AD75" s="8">
</c>
      <c r="AE75" s="8">
</c>
      <c r="AF75" s="8">
</c>
      <c r="AG75" s="8">
</c>
      <c r="AH75" s="8">
</c>
      <c r="AI75" s="8">
</c>
      <c r="AJ75" s="8">
</c>
      <c r="AK75" s="8">
</c>
    </row>
    <row r="76" ht="76.5" customHeight="1">
      <c r="A76" s="9" t="s">
        <v>23</v>
      </c>
      <c r="B76" s="9" t="s">
        <v>107</v>
      </c>
      <c r="C76" s="12" t="s">
        <v>278</v>
      </c>
      <c r="D76" s="13" t="s">
        <v>279</v>
      </c>
      <c r="E76" s="9" t="s">
        <v>27</v>
      </c>
      <c r="F76" s="8" t="s">
        <v>280</v>
      </c>
      <c r="G76" s="14" cm="1" t="str">
        <f t="array" ref="G76">IF(F76="","",SUBSTITUTE(SUBSTITUTE(SUBSTITUTE(SUBSTITUTE(F76,"&lt;li&gt;",CHAR(10)),"&lt;/li&gt;",""),"&lt;br&gt;",CHAR(10)),"&lt;strong&gt;",""))</f>
        <v>&lt;p&gt;RDV physique 06/01/2026&amp;nbsp;: intérêt OK pour STRATON sous réserve dealflow co-invest, 10% Robin Lefleve, suivi SGP AUDACIA/QUANTO, besoins bancaires identifiés, centralisation fonds de fonds (Anh→Mélanie), focus PE direct, pas de first time team, prochaine relance juin 2026 pour instruction 2027.&lt;/p&gt;</v>
      </c>
      <c r="H76" s="14" cm="1" t="str">
        <f t="array" ref="H76">IF(G76="","",SUBSTITUTE(SUBSTITUTE(SUBSTITUTE(SUBSTITUTE(SUBSTITUTE(G76,"&lt;p&gt;",""),"&lt;/p&gt;",""),"&lt;ul&gt;",""),"&lt;/ul&gt;",""),"&lt;/strong&gt;",""))</f>
        <v>RDV physique 06/01/2026&amp;nbsp;: intérêt OK pour STRATON sous réserve dealflow co-invest, 10% Robin Lefleve, suivi SGP AUDACIA/QUANTO, besoins bancaires identifiés, centralisation fonds de fonds (Anh→Mélanie), focus PE direct, pas de first time team, prochaine relance juin 2026 pour instruction 2027.</v>
      </c>
      <c r="I76" s="15" cm="1" t="str">
        <f t="array" ref="I76">IF(C76="","",IF(OR(H76="",H76=0,H76=FALSE),"-",H76))</f>
        <v>RDV physique 06/01/2026&amp;nbsp;: intérêt OK pour STRATON sous réserve dealflow co-invest, 10% Robin Lefleve, suivi SGP AUDACIA/QUANTO, besoins bancaires identifiés, centralisation fonds de fonds (Anh→Mélanie), focus PE direct, pas de first time team, prochaine relance juin 2026 pour instruction 2027.</v>
      </c>
      <c r="J76" s="8" t="s">
        <v>281</v>
      </c>
      <c r="K76" s="8" t="s">
        <v>88</v>
      </c>
      <c r="L76" s="9" cm="1" t="str">
        <f t="array" ref="L76">IF(C76="","",IF(K76="Mort / Plus rien à faire","KO","OK"))</f>
        <v>OK</v>
      </c>
      <c r="M76" s="16">
        <v>46028.52925925926</v>
      </c>
      <c r="N76" s="16" cm="1" t="n">
        <f t="array" ref="N76">IF(OR(C76="",M76="",M76=0),"",M76)</f>
        <v>46028.52925925926</v>
      </c>
      <c r="O76" s="16">
        <v>46203.083333333336</v>
      </c>
      <c r="P76" s="16" cm="1" t="n">
        <f t="array" ref="P76">IF(C76="","",IF(OR(O76="",O76=0),"-",O76))</f>
        <v>46203.083333333336</v>
      </c>
      <c r="Q76" s="17">
        <v>0</v>
      </c>
      <c r="R76" s="17" cm="1" t="str">
        <f t="array" ref="R76">IF(C76="","",ROUND(Q76/1000000,3)&amp;" M€")</f>
        <v>0 M€</v>
      </c>
      <c r="S76" s="13" t="s">
        <v>164</v>
      </c>
      <c r="T76" s="9" cm="1" t="str">
        <f t="array" ref="T76">IF(C76="","",SUBSTITUTE(S76,"","")&amp;"%")</f>
        <v>10%</v>
      </c>
      <c r="U76" s="15" cm="1" t="str">
        <f t="array" ref="U76">IF(($N76="")*($P76=""),"",IF(($N76&lt;&gt;"")*($N76&gt;TODAY()-9)*($N76&lt;TODAY()+1)*($P76&lt;&gt;"")*($P76&gt;=TODAY())*($P76&lt;=TODAY()+13),"Semaine passée &amp; à venir",IF(($N76&lt;&gt;"")*($N76&gt;TODAY()-9)*($N76&lt;TODAY()+1),"Semaine passée",IF(($P76&lt;&gt;"")*($P76&gt;=TODAY())*($P76&lt;=TODAY()+13),"À venir","Autre"))))</f>
        <v>Autre</v>
      </c>
      <c r="V76" s="8" cm="1" t="n">
        <f t="array" ref="V76">IF(C76&lt;&gt;"",1,0)</f>
        <v>1</v>
      </c>
      <c r="W76" s="8">
</c>
      <c r="X76" s="8">
</c>
      <c r="Y76" s="8">
</c>
      <c r="Z76" s="8">
</c>
      <c r="AA76" s="8">
</c>
      <c r="AB76" s="8">
</c>
      <c r="AC76" s="8">
</c>
      <c r="AD76" s="8">
</c>
      <c r="AE76" s="8">
</c>
      <c r="AF76" s="8">
</c>
      <c r="AG76" s="8">
</c>
      <c r="AH76" s="8">
</c>
      <c r="AI76" s="8">
</c>
      <c r="AJ76" s="8">
</c>
      <c r="AK76" s="8">
</c>
    </row>
    <row r="77" ht="76.5" customHeight="1">
      <c r="A77" s="9" t="s">
        <v>23</v>
      </c>
      <c r="B77" s="9" t="s">
        <v>84</v>
      </c>
      <c r="C77" s="12" t="s">
        <v>282</v>
      </c>
      <c r="D77" s="13" t="s">
        <v>283</v>
      </c>
      <c r="E77" s="9" t="s">
        <v>54</v>
      </c>
      <c r="F77" s="8" t="s">
        <v>284</v>
      </c>
      <c r="G77" s="14" cm="1" t="str">
        <f t="array" ref="G77">IF(F77="","",SUBSTITUTE(SUBSTITUTE(SUBSTITUTE(SUBSTITUTE(F77,"&lt;li&gt;",CHAR(10)),"&lt;/li&gt;",""),"&lt;br&gt;",CHAR(10)),"&lt;strong&gt;",""))</f>
        <v>&lt;p&gt;Piste créée pour équipe Ventes. 26/02/2026 : call pour signature convention distribution fonds. En attente KYC distributeur. Enrichissement lead impossible (email non valide). Aucune activité planifiée ou réalisée depuis, prochaine étape : finaliser KYC pour avancer.&lt;/p&gt;</v>
      </c>
      <c r="H77" s="14" cm="1" t="str">
        <f t="array" ref="H77">IF(G77="","",SUBSTITUTE(SUBSTITUTE(SUBSTITUTE(SUBSTITUTE(SUBSTITUTE(G77,"&lt;p&gt;",""),"&lt;/p&gt;",""),"&lt;ul&gt;",""),"&lt;/ul&gt;",""),"&lt;/strong&gt;",""))</f>
        <v>Piste créée pour équipe Ventes. 26/02/2026 : call pour signature convention distribution fonds. En attente KYC distributeur. Enrichissement lead impossible (email non valide). Aucune activité planifiée ou réalisée depuis, prochaine étape : finaliser KYC pour avancer.</v>
      </c>
      <c r="I77" s="15" cm="1" t="str">
        <f t="array" ref="I77">IF(C77="","",IF(OR(H77="",H77=0,H77=FALSE),"-",H77))</f>
        <v>Piste créée pour équipe Ventes. 26/02/2026 : call pour signature convention distribution fonds. En attente KYC distributeur. Enrichissement lead impossible (email non valide). Aucune activité planifiée ou réalisée depuis, prochaine étape : finaliser KYC pour avancer.</v>
      </c>
      <c r="J77" s="8">
</c>
      <c r="K77" s="8" t="s">
        <v>45</v>
      </c>
      <c r="L77" s="9" cm="1" t="str">
        <f t="array" ref="L77">IF(C77="","",IF(K77="Mort / Plus rien à faire","KO","OK"))</f>
        <v>OK</v>
      </c>
      <c r="M77" s="16">
        <v>46087.70774305556</v>
      </c>
      <c r="N77" s="16" cm="1" t="n">
        <f t="array" ref="N77">IF(OR(C77="",M77="",M77=0),"",M77)</f>
        <v>46087.70774305556</v>
      </c>
      <c r="O77" s="16">
</c>
      <c r="P77" s="16" cm="1" t="str">
        <f t="array" ref="P77">IF(C77="","",IF(OR(O77="",O77=0),"-",O77))</f>
        <v>-</v>
      </c>
      <c r="Q77" s="17">
        <v>0</v>
      </c>
      <c r="R77" s="17" cm="1" t="str">
        <f t="array" ref="R77">IF(C77="","",ROUND(Q77/1000000,3)&amp;" M€")</f>
        <v>0 M€</v>
      </c>
      <c r="S77" s="13" t="s">
        <v>164</v>
      </c>
      <c r="T77" s="9" cm="1" t="str">
        <f t="array" ref="T77">IF(C77="","",SUBSTITUTE(S77,"","")&amp;"%")</f>
        <v>10%</v>
      </c>
      <c r="U77" s="15" cm="1" t="str">
        <f t="array" ref="U77">IF(($N77="")*($P77=""),"",IF(($N77&lt;&gt;"")*($N77&gt;TODAY()-9)*($N77&lt;TODAY()+1)*($P77&lt;&gt;"")*($P77&gt;=TODAY())*($P77&lt;=TODAY()+13),"Semaine passée &amp; à venir",IF(($N77&lt;&gt;"")*($N77&gt;TODAY()-9)*($N77&lt;TODAY()+1),"Semaine passée",IF(($P77&lt;&gt;"")*($P77&gt;=TODAY())*($P77&lt;=TODAY()+13),"À venir","Autre"))))</f>
        <v>Autre</v>
      </c>
      <c r="V77" s="8" cm="1" t="n">
        <f t="array" ref="V77">IF(C77&lt;&gt;"",1,0)</f>
        <v>1</v>
      </c>
      <c r="W77" s="8">
</c>
      <c r="X77" s="8">
</c>
      <c r="Y77" s="8">
</c>
      <c r="Z77" s="8">
</c>
      <c r="AA77" s="8">
</c>
      <c r="AB77" s="8">
</c>
      <c r="AC77" s="8">
</c>
      <c r="AD77" s="8">
</c>
      <c r="AE77" s="8">
</c>
      <c r="AF77" s="8">
</c>
      <c r="AG77" s="8">
</c>
      <c r="AH77" s="8">
</c>
      <c r="AI77" s="8">
</c>
      <c r="AJ77" s="8">
</c>
      <c r="AK77" s="8">
</c>
    </row>
    <row r="78" ht="76.5" customHeight="1">
      <c r="A78" s="9" t="s">
        <v>23</v>
      </c>
      <c r="B78" s="9">
</c>
      <c r="C78" s="12" t="s">
        <v>285</v>
      </c>
      <c r="D78" s="13" t="s">
        <v>286</v>
      </c>
      <c r="E78" s="9" t="s">
        <v>27</v>
      </c>
      <c r="F78" s="8" t="s">
        <v>287</v>
      </c>
      <c r="G78" s="14" cm="1" t="str">
        <f t="array" ref="G78">IF(F78="","",SUBSTITUTE(SUBSTITUTE(SUBSTITUTE(SUBSTITUTE(F78,"&lt;li&gt;",CHAR(10)),"&lt;/li&gt;",""),"&lt;br&gt;",CHAR(10)),"&lt;strong&gt;",""))</f>
        <v>&lt;p&gt;Nouvelle piste créée pour équipe Ventes par Romain Andrieu le 03/04/2026. Aucun échange, activité, ni suivi enregistré à ce jour. Pas d'interaction ni d'action menée avec le prospect. Prochaines étapes non définies faute d'activité ou de retour identifié.&lt;/p&gt;</v>
      </c>
      <c r="H78" s="14" cm="1" t="str">
        <f t="array" ref="H78">IF(G78="","",SUBSTITUTE(SUBSTITUTE(SUBSTITUTE(SUBSTITUTE(SUBSTITUTE(G78,"&lt;p&gt;",""),"&lt;/p&gt;",""),"&lt;ul&gt;",""),"&lt;/ul&gt;",""),"&lt;/strong&gt;",""))</f>
        <v>Nouvelle piste créée pour équipe Ventes par Romain Andrieu le 03/04/2026. Aucun échange, activité, ni suivi enregistré à ce jour. Pas d'interaction ni d'action menée avec le prospect. Prochaines étapes non définies faute d'activité ou de retour identifié.</v>
      </c>
      <c r="I78" s="15" cm="1" t="str">
        <f t="array" ref="I78">IF(C78="","",IF(OR(H78="",H78=0,H78=FALSE),"-",H78))</f>
        <v>Nouvelle piste créée pour équipe Ventes par Romain Andrieu le 03/04/2026. Aucun échange, activité, ni suivi enregistré à ce jour. Pas d'interaction ni d'action menée avec le prospect. Prochaines étapes non définies faute d'activité ou de retour identifié.</v>
      </c>
      <c r="J78" s="8" t="s">
        <v>288</v>
      </c>
      <c r="K78" s="8" t="s">
        <v>40</v>
      </c>
      <c r="L78" s="9" cm="1" t="str">
        <f t="array" ref="L78">IF(C78="","",IF(K78="Mort / Plus rien à faire","KO","OK"))</f>
        <v>OK</v>
      </c>
      <c r="M78" s="16">
        <v>46115.516435185185</v>
      </c>
      <c r="N78" s="16" cm="1" t="n">
        <f t="array" ref="N78">IF(OR(C78="",M78="",M78=0),"",M78)</f>
        <v>46115.516435185185</v>
      </c>
      <c r="O78" s="16">
        <v>46122.083333333336</v>
      </c>
      <c r="P78" s="16" cm="1" t="n">
        <f t="array" ref="P78">IF(C78="","",IF(OR(O78="",O78=0),"-",O78))</f>
        <v>46122.083333333336</v>
      </c>
      <c r="Q78" s="17">
        <v>0</v>
      </c>
      <c r="R78" s="17" cm="1" t="str">
        <f t="array" ref="R78">IF(C78="","",ROUND(Q78/1000000,3)&amp;" M€")</f>
        <v>0 M€</v>
      </c>
      <c r="S78" s="13" t="s">
        <v>164</v>
      </c>
      <c r="T78" s="9" cm="1" t="str">
        <f t="array" ref="T78">IF(C78="","",SUBSTITUTE(S78,"","")&amp;"%")</f>
        <v>10%</v>
      </c>
      <c r="U78" s="15" cm="1" t="str">
        <f t="array" ref="U78">IF(($N78="")*($P78=""),"",IF(($N78&lt;&gt;"")*($N78&gt;TODAY()-9)*($N78&lt;TODAY()+1)*($P78&lt;&gt;"")*($P78&gt;=TODAY())*($P78&lt;=TODAY()+13),"Semaine passée &amp; à venir",IF(($N78&lt;&gt;"")*($N78&gt;TODAY()-9)*($N78&lt;TODAY()+1),"Semaine passée",IF(($P78&lt;&gt;"")*($P78&gt;=TODAY())*($P78&lt;=TODAY()+13),"À venir","Autre"))))</f>
        <v>Semaine passée &amp; à venir</v>
      </c>
      <c r="V78" s="8" cm="1" t="n">
        <f t="array" ref="V78">IF(C78&lt;&gt;"",1,0)</f>
        <v>1</v>
      </c>
      <c r="W78" s="8">
</c>
      <c r="X78" s="8">
</c>
      <c r="Y78" s="8">
</c>
      <c r="Z78" s="8">
</c>
      <c r="AA78" s="8">
</c>
      <c r="AB78" s="8">
</c>
      <c r="AC78" s="8">
</c>
      <c r="AD78" s="8">
</c>
      <c r="AE78" s="8">
</c>
      <c r="AF78" s="8">
</c>
      <c r="AG78" s="8">
</c>
      <c r="AH78" s="8">
</c>
      <c r="AI78" s="8">
</c>
      <c r="AJ78" s="8">
</c>
      <c r="AK78" s="8">
</c>
    </row>
    <row r="79" ht="76.5" customHeight="1">
      <c r="A79" s="9" t="s">
        <v>23</v>
      </c>
      <c r="B79" s="9" t="s">
        <v>168</v>
      </c>
      <c r="C79" s="12" t="s">
        <v>289</v>
      </c>
      <c r="D79" s="13" t="s">
        <v>290</v>
      </c>
      <c r="E79" s="9" t="s">
        <v>27</v>
      </c>
      <c r="F79" s="8" t="s">
        <v>291</v>
      </c>
      <c r="G79" s="14" cm="1" t="str">
        <f t="array" ref="G79">IF(F79="","",SUBSTITUTE(SUBSTITUTE(SUBSTITUTE(SUBSTITUTE(F79,"&lt;li&gt;",CHAR(10)),"&lt;/li&gt;",""),"&lt;br&gt;",CHAR(10)),"&lt;strong&gt;",""))</f>
        <v>&lt;p&gt;Lead créé pour équipe Ventes, mention "Lead de TS". Aucun échange, action ou retour prospect enregistré à ce jour. Pas d'activité, pas de suivi, aucune prochaine étape identifiée. Aucun avis prospect sur fonds présenté. Aucun contexte de création détaillé dans les échanges.&lt;/p&gt;</v>
      </c>
      <c r="H79" s="14" cm="1" t="str">
        <f t="array" ref="H79">IF(G79="","",SUBSTITUTE(SUBSTITUTE(SUBSTITUTE(SUBSTITUTE(SUBSTITUTE(G79,"&lt;p&gt;",""),"&lt;/p&gt;",""),"&lt;ul&gt;",""),"&lt;/ul&gt;",""),"&lt;/strong&gt;",""))</f>
        <v>Lead créé pour équipe Ventes, mention "Lead de TS". Aucun échange, action ou retour prospect enregistré à ce jour. Pas d'activité, pas de suivi, aucune prochaine étape identifiée. Aucun avis prospect sur fonds présenté. Aucun contexte de création détaillé dans les échanges.</v>
      </c>
      <c r="I79" s="15" cm="1" t="str">
        <f t="array" ref="I79">IF(C79="","",IF(OR(H79="",H79=0,H79=FALSE),"-",H79))</f>
        <v>Lead créé pour équipe Ventes, mention "Lead de TS". Aucun échange, action ou retour prospect enregistré à ce jour. Pas d'activité, pas de suivi, aucune prochaine étape identifiée. Aucun avis prospect sur fonds présenté. Aucun contexte de création détaillé dans les échanges.</v>
      </c>
      <c r="J79" s="8">
</c>
      <c r="K79" s="8" t="s">
        <v>40</v>
      </c>
      <c r="L79" s="9" cm="1" t="str">
        <f t="array" ref="L79">IF(C79="","",IF(K79="Mort / Plus rien à faire","KO","OK"))</f>
        <v>OK</v>
      </c>
      <c r="M79" s="16">
        <v>46090.46891203704</v>
      </c>
      <c r="N79" s="16" cm="1" t="n">
        <f t="array" ref="N79">IF(OR(C79="",M79="",M79=0),"",M79)</f>
        <v>46090.46891203704</v>
      </c>
      <c r="O79" s="16">
</c>
      <c r="P79" s="16" cm="1" t="str">
        <f t="array" ref="P79">IF(C79="","",IF(OR(O79="",O79=0),"-",O79))</f>
        <v>-</v>
      </c>
      <c r="Q79" s="17">
        <v>0</v>
      </c>
      <c r="R79" s="17" cm="1" t="str">
        <f t="array" ref="R79">IF(C79="","",ROUND(Q79/1000000,3)&amp;" M€")</f>
        <v>0 M€</v>
      </c>
      <c r="S79" s="13" t="s">
        <v>164</v>
      </c>
      <c r="T79" s="9" cm="1" t="str">
        <f t="array" ref="T79">IF(C79="","",SUBSTITUTE(S79,"","")&amp;"%")</f>
        <v>10%</v>
      </c>
      <c r="U79" s="15" cm="1" t="str">
        <f t="array" ref="U79">IF(($N79="")*($P79=""),"",IF(($N79&lt;&gt;"")*($N79&gt;TODAY()-9)*($N79&lt;TODAY()+1)*($P79&lt;&gt;"")*($P79&gt;=TODAY())*($P79&lt;=TODAY()+13),"Semaine passée &amp; à venir",IF(($N79&lt;&gt;"")*($N79&gt;TODAY()-9)*($N79&lt;TODAY()+1),"Semaine passée",IF(($P79&lt;&gt;"")*($P79&gt;=TODAY())*($P79&lt;=TODAY()+13),"À venir","Autre"))))</f>
        <v>Autre</v>
      </c>
      <c r="V79" s="8" cm="1" t="n">
        <f t="array" ref="V79">IF(C79&lt;&gt;"",1,0)</f>
        <v>1</v>
      </c>
      <c r="W79" s="8">
</c>
      <c r="X79" s="8">
</c>
      <c r="Y79" s="8">
</c>
      <c r="Z79" s="8">
</c>
      <c r="AA79" s="8">
</c>
      <c r="AB79" s="8">
</c>
      <c r="AC79" s="8">
</c>
      <c r="AD79" s="8">
</c>
      <c r="AE79" s="8">
</c>
      <c r="AF79" s="8">
</c>
      <c r="AG79" s="8">
</c>
      <c r="AH79" s="8">
</c>
      <c r="AI79" s="8">
</c>
      <c r="AJ79" s="8">
</c>
      <c r="AK79" s="8">
</c>
    </row>
    <row r="80" ht="76.5" customHeight="1">
      <c r="A80" s="9" t="s">
        <v>23</v>
      </c>
      <c r="B80" s="9" t="s">
        <v>292</v>
      </c>
      <c r="C80" s="12" t="s">
        <v>293</v>
      </c>
      <c r="D80" s="13" t="s">
        <v>294</v>
      </c>
      <c r="E80" s="9" t="s">
        <v>27</v>
      </c>
      <c r="F80" s="8" t="s">
        <v>295</v>
      </c>
      <c r="G80" s="14" cm="1" t="str">
        <f t="array" ref="G80">IF(F80="","",SUBSTITUTE(SUBSTITUTE(SUBSTITUTE(SUBSTITUTE(F80,"&lt;li&gt;",CHAR(10)),"&lt;/li&gt;",""),"&lt;br&gt;",CHAR(10)),"&lt;strong&gt;",""))</f>
        <v>&lt;p&gt;Nouvelle piste créée pour équipe Ventes. Aucun échange, action ou retour prospect enregistré à ce jour. Pas d'activité, de suivi ou de prochaine étape identifiée. Aucun retour ni conclusion prospect sur les fonds présentés. Aucun contexte de création détaillé mentionné.&lt;/p&gt;</v>
      </c>
      <c r="H80" s="14" cm="1" t="str">
        <f t="array" ref="H80">IF(G80="","",SUBSTITUTE(SUBSTITUTE(SUBSTITUTE(SUBSTITUTE(SUBSTITUTE(G80,"&lt;p&gt;",""),"&lt;/p&gt;",""),"&lt;ul&gt;",""),"&lt;/ul&gt;",""),"&lt;/strong&gt;",""))</f>
        <v>Nouvelle piste créée pour équipe Ventes. Aucun échange, action ou retour prospect enregistré à ce jour. Pas d'activité, de suivi ou de prochaine étape identifiée. Aucun retour ni conclusion prospect sur les fonds présentés. Aucun contexte de création détaillé mentionné.</v>
      </c>
      <c r="I80" s="15" cm="1" t="str">
        <f t="array" ref="I80">IF(C80="","",IF(OR(H80="",H80=0,H80=FALSE),"-",H80))</f>
        <v>Nouvelle piste créée pour équipe Ventes. Aucun échange, action ou retour prospect enregistré à ce jour. Pas d'activité, de suivi ou de prochaine étape identifiée. Aucun retour ni conclusion prospect sur les fonds présentés. Aucun contexte de création détaillé mentionné.</v>
      </c>
      <c r="J80" s="8" t="s">
        <v>296</v>
      </c>
      <c r="K80" s="8" t="s">
        <v>40</v>
      </c>
      <c r="L80" s="9" cm="1" t="str">
        <f t="array" ref="L80">IF(C80="","",IF(K80="Mort / Plus rien à faire","KO","OK"))</f>
        <v>OK</v>
      </c>
      <c r="M80" s="16">
        <v>46115.518379629626</v>
      </c>
      <c r="N80" s="16" cm="1" t="n">
        <f t="array" ref="N80">IF(OR(C80="",M80="",M80=0),"",M80)</f>
        <v>46115.518379629626</v>
      </c>
      <c r="O80" s="16">
        <v>46129.083333333336</v>
      </c>
      <c r="P80" s="16" cm="1" t="n">
        <f t="array" ref="P80">IF(C80="","",IF(OR(O80="",O80=0),"-",O80))</f>
        <v>46129.083333333336</v>
      </c>
      <c r="Q80" s="17">
        <v>0</v>
      </c>
      <c r="R80" s="17" cm="1" t="str">
        <f t="array" ref="R80">IF(C80="","",ROUND(Q80/1000000,3)&amp;" M€")</f>
        <v>0 M€</v>
      </c>
      <c r="S80" s="13" t="s">
        <v>164</v>
      </c>
      <c r="T80" s="9" cm="1" t="str">
        <f t="array" ref="T80">IF(C80="","",SUBSTITUTE(S80,"","")&amp;"%")</f>
        <v>10%</v>
      </c>
      <c r="U80" s="15" cm="1" t="str">
        <f t="array" ref="U80">IF(($N80="")*($P80=""),"",IF(($N80&lt;&gt;"")*($N80&gt;TODAY()-9)*($N80&lt;TODAY()+1)*($P80&lt;&gt;"")*($P80&gt;=TODAY())*($P80&lt;=TODAY()+13),"Semaine passée &amp; à venir",IF(($N80&lt;&gt;"")*($N80&gt;TODAY()-9)*($N80&lt;TODAY()+1),"Semaine passée",IF(($P80&lt;&gt;"")*($P80&gt;=TODAY())*($P80&lt;=TODAY()+13),"À venir","Autre"))))</f>
        <v>Semaine passée</v>
      </c>
      <c r="V80" s="8" cm="1" t="n">
        <f t="array" ref="V80">IF(C80&lt;&gt;"",1,0)</f>
        <v>1</v>
      </c>
      <c r="W80" s="8">
</c>
      <c r="X80" s="8">
</c>
      <c r="Y80" s="8">
</c>
      <c r="Z80" s="8">
</c>
      <c r="AA80" s="8">
</c>
      <c r="AB80" s="8">
</c>
      <c r="AC80" s="8">
</c>
      <c r="AD80" s="8">
</c>
      <c r="AE80" s="8">
</c>
      <c r="AF80" s="8">
</c>
      <c r="AG80" s="8">
</c>
      <c r="AH80" s="8">
</c>
      <c r="AI80" s="8">
</c>
      <c r="AJ80" s="8">
</c>
      <c r="AK80" s="8">
</c>
    </row>
    <row r="81" ht="76.5" customHeight="1">
      <c r="A81" s="9" t="s">
        <v>23</v>
      </c>
      <c r="B81" s="9" t="s">
        <v>77</v>
      </c>
      <c r="C81" s="12" t="s">
        <v>297</v>
      </c>
      <c r="D81" s="13" t="s">
        <v>298</v>
      </c>
      <c r="E81" s="9" t="s">
        <v>54</v>
      </c>
      <c r="F81" s="8" t="s">
        <v>299</v>
      </c>
      <c r="G81" s="14" cm="1" t="str">
        <f t="array" ref="G81">IF(F81="","",SUBSTITUTE(SUBSTITUTE(SUBSTITUTE(SUBSTITUTE(F81,"&lt;li&gt;",CHAR(10)),"&lt;/li&gt;",""),"&lt;br&gt;",CHAR(10)),"&lt;strong&gt;",""))</f>
        <v>&lt;p&gt;Nouvelle piste créée équipe Ventes. Enrichissement lead impossible (email invalide). Prochaine étape : 27 mars, Charles et Olivier invités par SAPIENS (FO d’IVESTA validé sur STRATON 150 0 B ter) pour podcast + masterclass PE payante, approche Apport-Cession. Nécessité rassurance avant le 27/03.&lt;/p&gt;</v>
      </c>
      <c r="H81" s="14" cm="1" t="str">
        <f t="array" ref="H81">IF(G81="","",SUBSTITUTE(SUBSTITUTE(SUBSTITUTE(SUBSTITUTE(SUBSTITUTE(G81,"&lt;p&gt;",""),"&lt;/p&gt;",""),"&lt;ul&gt;",""),"&lt;/ul&gt;",""),"&lt;/strong&gt;",""))</f>
        <v>Nouvelle piste créée équipe Ventes. Enrichissement lead impossible (email invalide). Prochaine étape : 27 mars, Charles et Olivier invités par SAPIENS (FO d’IVESTA validé sur STRATON 150 0 B ter) pour podcast + masterclass PE payante, approche Apport-Cession. Nécessité rassurance avant le 27/03.</v>
      </c>
      <c r="I81" s="15" cm="1" t="str">
        <f t="array" ref="I81">IF(C81="","",IF(OR(H81="",H81=0,H81=FALSE),"-",H81))</f>
        <v>Nouvelle piste créée équipe Ventes. Enrichissement lead impossible (email invalide). Prochaine étape : 27 mars, Charles et Olivier invités par SAPIENS (FO d’IVESTA validé sur STRATON 150 0 B ter) pour podcast + masterclass PE payante, approche Apport-Cession. Nécessité rassurance avant le 27/03.</v>
      </c>
      <c r="J81" s="8" t="s">
        <v>300</v>
      </c>
      <c r="K81" s="8" t="s">
        <v>40</v>
      </c>
      <c r="L81" s="9" cm="1" t="str">
        <f t="array" ref="L81">IF(C81="","",IF(K81="Mort / Plus rien à faire","KO","OK"))</f>
        <v>OK</v>
      </c>
      <c r="M81" s="16">
        <v>46094.40490740741</v>
      </c>
      <c r="N81" s="16" cm="1" t="n">
        <f t="array" ref="N81">IF(OR(C81="",M81="",M81=0),"",M81)</f>
        <v>46094.40490740741</v>
      </c>
      <c r="O81" s="16">
</c>
      <c r="P81" s="16" cm="1" t="str">
        <f t="array" ref="P81">IF(C81="","",IF(OR(O81="",O81=0),"-",O81))</f>
        <v>-</v>
      </c>
      <c r="Q81" s="17">
        <v>0</v>
      </c>
      <c r="R81" s="17" cm="1" t="str">
        <f t="array" ref="R81">IF(C81="","",ROUND(Q81/1000000,3)&amp;" M€")</f>
        <v>0 M€</v>
      </c>
      <c r="S81" s="13" t="s">
        <v>164</v>
      </c>
      <c r="T81" s="9" cm="1" t="str">
        <f t="array" ref="T81">IF(C81="","",SUBSTITUTE(S81,"","")&amp;"%")</f>
        <v>10%</v>
      </c>
      <c r="U81" s="15" cm="1" t="str">
        <f t="array" ref="U81">IF(($N81="")*($P81=""),"",IF(($N81&lt;&gt;"")*($N81&gt;TODAY()-9)*($N81&lt;TODAY()+1)*($P81&lt;&gt;"")*($P81&gt;=TODAY())*($P81&lt;=TODAY()+13),"Semaine passée &amp; à venir",IF(($N81&lt;&gt;"")*($N81&gt;TODAY()-9)*($N81&lt;TODAY()+1),"Semaine passée",IF(($P81&lt;&gt;"")*($P81&gt;=TODAY())*($P81&lt;=TODAY()+13),"À venir","Autre"))))</f>
        <v>Autre</v>
      </c>
      <c r="V81" s="8" cm="1" t="n">
        <f t="array" ref="V81">IF(C81&lt;&gt;"",1,0)</f>
        <v>1</v>
      </c>
      <c r="W81" s="8">
</c>
      <c r="X81" s="8">
</c>
      <c r="Y81" s="8">
</c>
      <c r="Z81" s="8">
</c>
      <c r="AA81" s="8">
</c>
      <c r="AB81" s="8">
</c>
      <c r="AC81" s="8">
</c>
      <c r="AD81" s="8">
</c>
      <c r="AE81" s="8">
</c>
      <c r="AF81" s="8">
</c>
      <c r="AG81" s="8">
</c>
      <c r="AH81" s="8">
</c>
      <c r="AI81" s="8">
</c>
      <c r="AJ81" s="8">
</c>
      <c r="AK81" s="8">
</c>
    </row>
    <row r="82" ht="76.5" customHeight="1">
      <c r="A82" s="9" t="s">
        <v>23</v>
      </c>
      <c r="B82" s="9" t="s">
        <v>32</v>
      </c>
      <c r="C82" s="12" t="s">
        <v>301</v>
      </c>
      <c r="D82" s="13" t="s">
        <v>302</v>
      </c>
      <c r="E82" s="9" t="s">
        <v>27</v>
      </c>
      <c r="F82" s="8" t="s">
        <v>303</v>
      </c>
      <c r="G82" s="14" cm="1" t="str">
        <f t="array" ref="G82">IF(F82="","",SUBSTITUTE(SUBSTITUTE(SUBSTITUTE(SUBSTITUTE(F82,"&lt;li&gt;",CHAR(10)),"&lt;/li&gt;",""),"&lt;br&gt;",CHAR(10)),"&lt;strong&gt;",""))</f>
        <v>&lt;p&gt;Relance faite, déjeuner à caler début février, relancer semaine du 25/01 si pas de retour. DG/élus attendent initiative publique défense, pas de capacité 2025 ni Q1 2026. Conseil d’admin. sceptique sur P-E, préfère dettes, report 2026. Suivi à maintenir, attente retour dates février.&lt;/p&gt;</v>
      </c>
      <c r="H82" s="14" cm="1" t="str">
        <f t="array" ref="H82">IF(G82="","",SUBSTITUTE(SUBSTITUTE(SUBSTITUTE(SUBSTITUTE(SUBSTITUTE(G82,"&lt;p&gt;",""),"&lt;/p&gt;",""),"&lt;ul&gt;",""),"&lt;/ul&gt;",""),"&lt;/strong&gt;",""))</f>
        <v>Relance faite, déjeuner à caler début février, relancer semaine du 25/01 si pas de retour. DG/élus attendent initiative publique défense, pas de capacité 2025 ni Q1 2026. Conseil d’admin. sceptique sur P-E, préfère dettes, report 2026. Suivi à maintenir, attente retour dates février.</v>
      </c>
      <c r="I82" s="15" cm="1" t="str">
        <f t="array" ref="I82">IF(C82="","",IF(OR(H82="",H82=0,H82=FALSE),"-",H82))</f>
        <v>Relance faite, déjeuner à caler début février, relancer semaine du 25/01 si pas de retour. DG/élus attendent initiative publique défense, pas de capacité 2025 ni Q1 2026. Conseil d’admin. sceptique sur P-E, préfère dettes, report 2026. Suivi à maintenir, attente retour dates février.</v>
      </c>
      <c r="J82" s="8" t="s">
        <v>304</v>
      </c>
      <c r="K82" s="8" t="s">
        <v>88</v>
      </c>
      <c r="L82" s="9" cm="1" t="str">
        <f t="array" ref="L82">IF(C82="","",IF(K82="Mort / Plus rien à faire","KO","OK"))</f>
        <v>OK</v>
      </c>
      <c r="M82" s="16">
        <v>46113.63081018518</v>
      </c>
      <c r="N82" s="16" cm="1" t="n">
        <f t="array" ref="N82">IF(OR(C82="",M82="",M82=0),"",M82)</f>
        <v>46113.63081018518</v>
      </c>
      <c r="O82" s="16">
        <v>46115.083333333336</v>
      </c>
      <c r="P82" s="16" cm="1" t="n">
        <f t="array" ref="P82">IF(C82="","",IF(OR(O82="",O82=0),"-",O82))</f>
        <v>46115.083333333336</v>
      </c>
      <c r="Q82" s="17">
        <v>0</v>
      </c>
      <c r="R82" s="17" cm="1" t="str">
        <f t="array" ref="R82">IF(C82="","",ROUND(Q82/1000000,3)&amp;" M€")</f>
        <v>0 M€</v>
      </c>
      <c r="S82" s="13" t="s">
        <v>164</v>
      </c>
      <c r="T82" s="9" cm="1" t="str">
        <f t="array" ref="T82">IF(C82="","",SUBSTITUTE(S82,"","")&amp;"%")</f>
        <v>10%</v>
      </c>
      <c r="U82" s="15" cm="1" t="str">
        <f t="array" ref="U82">IF(($N82="")*($P82=""),"",IF(($N82&lt;&gt;"")*($N82&gt;TODAY()-9)*($N82&lt;TODAY()+1)*($P82&lt;&gt;"")*($P82&gt;=TODAY())*($P82&lt;=TODAY()+13),"Semaine passée &amp; à venir",IF(($N82&lt;&gt;"")*($N82&gt;TODAY()-9)*($N82&lt;TODAY()+1),"Semaine passée",IF(($P82&lt;&gt;"")*($P82&gt;=TODAY())*($P82&lt;=TODAY()+13),"À venir","Autre"))))</f>
        <v>Semaine passée &amp; à venir</v>
      </c>
      <c r="V82" s="8" cm="1" t="n">
        <f t="array" ref="V82">IF(C82&lt;&gt;"",1,0)</f>
        <v>1</v>
      </c>
      <c r="W82" s="8">
</c>
      <c r="X82" s="8">
</c>
      <c r="Y82" s="8">
</c>
      <c r="Z82" s="8">
</c>
      <c r="AA82" s="8">
</c>
      <c r="AB82" s="8">
</c>
      <c r="AC82" s="8">
</c>
      <c r="AD82" s="8">
</c>
      <c r="AE82" s="8">
</c>
      <c r="AF82" s="8">
</c>
      <c r="AG82" s="8">
</c>
      <c r="AH82" s="8">
</c>
      <c r="AI82" s="8">
</c>
      <c r="AJ82" s="8">
</c>
      <c r="AK82" s="8">
</c>
    </row>
    <row r="83" ht="76.5" customHeight="1">
      <c r="A83" s="9" t="s">
        <v>23</v>
      </c>
      <c r="B83" s="9" t="s">
        <v>57</v>
      </c>
      <c r="C83" s="12" t="s">
        <v>305</v>
      </c>
      <c r="D83" s="13" t="s">
        <v>306</v>
      </c>
      <c r="E83" s="9" t="s">
        <v>27</v>
      </c>
      <c r="F83" s="8" t="s">
        <v>307</v>
      </c>
      <c r="G83" s="14" cm="1" t="str">
        <f t="array" ref="G83">IF(F83="","",SUBSTITUTE(SUBSTITUTE(SUBSTITUTE(SUBSTITUTE(F83,"&lt;li&gt;",CHAR(10)),"&lt;/li&gt;",""),"&lt;br&gt;",CHAR(10)),"&lt;strong&gt;",""))</f>
        <v>&lt;p&gt;RDV intro tel 10/02 : DG AUM 15M€, inv. annuel 0,8M€, 100% cotés, 4 partenaires historiques (Crédit Coopératif, BRED, courtier). Gestion directe. Relance faite pour Commission des placements prévue le 25/03/2026. Dernier échange physique : relance confirmée. Prochaine étape : retour après commission.&lt;/p&gt;</v>
      </c>
      <c r="H83" s="14" cm="1" t="str">
        <f t="array" ref="H83">IF(G83="","",SUBSTITUTE(SUBSTITUTE(SUBSTITUTE(SUBSTITUTE(SUBSTITUTE(G83,"&lt;p&gt;",""),"&lt;/p&gt;",""),"&lt;ul&gt;",""),"&lt;/ul&gt;",""),"&lt;/strong&gt;",""))</f>
        <v>RDV intro tel 10/02 : DG AUM 15M€, inv. annuel 0,8M€, 100% cotés, 4 partenaires historiques (Crédit Coopératif, BRED, courtier). Gestion directe. Relance faite pour Commission des placements prévue le 25/03/2026. Dernier échange physique : relance confirmée. Prochaine étape : retour après commission.</v>
      </c>
      <c r="I83" s="15" cm="1" t="str">
        <f t="array" ref="I83">IF(C83="","",IF(OR(H83="",H83=0,H83=FALSE),"-",H83))</f>
        <v>RDV intro tel 10/02 : DG AUM 15M€, inv. annuel 0,8M€, 100% cotés, 4 partenaires historiques (Crédit Coopératif, BRED, courtier). Gestion directe. Relance faite pour Commission des placements prévue le 25/03/2026. Dernier échange physique : relance confirmée. Prochaine étape : retour après commission.</v>
      </c>
      <c r="J83" s="8" t="s">
        <v>308</v>
      </c>
      <c r="K83" s="8" t="s">
        <v>45</v>
      </c>
      <c r="L83" s="9" cm="1" t="str">
        <f t="array" ref="L83">IF(C83="","",IF(K83="Mort / Plus rien à faire","KO","OK"))</f>
        <v>OK</v>
      </c>
      <c r="M83" s="16">
        <v>46114.70804398148</v>
      </c>
      <c r="N83" s="16" cm="1" t="n">
        <f t="array" ref="N83">IF(OR(C83="",M83="",M83=0),"",M83)</f>
        <v>46114.70804398148</v>
      </c>
      <c r="O83" s="16">
        <v>46121.083333333336</v>
      </c>
      <c r="P83" s="16" cm="1" t="n">
        <f t="array" ref="P83">IF(C83="","",IF(OR(O83="",O83=0),"-",O83))</f>
        <v>46121.083333333336</v>
      </c>
      <c r="Q83" s="17">
        <v>0</v>
      </c>
      <c r="R83" s="17" cm="1" t="str">
        <f t="array" ref="R83">IF(C83="","",ROUND(Q83/1000000,3)&amp;" M€")</f>
        <v>0 M€</v>
      </c>
      <c r="S83" s="13" t="s">
        <v>164</v>
      </c>
      <c r="T83" s="9" cm="1" t="str">
        <f t="array" ref="T83">IF(C83="","",SUBSTITUTE(S83,"","")&amp;"%")</f>
        <v>10%</v>
      </c>
      <c r="U83" s="15" cm="1" t="str">
        <f t="array" ref="U83">IF(($N83="")*($P83=""),"",IF(($N83&lt;&gt;"")*($N83&gt;TODAY()-9)*($N83&lt;TODAY()+1)*($P83&lt;&gt;"")*($P83&gt;=TODAY())*($P83&lt;=TODAY()+13),"Semaine passée &amp; à venir",IF(($N83&lt;&gt;"")*($N83&gt;TODAY()-9)*($N83&lt;TODAY()+1),"Semaine passée",IF(($P83&lt;&gt;"")*($P83&gt;=TODAY())*($P83&lt;=TODAY()+13),"À venir","Autre"))))</f>
        <v>Semaine passée &amp; à venir</v>
      </c>
      <c r="V83" s="8" cm="1" t="n">
        <f t="array" ref="V83">IF(C83&lt;&gt;"",1,0)</f>
        <v>1</v>
      </c>
      <c r="W83" s="8">
</c>
      <c r="X83" s="8">
</c>
      <c r="Y83" s="8">
</c>
      <c r="Z83" s="8">
</c>
      <c r="AA83" s="8">
</c>
      <c r="AB83" s="8">
</c>
      <c r="AC83" s="8">
</c>
      <c r="AD83" s="8">
</c>
      <c r="AE83" s="8">
</c>
      <c r="AF83" s="8">
</c>
      <c r="AG83" s="8">
</c>
      <c r="AH83" s="8">
</c>
      <c r="AI83" s="8">
</c>
      <c r="AJ83" s="8">
</c>
      <c r="AK83" s="8">
</c>
    </row>
    <row r="84" ht="76.5" customHeight="1">
      <c r="A84" s="9" t="s">
        <v>23</v>
      </c>
      <c r="B84" s="9" t="s">
        <v>189</v>
      </c>
      <c r="C84" s="12" t="s">
        <v>190</v>
      </c>
      <c r="D84" s="13" t="s">
        <v>309</v>
      </c>
      <c r="E84" s="9" t="s">
        <v>27</v>
      </c>
      <c r="F84" s="8" t="s">
        <v>310</v>
      </c>
      <c r="G84" s="14" cm="1" t="str">
        <f t="array" ref="G84">IF(F84="","",SUBSTITUTE(SUBSTITUTE(SUBSTITUTE(SUBSTITUTE(F84,"&lt;li&gt;",CHAR(10)),"&lt;/li&gt;",""),"&lt;br&gt;",CHAR(10)),"&lt;strong&gt;",""))</f>
        <v>&lt;p&gt;Position du prospect en évolution, non finalisée. Louis Potvin (développement/partenariats) ajouté en copie pour la suite. Prochaine étape : caler un RDV de suivi Défense avec Pierre Teisser avant le 03/04/2026. Pas de retour prospect sur fonds à ce stade. Aucun passage en comité mentionné.&lt;/p&gt;</v>
      </c>
      <c r="H84" s="14" cm="1" t="str">
        <f t="array" ref="H84">IF(G84="","",SUBSTITUTE(SUBSTITUTE(SUBSTITUTE(SUBSTITUTE(SUBSTITUTE(G84,"&lt;p&gt;",""),"&lt;/p&gt;",""),"&lt;ul&gt;",""),"&lt;/ul&gt;",""),"&lt;/strong&gt;",""))</f>
        <v>Position du prospect en évolution, non finalisée. Louis Potvin (développement/partenariats) ajouté en copie pour la suite. Prochaine étape : caler un RDV de suivi Défense avec Pierre Teisser avant le 03/04/2026. Pas de retour prospect sur fonds à ce stade. Aucun passage en comité mentionné.</v>
      </c>
      <c r="I84" s="15" cm="1" t="str">
        <f t="array" ref="I84">IF(C84="","",IF(OR(H84="",H84=0,H84=FALSE),"-",H84))</f>
        <v>Position du prospect en évolution, non finalisée. Louis Potvin (développement/partenariats) ajouté en copie pour la suite. Prochaine étape : caler un RDV de suivi Défense avec Pierre Teisser avant le 03/04/2026. Pas de retour prospect sur fonds à ce stade. Aucun passage en comité mentionné.</v>
      </c>
      <c r="J84" s="8" t="s">
        <v>311</v>
      </c>
      <c r="K84" s="8" t="s">
        <v>40</v>
      </c>
      <c r="L84" s="9" cm="1" t="str">
        <f t="array" ref="L84">IF(C84="","",IF(K84="Mort / Plus rien à faire","KO","OK"))</f>
        <v>OK</v>
      </c>
      <c r="M84" s="16">
        <v>46099.50137731482</v>
      </c>
      <c r="N84" s="16" cm="1" t="n">
        <f t="array" ref="N84">IF(OR(C84="",M84="",M84=0),"",M84)</f>
        <v>46099.50137731482</v>
      </c>
      <c r="O84" s="16">
        <v>46115.083333333336</v>
      </c>
      <c r="P84" s="16" cm="1" t="n">
        <f t="array" ref="P84">IF(C84="","",IF(OR(O84="",O84=0),"-",O84))</f>
        <v>46115.083333333336</v>
      </c>
      <c r="Q84" s="17">
        <v>0</v>
      </c>
      <c r="R84" s="17" cm="1" t="str">
        <f t="array" ref="R84">IF(C84="","",ROUND(Q84/1000000,3)&amp;" M€")</f>
        <v>0 M€</v>
      </c>
      <c r="S84" s="13" t="s">
        <v>164</v>
      </c>
      <c r="T84" s="9" cm="1" t="str">
        <f t="array" ref="T84">IF(C84="","",SUBSTITUTE(S84,"","")&amp;"%")</f>
        <v>10%</v>
      </c>
      <c r="U84" s="15" cm="1" t="str">
        <f t="array" ref="U84">IF(($N84="")*($P84=""),"",IF(($N84&lt;&gt;"")*($N84&gt;TODAY()-9)*($N84&lt;TODAY()+1)*($P84&lt;&gt;"")*($P84&gt;=TODAY())*($P84&lt;=TODAY()+13),"Semaine passée &amp; à venir",IF(($N84&lt;&gt;"")*($N84&gt;TODAY()-9)*($N84&lt;TODAY()+1),"Semaine passée",IF(($P84&lt;&gt;"")*($P84&gt;=TODAY())*($P84&lt;=TODAY()+13),"À venir","Autre"))))</f>
        <v>À venir</v>
      </c>
      <c r="V84" s="8" cm="1" t="n">
        <f t="array" ref="V84">IF(C84&lt;&gt;"",1,0)</f>
        <v>1</v>
      </c>
      <c r="W84" s="8">
</c>
      <c r="X84" s="8">
</c>
      <c r="Y84" s="8">
</c>
      <c r="Z84" s="8">
</c>
      <c r="AA84" s="8">
</c>
      <c r="AB84" s="8">
</c>
      <c r="AC84" s="8">
</c>
      <c r="AD84" s="8">
</c>
      <c r="AE84" s="8">
</c>
      <c r="AF84" s="8">
</c>
      <c r="AG84" s="8">
</c>
      <c r="AH84" s="8">
</c>
      <c r="AI84" s="8">
</c>
      <c r="AJ84" s="8">
</c>
      <c r="AK84" s="8">
</c>
    </row>
    <row r="85" ht="76.5" customHeight="1">
      <c r="A85" s="9" t="s">
        <v>23</v>
      </c>
      <c r="B85" s="9" t="s">
        <v>32</v>
      </c>
      <c r="C85" s="12" t="s">
        <v>312</v>
      </c>
      <c r="D85" s="13" t="s">
        <v>313</v>
      </c>
      <c r="E85" s="9" t="s">
        <v>121</v>
      </c>
      <c r="F85" s="8" t="s">
        <v>314</v>
      </c>
      <c r="G85" s="14" cm="1" t="str">
        <f t="array" ref="G85">IF(F85="","",SUBSTITUTE(SUBSTITUTE(SUBSTITUTE(SUBSTITUTE(F85,"&lt;li&gt;",CHAR(10)),"&lt;/li&gt;",""),"&lt;br&gt;",CHAR(10)),"&lt;strong&gt;",""))</f>
        <v>&lt;p&gt;RDV physiques et échanges réguliers AG2R/Audacia (Straton, Expansion, Quantonation). Présentation fonds, envoi docs, discussions fonds défense, nucléaire, tech, biotech, LBO, stratégie AG2R. AG2R analyse positionnement défense, contraintes internes, intérêt pour fonds sectoriels. Prochaine étape&amp;nbsp;: deck Straton, benchmark concurrents.&lt;/p&gt;</v>
      </c>
      <c r="H85" s="14" cm="1" t="str">
        <f t="array" ref="H85">IF(G85="","",SUBSTITUTE(SUBSTITUTE(SUBSTITUTE(SUBSTITUTE(SUBSTITUTE(G85,"&lt;p&gt;",""),"&lt;/p&gt;",""),"&lt;ul&gt;",""),"&lt;/ul&gt;",""),"&lt;/strong&gt;",""))</f>
        <v>RDV physiques et échanges réguliers AG2R/Audacia (Straton, Expansion, Quantonation). Présentation fonds, envoi docs, discussions fonds défense, nucléaire, tech, biotech, LBO, stratégie AG2R. AG2R analyse positionnement défense, contraintes internes, intérêt pour fonds sectoriels. Prochaine étape&amp;nbsp;: deck Straton, benchmark concurrents.</v>
      </c>
      <c r="I85" s="15" cm="1" t="str">
        <f t="array" ref="I85">IF(C85="","",IF(OR(H85="",H85=0,H85=FALSE),"-",H85))</f>
        <v>RDV physiques et échanges réguliers AG2R/Audacia (Straton, Expansion, Quantonation). Présentation fonds, envoi docs, discussions fonds défense, nucléaire, tech, biotech, LBO, stratégie AG2R. AG2R analyse positionnement défense, contraintes internes, intérêt pour fonds sectoriels. Prochaine étape&amp;nbsp;: deck Straton, benchmark concurrents.</v>
      </c>
      <c r="J85" s="8" t="s">
        <v>315</v>
      </c>
      <c r="K85" s="8" t="s">
        <v>45</v>
      </c>
      <c r="L85" s="9" cm="1" t="str">
        <f t="array" ref="L85">IF(C85="","",IF(K85="Mort / Plus rien à faire","KO","OK"))</f>
        <v>OK</v>
      </c>
      <c r="M85" s="16">
        <v>46113.73333333333</v>
      </c>
      <c r="N85" s="16" cm="1" t="n">
        <f t="array" ref="N85">IF(OR(C85="",M85="",M85=0),"",M85)</f>
        <v>46113.73333333333</v>
      </c>
      <c r="O85" s="16">
        <v>46162.708333333336</v>
      </c>
      <c r="P85" s="16" cm="1" t="n">
        <f t="array" ref="P85">IF(C85="","",IF(OR(O85="",O85=0),"-",O85))</f>
        <v>46162.708333333336</v>
      </c>
      <c r="Q85" s="17">
        <v>0</v>
      </c>
      <c r="R85" s="17" cm="1" t="str">
        <f t="array" ref="R85">IF(C85="","",ROUND(Q85/1000000,3)&amp;" M€")</f>
        <v>0 M€</v>
      </c>
      <c r="S85" s="13" t="s">
        <v>164</v>
      </c>
      <c r="T85" s="9" cm="1" t="str">
        <f t="array" ref="T85">IF(C85="","",SUBSTITUTE(S85,"","")&amp;"%")</f>
        <v>10%</v>
      </c>
      <c r="U85" s="15" cm="1" t="str">
        <f t="array" ref="U85">IF(($N85="")*($P85=""),"",IF(($N85&lt;&gt;"")*($N85&gt;TODAY()-9)*($N85&lt;TODAY()+1)*($P85&lt;&gt;"")*($P85&gt;=TODAY())*($P85&lt;=TODAY()+13),"Semaine passée &amp; à venir",IF(($N85&lt;&gt;"")*($N85&gt;TODAY()-9)*($N85&lt;TODAY()+1),"Semaine passée",IF(($P85&lt;&gt;"")*($P85&gt;=TODAY())*($P85&lt;=TODAY()+13),"À venir","Autre"))))</f>
        <v>Semaine passée</v>
      </c>
      <c r="V85" s="8" cm="1" t="n">
        <f t="array" ref="V85">IF(C85&lt;&gt;"",1,0)</f>
        <v>1</v>
      </c>
      <c r="W85" s="8">
</c>
      <c r="X85" s="8">
</c>
      <c r="Y85" s="8">
</c>
      <c r="Z85" s="8">
</c>
      <c r="AA85" s="8">
</c>
      <c r="AB85" s="8">
</c>
      <c r="AC85" s="8">
</c>
      <c r="AD85" s="8">
</c>
      <c r="AE85" s="8">
</c>
      <c r="AF85" s="8">
</c>
      <c r="AG85" s="8">
</c>
      <c r="AH85" s="8">
</c>
      <c r="AI85" s="8">
</c>
      <c r="AJ85" s="8">
</c>
      <c r="AK85" s="8">
</c>
    </row>
    <row r="86" ht="76.5" customHeight="1">
      <c r="A86" s="9" t="s">
        <v>23</v>
      </c>
      <c r="B86" s="9" t="s">
        <v>57</v>
      </c>
      <c r="C86" s="12" t="s">
        <v>316</v>
      </c>
      <c r="D86" s="13" t="s">
        <v>317</v>
      </c>
      <c r="E86" s="9" t="s">
        <v>27</v>
      </c>
      <c r="F86" s="8" t="s">
        <v>318</v>
      </c>
      <c r="G86" s="14" cm="1" t="str">
        <f t="array" ref="G86">IF(F86="","",SUBSTITUTE(SUBSTITUTE(SUBSTITUTE(SUBSTITUTE(F86,"&lt;li&gt;",CHAR(10)),"&lt;/li&gt;",""),"&lt;br&gt;",CHAR(10)),"&lt;strong&gt;",""))</f>
        <v>&lt;p&gt;Aucune activité menée sur le prospect. Infos : Organisme de prévoyance et retraite dédié au personnel ferroviaire, gère dispositifs complémentaires et prévoyance pour agents du rail, structure historique secteur public, mission gestion sociale et protection salariés ferroviaires.&lt;/p&gt;</v>
      </c>
      <c r="H86" s="14" cm="1" t="str">
        <f t="array" ref="H86">IF(G86="","",SUBSTITUTE(SUBSTITUTE(SUBSTITUTE(SUBSTITUTE(SUBSTITUTE(G86,"&lt;p&gt;",""),"&lt;/p&gt;",""),"&lt;ul&gt;",""),"&lt;/ul&gt;",""),"&lt;/strong&gt;",""))</f>
        <v>Aucune activité menée sur le prospect. Infos : Organisme de prévoyance et retraite dédié au personnel ferroviaire, gère dispositifs complémentaires et prévoyance pour agents du rail, structure historique secteur public, mission gestion sociale et protection salariés ferroviaires.</v>
      </c>
      <c r="I86" s="15" cm="1" t="str">
        <f t="array" ref="I86">IF(C86="","",IF(OR(H86="",H86=0,H86=FALSE),"-",H86))</f>
        <v>Aucune activité menée sur le prospect. Infos : Organisme de prévoyance et retraite dédié au personnel ferroviaire, gère dispositifs complémentaires et prévoyance pour agents du rail, structure historique secteur public, mission gestion sociale et protection salariés ferroviaires.</v>
      </c>
      <c r="J86" s="8">
</c>
      <c r="K86" s="8" t="s">
        <v>40</v>
      </c>
      <c r="L86" s="9" cm="1" t="str">
        <f t="array" ref="L86">IF(C86="","",IF(K86="Mort / Plus rien à faire","KO","OK"))</f>
        <v>OK</v>
      </c>
      <c r="M86" s="16">
        <v>46028.566458333335</v>
      </c>
      <c r="N86" s="16" cm="1" t="n">
        <f t="array" ref="N86">IF(OR(C86="",M86="",M86=0),"",M86)</f>
        <v>46028.566458333335</v>
      </c>
      <c r="O86" s="16">
</c>
      <c r="P86" s="16" cm="1" t="str">
        <f t="array" ref="P86">IF(C86="","",IF(OR(O86="",O86=0),"-",O86))</f>
        <v>-</v>
      </c>
      <c r="Q86" s="17">
        <v>0</v>
      </c>
      <c r="R86" s="17" cm="1" t="str">
        <f t="array" ref="R86">IF(C86="","",ROUND(Q86/1000000,3)&amp;" M€")</f>
        <v>0 M€</v>
      </c>
      <c r="S86" s="13" t="s">
        <v>164</v>
      </c>
      <c r="T86" s="9" cm="1" t="str">
        <f t="array" ref="T86">IF(C86="","",SUBSTITUTE(S86,"","")&amp;"%")</f>
        <v>10%</v>
      </c>
      <c r="U86" s="15" cm="1" t="str">
        <f t="array" ref="U86">IF(($N86="")*($P86=""),"",IF(($N86&lt;&gt;"")*($N86&gt;TODAY()-9)*($N86&lt;TODAY()+1)*($P86&lt;&gt;"")*($P86&gt;=TODAY())*($P86&lt;=TODAY()+13),"Semaine passée &amp; à venir",IF(($N86&lt;&gt;"")*($N86&gt;TODAY()-9)*($N86&lt;TODAY()+1),"Semaine passée",IF(($P86&lt;&gt;"")*($P86&gt;=TODAY())*($P86&lt;=TODAY()+13),"À venir","Autre"))))</f>
        <v>Autre</v>
      </c>
      <c r="V86" s="8" cm="1" t="n">
        <f t="array" ref="V86">IF(C86&lt;&gt;"",1,0)</f>
        <v>1</v>
      </c>
      <c r="W86" s="8">
</c>
      <c r="X86" s="8">
</c>
      <c r="Y86" s="8">
</c>
      <c r="Z86" s="8">
</c>
      <c r="AA86" s="8">
</c>
      <c r="AB86" s="8">
</c>
      <c r="AC86" s="8">
</c>
      <c r="AD86" s="8">
</c>
      <c r="AE86" s="8">
</c>
      <c r="AF86" s="8">
</c>
      <c r="AG86" s="8">
</c>
      <c r="AH86" s="8">
</c>
      <c r="AI86" s="8">
</c>
      <c r="AJ86" s="8">
</c>
      <c r="AK86" s="8">
</c>
    </row>
    <row r="87" ht="76.5" customHeight="1">
      <c r="A87" s="9" t="s">
        <v>23</v>
      </c>
      <c r="B87" s="9" t="s">
        <v>84</v>
      </c>
      <c r="C87" s="12" t="s">
        <v>319</v>
      </c>
      <c r="D87" s="13" t="s">
        <v>320</v>
      </c>
      <c r="E87" s="9" t="s">
        <v>80</v>
      </c>
      <c r="F87" s="8" t="s">
        <v>321</v>
      </c>
      <c r="G87" s="14" cm="1" t="str">
        <f t="array" ref="G87">IF(F87="","",SUBSTITUTE(SUBSTITUTE(SUBSTITUTE(SUBSTITUTE(F87,"&lt;li&gt;",CHAR(10)),"&lt;/li&gt;",""),"&lt;br&gt;",CHAR(10)),"&lt;strong&gt;",""))</f>
        <v>&lt;p&gt;RDV physique 24/03 à Toulouse, échanges sur fonds Audacia, contact avec Métagram/Patrinum à venir. Intérêt marqué pour fonds Défense, questions sur valos/dealflow, pas de VC ni sectoriel. Relance mail prévue, visio avec Thomas à organiser. Dernière action&amp;nbsp;: relance événement Défense 09/04.&lt;/p&gt;</v>
      </c>
      <c r="H87" s="14" cm="1" t="str">
        <f t="array" ref="H87">IF(G87="","",SUBSTITUTE(SUBSTITUTE(SUBSTITUTE(SUBSTITUTE(SUBSTITUTE(G87,"&lt;p&gt;",""),"&lt;/p&gt;",""),"&lt;ul&gt;",""),"&lt;/ul&gt;",""),"&lt;/strong&gt;",""))</f>
        <v>RDV physique 24/03 à Toulouse, échanges sur fonds Audacia, contact avec Métagram/Patrinum à venir. Intérêt marqué pour fonds Défense, questions sur valos/dealflow, pas de VC ni sectoriel. Relance mail prévue, visio avec Thomas à organiser. Dernière action&amp;nbsp;: relance événement Défense 09/04.</v>
      </c>
      <c r="I87" s="15" cm="1" t="str">
        <f t="array" ref="I87">IF(C87="","",IF(OR(H87="",H87=0,H87=FALSE),"-",H87))</f>
        <v>RDV physique 24/03 à Toulouse, échanges sur fonds Audacia, contact avec Métagram/Patrinum à venir. Intérêt marqué pour fonds Défense, questions sur valos/dealflow, pas de VC ni sectoriel. Relance mail prévue, visio avec Thomas à organiser. Dernière action&amp;nbsp;: relance événement Défense 09/04.</v>
      </c>
      <c r="J87" s="8">
</c>
      <c r="K87" s="8" t="s">
        <v>45</v>
      </c>
      <c r="L87" s="9" cm="1" t="str">
        <f t="array" ref="L87">IF(C87="","",IF(K87="Mort / Plus rien à faire","KO","OK"))</f>
        <v>OK</v>
      </c>
      <c r="M87" s="16">
        <v>46112.49170138889</v>
      </c>
      <c r="N87" s="16" cm="1" t="n">
        <f t="array" ref="N87">IF(OR(C87="",M87="",M87=0),"",M87)</f>
        <v>46112.49170138889</v>
      </c>
      <c r="O87" s="16">
</c>
      <c r="P87" s="16" cm="1" t="str">
        <f t="array" ref="P87">IF(C87="","",IF(OR(O87="",O87=0),"-",O87))</f>
        <v>-</v>
      </c>
      <c r="Q87" s="17">
        <v>0</v>
      </c>
      <c r="R87" s="17" cm="1" t="str">
        <f t="array" ref="R87">IF(C87="","",ROUND(Q87/1000000,3)&amp;" M€")</f>
        <v>0 M€</v>
      </c>
      <c r="S87" s="13" t="s">
        <v>164</v>
      </c>
      <c r="T87" s="9" cm="1" t="str">
        <f t="array" ref="T87">IF(C87="","",SUBSTITUTE(S87,"","")&amp;"%")</f>
        <v>10%</v>
      </c>
      <c r="U87" s="15" cm="1" t="str">
        <f t="array" ref="U87">IF(($N87="")*($P87=""),"",IF(($N87&lt;&gt;"")*($N87&gt;TODAY()-9)*($N87&lt;TODAY()+1)*($P87&lt;&gt;"")*($P87&gt;=TODAY())*($P87&lt;=TODAY()+13),"Semaine passée &amp; à venir",IF(($N87&lt;&gt;"")*($N87&gt;TODAY()-9)*($N87&lt;TODAY()+1),"Semaine passée",IF(($P87&lt;&gt;"")*($P87&gt;=TODAY())*($P87&lt;=TODAY()+13),"À venir","Autre"))))</f>
        <v>Semaine passée</v>
      </c>
      <c r="V87" s="8" cm="1" t="n">
        <f t="array" ref="V87">IF(C87&lt;&gt;"",1,0)</f>
        <v>1</v>
      </c>
      <c r="W87" s="8">
</c>
      <c r="X87" s="8">
</c>
      <c r="Y87" s="8">
</c>
      <c r="Z87" s="8">
</c>
      <c r="AA87" s="8">
</c>
      <c r="AB87" s="8">
</c>
      <c r="AC87" s="8">
</c>
      <c r="AD87" s="8">
</c>
      <c r="AE87" s="8">
</c>
      <c r="AF87" s="8">
</c>
      <c r="AG87" s="8">
</c>
      <c r="AH87" s="8">
</c>
      <c r="AI87" s="8">
</c>
      <c r="AJ87" s="8">
</c>
      <c r="AK87" s="8">
</c>
    </row>
    <row r="88" ht="76.5" customHeight="1">
      <c r="A88" s="9" t="s">
        <v>23</v>
      </c>
      <c r="B88" s="9" t="s">
        <v>24</v>
      </c>
      <c r="C88" s="12" t="s">
        <v>322</v>
      </c>
      <c r="D88" s="13" t="s">
        <v>323</v>
      </c>
      <c r="E88" s="9" t="s">
        <v>27</v>
      </c>
      <c r="F88" s="8" t="s">
        <v>324</v>
      </c>
      <c r="G88" s="14" cm="1" t="str">
        <f t="array" ref="G88">IF(F88="","",SUBSTITUTE(SUBSTITUTE(SUBSTITUTE(SUBSTITUTE(F88,"&lt;li&gt;",CHAR(10)),"&lt;/li&gt;",""),"&lt;br&gt;",CHAR(10)),"&lt;strong&gt;",""))</f>
        <v>&lt;p&gt;Déjeuner 5 mars 2025 avec DG : portefeuille couvre 90% coûts Fondation, réallocation vers infra/dettes, arrêt PE. Refus d'évaluer fonds PME Straton (préférence secondaire infra, valorisations élevées, risques, absence de distribution, stress dette souveraine). Prochaine étape : reprendre RDV avec Thierry Brevet.&lt;/p&gt;</v>
      </c>
      <c r="H88" s="14" cm="1" t="str">
        <f t="array" ref="H88">IF(G88="","",SUBSTITUTE(SUBSTITUTE(SUBSTITUTE(SUBSTITUTE(SUBSTITUTE(G88,"&lt;p&gt;",""),"&lt;/p&gt;",""),"&lt;ul&gt;",""),"&lt;/ul&gt;",""),"&lt;/strong&gt;",""))</f>
        <v>Déjeuner 5 mars 2025 avec DG : portefeuille couvre 90% coûts Fondation, réallocation vers infra/dettes, arrêt PE. Refus d'évaluer fonds PME Straton (préférence secondaire infra, valorisations élevées, risques, absence de distribution, stress dette souveraine). Prochaine étape : reprendre RDV avec Thierry Brevet.</v>
      </c>
      <c r="I88" s="15" cm="1" t="str">
        <f t="array" ref="I88">IF(C88="","",IF(OR(H88="",H88=0,H88=FALSE),"-",H88))</f>
        <v>Déjeuner 5 mars 2025 avec DG : portefeuille couvre 90% coûts Fondation, réallocation vers infra/dettes, arrêt PE. Refus d'évaluer fonds PME Straton (préférence secondaire infra, valorisations élevées, risques, absence de distribution, stress dette souveraine). Prochaine étape : reprendre RDV avec Thierry Brevet.</v>
      </c>
      <c r="J88" s="8" t="s">
        <v>325</v>
      </c>
      <c r="K88" s="8" t="s">
        <v>326</v>
      </c>
      <c r="L88" s="9" cm="1" t="str">
        <f t="array" ref="L88">IF(C88="","",IF(K88="Mort / Plus rien à faire","KO","OK"))</f>
        <v>OK</v>
      </c>
      <c r="M88" s="16">
        <v>46087.673622685186</v>
      </c>
      <c r="N88" s="16" cm="1" t="n">
        <f t="array" ref="N88">IF(OR(C88="",M88="",M88=0),"",M88)</f>
        <v>46087.673622685186</v>
      </c>
      <c r="O88" s="16">
        <v>46328.041666666664</v>
      </c>
      <c r="P88" s="16" cm="1" t="n">
        <f t="array" ref="P88">IF(C88="","",IF(OR(O88="",O88=0),"-",O88))</f>
        <v>46328.041666666664</v>
      </c>
      <c r="Q88" s="17">
        <v>2000000</v>
      </c>
      <c r="R88" s="17" cm="1" t="str">
        <f t="array" ref="R88">IF(C88="","",ROUND(Q88/1000000,3)&amp;" M€")</f>
        <v>2 M€</v>
      </c>
      <c r="S88" s="13" t="s">
        <v>164</v>
      </c>
      <c r="T88" s="9" cm="1" t="str">
        <f t="array" ref="T88">IF(C88="","",SUBSTITUTE(S88,"","")&amp;"%")</f>
        <v>10%</v>
      </c>
      <c r="U88" s="15" cm="1" t="str">
        <f t="array" ref="U88">IF(($N88="")*($P88=""),"",IF(($N88&lt;&gt;"")*($N88&gt;TODAY()-9)*($N88&lt;TODAY()+1)*($P88&lt;&gt;"")*($P88&gt;=TODAY())*($P88&lt;=TODAY()+13),"Semaine passée &amp; à venir",IF(($N88&lt;&gt;"")*($N88&gt;TODAY()-9)*($N88&lt;TODAY()+1),"Semaine passée",IF(($P88&lt;&gt;"")*($P88&gt;=TODAY())*($P88&lt;=TODAY()+13),"À venir","Autre"))))</f>
        <v>Autre</v>
      </c>
      <c r="V88" s="8" cm="1" t="n">
        <f t="array" ref="V88">IF(C88&lt;&gt;"",1,0)</f>
        <v>1</v>
      </c>
      <c r="W88" s="8">
</c>
      <c r="X88" s="8">
</c>
      <c r="Y88" s="8">
</c>
      <c r="Z88" s="8">
</c>
      <c r="AA88" s="8">
</c>
      <c r="AB88" s="8">
</c>
      <c r="AC88" s="8">
</c>
      <c r="AD88" s="8">
</c>
      <c r="AE88" s="8">
</c>
      <c r="AF88" s="8">
</c>
      <c r="AG88" s="8">
</c>
      <c r="AH88" s="8">
</c>
      <c r="AI88" s="8">
</c>
      <c r="AJ88" s="8">
</c>
      <c r="AK88" s="8">
</c>
    </row>
    <row r="89" ht="76.5" customHeight="1">
      <c r="A89" s="9" t="s">
        <v>23</v>
      </c>
      <c r="B89" s="9" t="s">
        <v>32</v>
      </c>
      <c r="C89" s="12" t="s">
        <v>327</v>
      </c>
      <c r="D89" s="13" t="s">
        <v>328</v>
      </c>
      <c r="E89" s="9" t="s">
        <v>121</v>
      </c>
      <c r="F89" s="8" t="s">
        <v>329</v>
      </c>
      <c r="G89" s="14" cm="1" t="str">
        <f t="array" ref="G89">IF(F89="","",SUBSTITUTE(SUBSTITUTE(SUBSTITUTE(SUBSTITUTE(F89,"&lt;li&gt;",CHAR(10)),"&lt;/li&gt;",""),"&lt;br&gt;",CHAR(10)),"&lt;strong&gt;",""))</f>
        <v>&lt;p&gt;Présentation Expansion/Straton, bon contact, prospect a investi 15M€ dans CICLAD, cible 15M€ dans STRATON. Refus définitif sur STRATON (taille trop petite, mauvais souvenir fonds PME). Expansion jugé trop niche. Suivi à prévoir, prochaine action : prendre des nouvelles avant 19/03.&lt;/p&gt;</v>
      </c>
      <c r="H89" s="14" cm="1" t="str">
        <f t="array" ref="H89">IF(G89="","",SUBSTITUTE(SUBSTITUTE(SUBSTITUTE(SUBSTITUTE(SUBSTITUTE(G89,"&lt;p&gt;",""),"&lt;/p&gt;",""),"&lt;ul&gt;",""),"&lt;/ul&gt;",""),"&lt;/strong&gt;",""))</f>
        <v>Présentation Expansion/Straton, bon contact, prospect a investi 15M€ dans CICLAD, cible 15M€ dans STRATON. Refus définitif sur STRATON (taille trop petite, mauvais souvenir fonds PME). Expansion jugé trop niche. Suivi à prévoir, prochaine action : prendre des nouvelles avant 19/03.</v>
      </c>
      <c r="I89" s="15" cm="1" t="str">
        <f t="array" ref="I89">IF(C89="","",IF(OR(H89="",H89=0,H89=FALSE),"-",H89))</f>
        <v>Présentation Expansion/Straton, bon contact, prospect a investi 15M€ dans CICLAD, cible 15M€ dans STRATON. Refus définitif sur STRATON (taille trop petite, mauvais souvenir fonds PME). Expansion jugé trop niche. Suivi à prévoir, prochaine action : prendre des nouvelles avant 19/03.</v>
      </c>
      <c r="J89" s="8" t="s">
        <v>330</v>
      </c>
      <c r="K89" s="8" t="s">
        <v>88</v>
      </c>
      <c r="L89" s="9" cm="1" t="str">
        <f t="array" ref="L89">IF(C89="","",IF(K89="Mort / Plus rien à faire","KO","OK"))</f>
        <v>OK</v>
      </c>
      <c r="M89" s="16">
        <v>46086.50524305556</v>
      </c>
      <c r="N89" s="16" cm="1" t="n">
        <f t="array" ref="N89">IF(OR(C89="",M89="",M89=0),"",M89)</f>
        <v>46086.50524305556</v>
      </c>
      <c r="O89" s="16">
</c>
      <c r="P89" s="16" cm="1" t="str">
        <f t="array" ref="P89">IF(C89="","",IF(OR(O89="",O89=0),"-",O89))</f>
        <v>-</v>
      </c>
      <c r="Q89" s="17">
        <v>0</v>
      </c>
      <c r="R89" s="17" cm="1" t="str">
        <f t="array" ref="R89">IF(C89="","",ROUND(Q89/1000000,3)&amp;" M€")</f>
        <v>0 M€</v>
      </c>
      <c r="S89" s="13" t="s">
        <v>164</v>
      </c>
      <c r="T89" s="9" cm="1" t="str">
        <f t="array" ref="T89">IF(C89="","",SUBSTITUTE(S89,"","")&amp;"%")</f>
        <v>10%</v>
      </c>
      <c r="U89" s="15" cm="1" t="str">
        <f t="array" ref="U89">IF(($N89="")*($P89=""),"",IF(($N89&lt;&gt;"")*($N89&gt;TODAY()-9)*($N89&lt;TODAY()+1)*($P89&lt;&gt;"")*($P89&gt;=TODAY())*($P89&lt;=TODAY()+13),"Semaine passée &amp; à venir",IF(($N89&lt;&gt;"")*($N89&gt;TODAY()-9)*($N89&lt;TODAY()+1),"Semaine passée",IF(($P89&lt;&gt;"")*($P89&gt;=TODAY())*($P89&lt;=TODAY()+13),"À venir","Autre"))))</f>
        <v>Autre</v>
      </c>
      <c r="V89" s="8" cm="1" t="n">
        <f t="array" ref="V89">IF(C89&lt;&gt;"",1,0)</f>
        <v>1</v>
      </c>
      <c r="W89" s="8">
</c>
      <c r="X89" s="8">
</c>
      <c r="Y89" s="8">
</c>
      <c r="Z89" s="8">
</c>
      <c r="AA89" s="8">
</c>
      <c r="AB89" s="8">
</c>
      <c r="AC89" s="8">
</c>
      <c r="AD89" s="8">
</c>
      <c r="AE89" s="8">
</c>
      <c r="AF89" s="8">
</c>
      <c r="AG89" s="8">
</c>
      <c r="AH89" s="8">
</c>
      <c r="AI89" s="8">
</c>
      <c r="AJ89" s="8">
</c>
      <c r="AK89" s="8">
</c>
    </row>
    <row r="90" ht="76.5" customHeight="1">
      <c r="A90" s="9" t="s">
        <v>23</v>
      </c>
      <c r="B90" s="9" t="s">
        <v>77</v>
      </c>
      <c r="C90" s="12" t="s">
        <v>266</v>
      </c>
      <c r="D90" s="13" t="s">
        <v>331</v>
      </c>
      <c r="E90" s="9" t="s">
        <v>27</v>
      </c>
      <c r="F90" s="8" t="s">
        <v>332</v>
      </c>
      <c r="G90" s="14" cm="1" t="str">
        <f t="array" ref="G90">IF(F90="","",SUBSTITUTE(SUBSTITUTE(SUBSTITUTE(SUBSTITUTE(F90,"&lt;li&gt;",CHAR(10)),"&lt;/li&gt;",""),"&lt;br&gt;",CHAR(10)),"&lt;strong&gt;",""))</f>
        <v>&lt;p&gt;RDV physique avec Thierry Campoy-Heneaux, focus FO/MFO, pas d'intérêt VC, revoir en 2027. Activités : gestion patrimoniale, Champagne, Immo, MedTech, Pharmacie. Feedback prospect : préfère solutions sur-mesure, pas de co-invest VC, AUDACIA non, Straton ok. Relance prévue l'an prochain.&lt;/p&gt;</v>
      </c>
      <c r="H90" s="14" cm="1" t="str">
        <f t="array" ref="H90">IF(G90="","",SUBSTITUTE(SUBSTITUTE(SUBSTITUTE(SUBSTITUTE(SUBSTITUTE(G90,"&lt;p&gt;",""),"&lt;/p&gt;",""),"&lt;ul&gt;",""),"&lt;/ul&gt;",""),"&lt;/strong&gt;",""))</f>
        <v>RDV physique avec Thierry Campoy-Heneaux, focus FO/MFO, pas d'intérêt VC, revoir en 2027. Activités : gestion patrimoniale, Champagne, Immo, MedTech, Pharmacie. Feedback prospect : préfère solutions sur-mesure, pas de co-invest VC, AUDACIA non, Straton ok. Relance prévue l'an prochain.</v>
      </c>
      <c r="I90" s="15" cm="1" t="str">
        <f t="array" ref="I90">IF(C90="","",IF(OR(H90="",H90=0,H90=FALSE),"-",H90))</f>
        <v>RDV physique avec Thierry Campoy-Heneaux, focus FO/MFO, pas d'intérêt VC, revoir en 2027. Activités : gestion patrimoniale, Champagne, Immo, MedTech, Pharmacie. Feedback prospect : préfère solutions sur-mesure, pas de co-invest VC, AUDACIA non, Straton ok. Relance prévue l'an prochain.</v>
      </c>
      <c r="J90" s="8" t="s">
        <v>333</v>
      </c>
      <c r="K90" s="8" t="s">
        <v>45</v>
      </c>
      <c r="L90" s="9" cm="1" t="str">
        <f t="array" ref="L90">IF(C90="","",IF(K90="Mort / Plus rien à faire","KO","OK"))</f>
        <v>OK</v>
      </c>
      <c r="M90" s="16">
        <v>46114.70445601852</v>
      </c>
      <c r="N90" s="16" cm="1" t="n">
        <f t="array" ref="N90">IF(OR(C90="",M90="",M90=0),"",M90)</f>
        <v>46114.70445601852</v>
      </c>
      <c r="O90" s="16">
        <v>46391.708333333336</v>
      </c>
      <c r="P90" s="16" cm="1" t="n">
        <f t="array" ref="P90">IF(C90="","",IF(OR(O90="",O90=0),"-",O90))</f>
        <v>46391.708333333336</v>
      </c>
      <c r="Q90" s="17">
        <v>0</v>
      </c>
      <c r="R90" s="17" cm="1" t="str">
        <f t="array" ref="R90">IF(C90="","",ROUND(Q90/1000000,3)&amp;" M€")</f>
        <v>0 M€</v>
      </c>
      <c r="S90" s="13" t="s">
        <v>164</v>
      </c>
      <c r="T90" s="9" cm="1" t="str">
        <f t="array" ref="T90">IF(C90="","",SUBSTITUTE(S90,"","")&amp;"%")</f>
        <v>10%</v>
      </c>
      <c r="U90" s="15" cm="1" t="str">
        <f t="array" ref="U90">IF(($N90="")*($P90=""),"",IF(($N90&lt;&gt;"")*($N90&gt;TODAY()-9)*($N90&lt;TODAY()+1)*($P90&lt;&gt;"")*($P90&gt;=TODAY())*($P90&lt;=TODAY()+13),"Semaine passée &amp; à venir",IF(($N90&lt;&gt;"")*($N90&gt;TODAY()-9)*($N90&lt;TODAY()+1),"Semaine passée",IF(($P90&lt;&gt;"")*($P90&gt;=TODAY())*($P90&lt;=TODAY()+13),"À venir","Autre"))))</f>
        <v>Semaine passée</v>
      </c>
      <c r="V90" s="8" cm="1" t="n">
        <f t="array" ref="V90">IF(C90&lt;&gt;"",1,0)</f>
        <v>1</v>
      </c>
      <c r="W90" s="8">
</c>
      <c r="X90" s="8">
</c>
      <c r="Y90" s="8">
</c>
      <c r="Z90" s="8">
</c>
      <c r="AA90" s="8">
</c>
      <c r="AB90" s="8">
</c>
      <c r="AC90" s="8">
</c>
      <c r="AD90" s="8">
</c>
      <c r="AE90" s="8">
</c>
      <c r="AF90" s="8">
</c>
      <c r="AG90" s="8">
</c>
      <c r="AH90" s="8">
</c>
      <c r="AI90" s="8">
</c>
      <c r="AJ90" s="8">
</c>
      <c r="AK90" s="8">
</c>
    </row>
    <row r="91" ht="76.5" customHeight="1">
      <c r="A91" s="9" t="s">
        <v>23</v>
      </c>
      <c r="B91" s="9" t="s">
        <v>36</v>
      </c>
      <c r="C91" s="12" t="s">
        <v>334</v>
      </c>
      <c r="D91" s="13" t="s">
        <v>334</v>
      </c>
      <c r="E91" s="9" t="s">
        <v>27</v>
      </c>
      <c r="F91" s="8" t="s">
        <v>335</v>
      </c>
      <c r="G91" s="14" cm="1" t="str">
        <f t="array" ref="G91">IF(F91="","",SUBSTITUTE(SUBSTITUTE(SUBSTITUTE(SUBSTITUTE(F91,"&lt;li&gt;",CHAR(10)),"&lt;/li&gt;",""),"&lt;br&gt;",CHAR(10)),"&lt;strong&gt;",""))</f>
        <v>&lt;p&gt;Piste créée pour équipe Ventes, lead Thomas Schmitz. RDV physique 150 0 Ber &amp;lt;&amp;gt; straton et Procession, pas d'intérêt prospect sur le VC. Dernière activité 06/03/2026. Prochaine étape non définie, pas d'action prévue à ce stade. Aucun retour prospect positif sur fonds présentés.&lt;/p&gt;</v>
      </c>
      <c r="H91" s="14" cm="1" t="str">
        <f t="array" ref="H91">IF(G91="","",SUBSTITUTE(SUBSTITUTE(SUBSTITUTE(SUBSTITUTE(SUBSTITUTE(G91,"&lt;p&gt;",""),"&lt;/p&gt;",""),"&lt;ul&gt;",""),"&lt;/ul&gt;",""),"&lt;/strong&gt;",""))</f>
        <v>Piste créée pour équipe Ventes, lead Thomas Schmitz. RDV physique 150 0 Ber &amp;lt;&amp;gt; straton et Procession, pas d'intérêt prospect sur le VC. Dernière activité 06/03/2026. Prochaine étape non définie, pas d'action prévue à ce stade. Aucun retour prospect positif sur fonds présentés.</v>
      </c>
      <c r="I91" s="15" cm="1" t="str">
        <f t="array" ref="I91">IF(C91="","",IF(OR(H91="",H91=0,H91=FALSE),"-",H91))</f>
        <v>Piste créée pour équipe Ventes, lead Thomas Schmitz. RDV physique 150 0 Ber &amp;lt;&amp;gt; straton et Procession, pas d'intérêt prospect sur le VC. Dernière activité 06/03/2026. Prochaine étape non définie, pas d'action prévue à ce stade. Aucun retour prospect positif sur fonds présentés.</v>
      </c>
      <c r="J91" s="8" t="s">
        <v>336</v>
      </c>
      <c r="K91" s="8" t="s">
        <v>40</v>
      </c>
      <c r="L91" s="9" cm="1" t="str">
        <f t="array" ref="L91">IF(C91="","",IF(K91="Mort / Plus rien à faire","KO","OK"))</f>
        <v>OK</v>
      </c>
      <c r="M91" s="16">
        <v>46087.477060185185</v>
      </c>
      <c r="N91" s="16" cm="1" t="n">
        <f t="array" ref="N91">IF(OR(C91="",M91="",M91=0),"",M91)</f>
        <v>46087.477060185185</v>
      </c>
      <c r="O91" s="16">
</c>
      <c r="P91" s="16" cm="1" t="str">
        <f t="array" ref="P91">IF(C91="","",IF(OR(O91="",O91=0),"-",O91))</f>
        <v>-</v>
      </c>
      <c r="Q91" s="17">
        <v>1000000</v>
      </c>
      <c r="R91" s="17" cm="1" t="str">
        <f t="array" ref="R91">IF(C91="","",ROUND(Q91/1000000,3)&amp;" M€")</f>
        <v>1 M€</v>
      </c>
      <c r="S91" s="13" t="s">
        <v>164</v>
      </c>
      <c r="T91" s="9" cm="1" t="str">
        <f t="array" ref="T91">IF(C91="","",SUBSTITUTE(S91,"","")&amp;"%")</f>
        <v>10%</v>
      </c>
      <c r="U91" s="15" cm="1" t="str">
        <f t="array" ref="U91">IF(($N91="")*($P91=""),"",IF(($N91&lt;&gt;"")*($N91&gt;TODAY()-9)*($N91&lt;TODAY()+1)*($P91&lt;&gt;"")*($P91&gt;=TODAY())*($P91&lt;=TODAY()+13),"Semaine passée &amp; à venir",IF(($N91&lt;&gt;"")*($N91&gt;TODAY()-9)*($N91&lt;TODAY()+1),"Semaine passée",IF(($P91&lt;&gt;"")*($P91&gt;=TODAY())*($P91&lt;=TODAY()+13),"À venir","Autre"))))</f>
        <v>Autre</v>
      </c>
      <c r="V91" s="8" cm="1" t="n">
        <f t="array" ref="V91">IF(C91&lt;&gt;"",1,0)</f>
        <v>1</v>
      </c>
      <c r="W91" s="8">
</c>
      <c r="X91" s="8">
</c>
      <c r="Y91" s="8">
</c>
      <c r="Z91" s="8">
</c>
      <c r="AA91" s="8">
</c>
      <c r="AB91" s="8">
</c>
      <c r="AC91" s="8">
</c>
      <c r="AD91" s="8">
</c>
      <c r="AE91" s="8">
</c>
      <c r="AF91" s="8">
</c>
      <c r="AG91" s="8">
</c>
      <c r="AH91" s="8">
</c>
      <c r="AI91" s="8">
</c>
      <c r="AJ91" s="8">
</c>
      <c r="AK91" s="8">
</c>
    </row>
    <row r="92" ht="76.5" customHeight="1">
      <c r="A92" s="9" t="s">
        <v>23</v>
      </c>
      <c r="B92" s="9" t="s">
        <v>36</v>
      </c>
      <c r="C92" s="12" t="s">
        <v>337</v>
      </c>
      <c r="D92" s="13" t="s">
        <v>337</v>
      </c>
      <c r="E92" s="9" t="s">
        <v>43</v>
      </c>
      <c r="F92" s="8" t="s">
        <v>338</v>
      </c>
      <c r="G92" s="14" cm="1" t="str">
        <f t="array" ref="G92">IF(F92="","",SUBSTITUTE(SUBSTITUTE(SUBSTITUTE(SUBSTITUTE(F92,"&lt;li&gt;",CHAR(10)),"&lt;/li&gt;",""),"&lt;br&gt;",CHAR(10)),"&lt;strong&gt;",""))</f>
        <v>&lt;p&gt;Aucune activité significative ni échange enregistré sur l'opportunité. Seule information : une nouvelle piste a été créée pour l'équipe Ventes. Aucun suivi, aucune action menée, aucune interaction ou retour prospect, aucune prochaine étape identifiée à ce jour.&lt;/p&gt;</v>
      </c>
      <c r="H92" s="14" cm="1" t="str">
        <f t="array" ref="H92">IF(G92="","",SUBSTITUTE(SUBSTITUTE(SUBSTITUTE(SUBSTITUTE(SUBSTITUTE(G92,"&lt;p&gt;",""),"&lt;/p&gt;",""),"&lt;ul&gt;",""),"&lt;/ul&gt;",""),"&lt;/strong&gt;",""))</f>
        <v>Aucune activité significative ni échange enregistré sur l'opportunité. Seule information : une nouvelle piste a été créée pour l'équipe Ventes. Aucun suivi, aucune action menée, aucune interaction ou retour prospect, aucune prochaine étape identifiée à ce jour.</v>
      </c>
      <c r="I92" s="15" cm="1" t="str">
        <f t="array" ref="I92">IF(C92="","",IF(OR(H92="",H92=0,H92=FALSE),"-",H92))</f>
        <v>Aucune activité significative ni échange enregistré sur l'opportunité. Seule information : une nouvelle piste a été créée pour l'équipe Ventes. Aucun suivi, aucune action menée, aucune interaction ou retour prospect, aucune prochaine étape identifiée à ce jour.</v>
      </c>
      <c r="J92" s="8">
</c>
      <c r="K92" s="8" t="s">
        <v>40</v>
      </c>
      <c r="L92" s="9" cm="1" t="str">
        <f t="array" ref="L92">IF(C92="","",IF(K92="Mort / Plus rien à faire","KO","OK"))</f>
        <v>OK</v>
      </c>
      <c r="M92" s="16">
        <v>46111.68546296296</v>
      </c>
      <c r="N92" s="16" cm="1" t="n">
        <f t="array" ref="N92">IF(OR(C92="",M92="",M92=0),"",M92)</f>
        <v>46111.68546296296</v>
      </c>
      <c r="O92" s="16">
</c>
      <c r="P92" s="16" cm="1" t="str">
        <f t="array" ref="P92">IF(C92="","",IF(OR(O92="",O92=0),"-",O92))</f>
        <v>-</v>
      </c>
      <c r="Q92" s="17">
        <v>100000</v>
      </c>
      <c r="R92" s="17" cm="1" t="str">
        <f t="array" ref="R92">IF(C92="","",ROUND(Q92/1000000,3)&amp;" M€")</f>
        <v>0.1 M€</v>
      </c>
      <c r="S92" s="13" t="s">
        <v>164</v>
      </c>
      <c r="T92" s="9" cm="1" t="str">
        <f t="array" ref="T92">IF(C92="","",SUBSTITUTE(S92,"","")&amp;"%")</f>
        <v>10%</v>
      </c>
      <c r="U92" s="15" cm="1" t="str">
        <f t="array" ref="U92">IF(($N92="")*($P92=""),"",IF(($N92&lt;&gt;"")*($N92&gt;TODAY()-9)*($N92&lt;TODAY()+1)*($P92&lt;&gt;"")*($P92&gt;=TODAY())*($P92&lt;=TODAY()+13),"Semaine passée &amp; à venir",IF(($N92&lt;&gt;"")*($N92&gt;TODAY()-9)*($N92&lt;TODAY()+1),"Semaine passée",IF(($P92&lt;&gt;"")*($P92&gt;=TODAY())*($P92&lt;=TODAY()+13),"À venir","Autre"))))</f>
        <v>Semaine passée</v>
      </c>
      <c r="V92" s="8" cm="1" t="n">
        <f t="array" ref="V92">IF(C92&lt;&gt;"",1,0)</f>
        <v>1</v>
      </c>
      <c r="W92" s="8">
</c>
      <c r="X92" s="8">
</c>
      <c r="Y92" s="8">
</c>
      <c r="Z92" s="8">
</c>
      <c r="AA92" s="8">
</c>
      <c r="AB92" s="8">
</c>
      <c r="AC92" s="8">
</c>
      <c r="AD92" s="8">
</c>
      <c r="AE92" s="8">
</c>
      <c r="AF92" s="8">
</c>
      <c r="AG92" s="8">
</c>
      <c r="AH92" s="8">
</c>
      <c r="AI92" s="8">
</c>
      <c r="AJ92" s="8">
</c>
      <c r="AK92" s="8">
</c>
    </row>
    <row r="93" ht="76.5" customHeight="1">
      <c r="A93" s="9" t="s">
        <v>23</v>
      </c>
      <c r="B93" s="9" t="s">
        <v>32</v>
      </c>
      <c r="C93" s="12" t="s">
        <v>339</v>
      </c>
      <c r="D93" s="13" t="s">
        <v>340</v>
      </c>
      <c r="E93" s="9" t="s">
        <v>27</v>
      </c>
      <c r="F93" s="8" t="s">
        <v>341</v>
      </c>
      <c r="G93" s="14" cm="1" t="str">
        <f t="array" ref="G93">IF(F93="","",SUBSTITUTE(SUBSTITUTE(SUBSTITUTE(SUBSTITUTE(F93,"&lt;li&gt;",CHAR(10)),"&lt;/li&gt;",""),"&lt;br&gt;",CHAR(10)),"&lt;strong&gt;",""))</f>
        <v>&lt;p&gt;RDV physique 2/2 : Boris gère tout l'AUM hors CT/stratégique, 40Mds€. Défense SIENNA IM/100M€ (30M LFMWeinberg), 50M€ en signature. UNOFI : 15% en rachat par Malakoff, intégration probable 2026. Prochaines étapes : déjeuner fin juin, attente RDV N de Chatellus/OdP, Straton à revoir rentrée 2026.&lt;/p&gt;</v>
      </c>
      <c r="H93" s="14" cm="1" t="str">
        <f t="array" ref="H93">IF(G93="","",SUBSTITUTE(SUBSTITUTE(SUBSTITUTE(SUBSTITUTE(SUBSTITUTE(G93,"&lt;p&gt;",""),"&lt;/p&gt;",""),"&lt;ul&gt;",""),"&lt;/ul&gt;",""),"&lt;/strong&gt;",""))</f>
        <v>RDV physique 2/2 : Boris gère tout l'AUM hors CT/stratégique, 40Mds€. Défense SIENNA IM/100M€ (30M LFMWeinberg), 50M€ en signature. UNOFI : 15% en rachat par Malakoff, intégration probable 2026. Prochaines étapes : déjeuner fin juin, attente RDV N de Chatellus/OdP, Straton à revoir rentrée 2026.</v>
      </c>
      <c r="I93" s="15" cm="1" t="str">
        <f t="array" ref="I93">IF(C93="","",IF(OR(H93="",H93=0,H93=FALSE),"-",H93))</f>
        <v>RDV physique 2/2 : Boris gère tout l'AUM hors CT/stratégique, 40Mds€. Défense SIENNA IM/100M€ (30M LFMWeinberg), 50M€ en signature. UNOFI : 15% en rachat par Malakoff, intégration probable 2026. Prochaines étapes : déjeuner fin juin, attente RDV N de Chatellus/OdP, Straton à revoir rentrée 2026.</v>
      </c>
      <c r="J93" s="8">
</c>
      <c r="K93" s="8" t="s">
        <v>40</v>
      </c>
      <c r="L93" s="9" cm="1" t="str">
        <f t="array" ref="L93">IF(C93="","",IF(K93="Mort / Plus rien à faire","KO","OK"))</f>
        <v>OK</v>
      </c>
      <c r="M93" s="16">
        <v>46055.764328703706</v>
      </c>
      <c r="N93" s="16" cm="1" t="n">
        <f t="array" ref="N93">IF(OR(C93="",M93="",M93=0),"",M93)</f>
        <v>46055.764328703706</v>
      </c>
      <c r="O93" s="16">
</c>
      <c r="P93" s="16" cm="1" t="str">
        <f t="array" ref="P93">IF(C93="","",IF(OR(O93="",O93=0),"-",O93))</f>
        <v>-</v>
      </c>
      <c r="Q93" s="17">
        <v>0</v>
      </c>
      <c r="R93" s="17" cm="1" t="str">
        <f t="array" ref="R93">IF(C93="","",ROUND(Q93/1000000,3)&amp;" M€")</f>
        <v>0 M€</v>
      </c>
      <c r="S93" s="13" t="s">
        <v>164</v>
      </c>
      <c r="T93" s="9" cm="1" t="str">
        <f t="array" ref="T93">IF(C93="","",SUBSTITUTE(S93,"","")&amp;"%")</f>
        <v>10%</v>
      </c>
      <c r="U93" s="15" cm="1" t="str">
        <f t="array" ref="U93">IF(($N93="")*($P93=""),"",IF(($N93&lt;&gt;"")*($N93&gt;TODAY()-9)*($N93&lt;TODAY()+1)*($P93&lt;&gt;"")*($P93&gt;=TODAY())*($P93&lt;=TODAY()+13),"Semaine passée &amp; à venir",IF(($N93&lt;&gt;"")*($N93&gt;TODAY()-9)*($N93&lt;TODAY()+1),"Semaine passée",IF(($P93&lt;&gt;"")*($P93&gt;=TODAY())*($P93&lt;=TODAY()+13),"À venir","Autre"))))</f>
        <v>Autre</v>
      </c>
      <c r="V93" s="8" cm="1" t="n">
        <f t="array" ref="V93">IF(C93&lt;&gt;"",1,0)</f>
        <v>1</v>
      </c>
      <c r="W93" s="8">
</c>
      <c r="X93" s="8">
</c>
      <c r="Y93" s="8">
</c>
      <c r="Z93" s="8">
</c>
      <c r="AA93" s="8">
</c>
      <c r="AB93" s="8">
</c>
      <c r="AC93" s="8">
</c>
      <c r="AD93" s="8">
</c>
      <c r="AE93" s="8">
</c>
      <c r="AF93" s="8">
</c>
      <c r="AG93" s="8">
</c>
      <c r="AH93" s="8">
</c>
      <c r="AI93" s="8">
</c>
      <c r="AJ93" s="8">
</c>
      <c r="AK93" s="8">
</c>
    </row>
    <row r="94" ht="76.5" customHeight="1">
      <c r="A94" s="9" t="s">
        <v>23</v>
      </c>
      <c r="B94" s="9" t="s">
        <v>51</v>
      </c>
      <c r="C94" s="12" t="s">
        <v>342</v>
      </c>
      <c r="D94" s="13" t="s">
        <v>343</v>
      </c>
      <c r="E94" s="9" t="s">
        <v>54</v>
      </c>
      <c r="F94" s="8" t="s">
        <v>344</v>
      </c>
      <c r="G94" s="14" cm="1" t="str">
        <f t="array" ref="G94">IF(F94="","",SUBSTITUTE(SUBSTITUTE(SUBSTITUTE(SUBSTITUTE(F94,"&lt;li&gt;",CHAR(10)),"&lt;/li&gt;",""),"&lt;br&gt;",CHAR(10)),"&lt;strong&gt;",""))</f>
        <v>&lt;p&gt;Appel terminé, prospect a des demandes sur 150-0 B ter, rdv téléphonique prévu sur offre actuelle, attend retour si intérêt clients. Enrichissement lead impossible (email non valide). Nouvelle piste créée pour équipe Ventes. Pas d'autres actions ou retours prospect notés.&lt;/p&gt;</v>
      </c>
      <c r="H94" s="14" cm="1" t="str">
        <f t="array" ref="H94">IF(G94="","",SUBSTITUTE(SUBSTITUTE(SUBSTITUTE(SUBSTITUTE(SUBSTITUTE(G94,"&lt;p&gt;",""),"&lt;/p&gt;",""),"&lt;ul&gt;",""),"&lt;/ul&gt;",""),"&lt;/strong&gt;",""))</f>
        <v>Appel terminé, prospect a des demandes sur 150-0 B ter, rdv téléphonique prévu sur offre actuelle, attend retour si intérêt clients. Enrichissement lead impossible (email non valide). Nouvelle piste créée pour équipe Ventes. Pas d'autres actions ou retours prospect notés.</v>
      </c>
      <c r="I94" s="15" cm="1" t="str">
        <f t="array" ref="I94">IF(C94="","",IF(OR(H94="",H94=0,H94=FALSE),"-",H94))</f>
        <v>Appel terminé, prospect a des demandes sur 150-0 B ter, rdv téléphonique prévu sur offre actuelle, attend retour si intérêt clients. Enrichissement lead impossible (email non valide). Nouvelle piste créée pour équipe Ventes. Pas d'autres actions ou retours prospect notés.</v>
      </c>
      <c r="J94" s="8">
</c>
      <c r="K94" s="8" t="s">
        <v>45</v>
      </c>
      <c r="L94" s="9" cm="1" t="str">
        <f t="array" ref="L94">IF(C94="","",IF(K94="Mort / Plus rien à faire","KO","OK"))</f>
        <v>OK</v>
      </c>
      <c r="M94" s="16">
        <v>46087.71436342593</v>
      </c>
      <c r="N94" s="16" cm="1" t="n">
        <f t="array" ref="N94">IF(OR(C94="",M94="",M94=0),"",M94)</f>
        <v>46087.71436342593</v>
      </c>
      <c r="O94" s="16">
</c>
      <c r="P94" s="16" cm="1" t="str">
        <f t="array" ref="P94">IF(C94="","",IF(OR(O94="",O94=0),"-",O94))</f>
        <v>-</v>
      </c>
      <c r="Q94" s="17">
        <v>0</v>
      </c>
      <c r="R94" s="17" cm="1" t="str">
        <f t="array" ref="R94">IF(C94="","",ROUND(Q94/1000000,3)&amp;" M€")</f>
        <v>0 M€</v>
      </c>
      <c r="S94" s="13" t="s">
        <v>164</v>
      </c>
      <c r="T94" s="9" cm="1" t="str">
        <f t="array" ref="T94">IF(C94="","",SUBSTITUTE(S94,"","")&amp;"%")</f>
        <v>10%</v>
      </c>
      <c r="U94" s="15" cm="1" t="str">
        <f t="array" ref="U94">IF(($N94="")*($P94=""),"",IF(($N94&lt;&gt;"")*($N94&gt;TODAY()-9)*($N94&lt;TODAY()+1)*($P94&lt;&gt;"")*($P94&gt;=TODAY())*($P94&lt;=TODAY()+13),"Semaine passée &amp; à venir",IF(($N94&lt;&gt;"")*($N94&gt;TODAY()-9)*($N94&lt;TODAY()+1),"Semaine passée",IF(($P94&lt;&gt;"")*($P94&gt;=TODAY())*($P94&lt;=TODAY()+13),"À venir","Autre"))))</f>
        <v>Autre</v>
      </c>
      <c r="V94" s="8" cm="1" t="n">
        <f t="array" ref="V94">IF(C94&lt;&gt;"",1,0)</f>
        <v>1</v>
      </c>
      <c r="W94" s="8">
</c>
      <c r="X94" s="8">
</c>
      <c r="Y94" s="8">
</c>
      <c r="Z94" s="8">
</c>
      <c r="AA94" s="8">
</c>
      <c r="AB94" s="8">
</c>
      <c r="AC94" s="8">
</c>
      <c r="AD94" s="8">
</c>
      <c r="AE94" s="8">
</c>
      <c r="AF94" s="8">
</c>
      <c r="AG94" s="8">
</c>
      <c r="AH94" s="8">
</c>
      <c r="AI94" s="8">
</c>
      <c r="AJ94" s="8">
</c>
      <c r="AK94" s="8">
</c>
    </row>
    <row r="95" ht="76.5" customHeight="1">
      <c r="A95" s="9" t="s">
        <v>23</v>
      </c>
      <c r="B95" s="9" t="s">
        <v>107</v>
      </c>
      <c r="C95" s="12" t="s">
        <v>345</v>
      </c>
      <c r="D95" s="13" t="s">
        <v>346</v>
      </c>
      <c r="E95" s="9" t="s">
        <v>27</v>
      </c>
      <c r="F95" s="8" t="s">
        <v>347</v>
      </c>
      <c r="G95" s="14" cm="1" t="str">
        <f t="array" ref="G95">IF(F95="","",SUBSTITUTE(SUBSTITUTE(SUBSTITUTE(SUBSTITUTE(F95,"&lt;li&gt;",CHAR(10)),"&lt;/li&gt;",""),"&lt;br&gt;",CHAR(10)),"&lt;strong&gt;",""))</f>
        <v>&lt;p&gt;05/01/25 relance via Audrey Bourdoncle (BPCE SA) sur filière défense + mandataire CAisse relancée. RDV physique STRATON terminé, mail transféré à Sylvie Loire Fabre. Action test terminée. Piste créée pour équipe Ventes. Prochaine étape non précisée, attente retour mandataire/filiale défense.&lt;/p&gt;</v>
      </c>
      <c r="H95" s="14" cm="1" t="str">
        <f t="array" ref="H95">IF(G95="","",SUBSTITUTE(SUBSTITUTE(SUBSTITUTE(SUBSTITUTE(SUBSTITUTE(G95,"&lt;p&gt;",""),"&lt;/p&gt;",""),"&lt;ul&gt;",""),"&lt;/ul&gt;",""),"&lt;/strong&gt;",""))</f>
        <v>05/01/25 relance via Audrey Bourdoncle (BPCE SA) sur filière défense + mandataire CAisse relancée. RDV physique STRATON terminé, mail transféré à Sylvie Loire Fabre. Action test terminée. Piste créée pour équipe Ventes. Prochaine étape non précisée, attente retour mandataire/filiale défense.</v>
      </c>
      <c r="I95" s="15" cm="1" t="str">
        <f t="array" ref="I95">IF(C95="","",IF(OR(H95="",H95=0,H95=FALSE),"-",H95))</f>
        <v>05/01/25 relance via Audrey Bourdoncle (BPCE SA) sur filière défense + mandataire CAisse relancée. RDV physique STRATON terminé, mail transféré à Sylvie Loire Fabre. Action test terminée. Piste créée pour équipe Ventes. Prochaine étape non précisée, attente retour mandataire/filiale défense.</v>
      </c>
      <c r="J95" s="8">
</c>
      <c r="K95" s="8" t="s">
        <v>40</v>
      </c>
      <c r="L95" s="9" cm="1" t="str">
        <f t="array" ref="L95">IF(C95="","",IF(K95="Mort / Plus rien à faire","KO","OK"))</f>
        <v>OK</v>
      </c>
      <c r="M95" s="16">
        <v>46028.55883101852</v>
      </c>
      <c r="N95" s="16" cm="1" t="n">
        <f t="array" ref="N95">IF(OR(C95="",M95="",M95=0),"",M95)</f>
        <v>46028.55883101852</v>
      </c>
      <c r="O95" s="16">
</c>
      <c r="P95" s="16" cm="1" t="str">
        <f t="array" ref="P95">IF(C95="","",IF(OR(O95="",O95=0),"-",O95))</f>
        <v>-</v>
      </c>
      <c r="Q95" s="17">
        <v>0</v>
      </c>
      <c r="R95" s="17" cm="1" t="str">
        <f t="array" ref="R95">IF(C95="","",ROUND(Q95/1000000,3)&amp;" M€")</f>
        <v>0 M€</v>
      </c>
      <c r="S95" s="13" t="s">
        <v>164</v>
      </c>
      <c r="T95" s="9" cm="1" t="str">
        <f t="array" ref="T95">IF(C95="","",SUBSTITUTE(S95,"","")&amp;"%")</f>
        <v>10%</v>
      </c>
      <c r="U95" s="15" cm="1" t="str">
        <f t="array" ref="U95">IF(($N95="")*($P95=""),"",IF(($N95&lt;&gt;"")*($N95&gt;TODAY()-9)*($N95&lt;TODAY()+1)*($P95&lt;&gt;"")*($P95&gt;=TODAY())*($P95&lt;=TODAY()+13),"Semaine passée &amp; à venir",IF(($N95&lt;&gt;"")*($N95&gt;TODAY()-9)*($N95&lt;TODAY()+1),"Semaine passée",IF(($P95&lt;&gt;"")*($P95&gt;=TODAY())*($P95&lt;=TODAY()+13),"À venir","Autre"))))</f>
        <v>Autre</v>
      </c>
      <c r="V95" s="8" cm="1" t="n">
        <f t="array" ref="V95">IF(C95&lt;&gt;"",1,0)</f>
        <v>1</v>
      </c>
      <c r="W95" s="8">
</c>
      <c r="X95" s="8">
</c>
      <c r="Y95" s="8">
</c>
      <c r="Z95" s="8">
</c>
      <c r="AA95" s="8">
</c>
      <c r="AB95" s="8">
</c>
      <c r="AC95" s="8">
</c>
      <c r="AD95" s="8">
</c>
      <c r="AE95" s="8">
</c>
      <c r="AF95" s="8">
</c>
      <c r="AG95" s="8">
</c>
      <c r="AH95" s="8">
</c>
      <c r="AI95" s="8">
</c>
      <c r="AJ95" s="8">
</c>
      <c r="AK95" s="8">
</c>
    </row>
    <row r="96" ht="76.5" customHeight="1">
      <c r="A96" s="9" t="s">
        <v>23</v>
      </c>
      <c r="B96" s="9" t="s">
        <v>107</v>
      </c>
      <c r="C96" s="12" t="s">
        <v>348</v>
      </c>
      <c r="D96" s="13" t="s">
        <v>349</v>
      </c>
      <c r="E96" s="9" t="s">
        <v>27</v>
      </c>
      <c r="F96" s="8" t="s">
        <v>350</v>
      </c>
      <c r="G96" s="14" cm="1" t="str">
        <f t="array" ref="G96">IF(F96="","",SUBSTITUTE(SUBSTITUTE(SUBSTITUTE(SUBSTITUTE(F96,"&lt;li&gt;",CHAR(10)),"&lt;/li&gt;",""),"&lt;br&gt;",CHAR(10)),"&lt;strong&gt;",""))</f>
        <v>&lt;p&gt;RDV physique ARKEA AM terminé. NBIM : 2% allocation énergie infra, 4Md$ capacité fonds non cotés, focus direct/indirect, diversification. 2 fonds faits (renouvelable min70%). Pas de fonds private credit. Stratégie stable 2 ans, tickets 500M€, fonds 5Md€. Équipe limitée, flexibilité possible, suivi à maintenir.&lt;/p&gt;</v>
      </c>
      <c r="H96" s="14" cm="1" t="str">
        <f t="array" ref="H96">IF(G96="","",SUBSTITUTE(SUBSTITUTE(SUBSTITUTE(SUBSTITUTE(SUBSTITUTE(G96,"&lt;p&gt;",""),"&lt;/p&gt;",""),"&lt;ul&gt;",""),"&lt;/ul&gt;",""),"&lt;/strong&gt;",""))</f>
        <v>RDV physique ARKEA AM terminé. NBIM : 2% allocation énergie infra, 4Md$ capacité fonds non cotés, focus direct/indirect, diversification. 2 fonds faits (renouvelable min70%). Pas de fonds private credit. Stratégie stable 2 ans, tickets 500M€, fonds 5Md€. Équipe limitée, flexibilité possible, suivi à maintenir.</v>
      </c>
      <c r="I96" s="15" cm="1" t="str">
        <f t="array" ref="I96">IF(C96="","",IF(OR(H96="",H96=0,H96=FALSE),"-",H96))</f>
        <v>RDV physique ARKEA AM terminé. NBIM : 2% allocation énergie infra, 4Md$ capacité fonds non cotés, focus direct/indirect, diversification. 2 fonds faits (renouvelable min70%). Pas de fonds private credit. Stratégie stable 2 ans, tickets 500M€, fonds 5Md€. Équipe limitée, flexibilité possible, suivi à maintenir.</v>
      </c>
      <c r="J96" s="8">
</c>
      <c r="K96" s="8" t="s">
        <v>326</v>
      </c>
      <c r="L96" s="9" cm="1" t="str">
        <f t="array" ref="L96">IF(C96="","",IF(K96="Mort / Plus rien à faire","KO","OK"))</f>
        <v>OK</v>
      </c>
      <c r="M96" s="16">
        <v>46063.69364583334</v>
      </c>
      <c r="N96" s="16" cm="1" t="n">
        <f t="array" ref="N96">IF(OR(C96="",M96="",M96=0),"",M96)</f>
        <v>46063.69364583334</v>
      </c>
      <c r="O96" s="16">
</c>
      <c r="P96" s="16" cm="1" t="str">
        <f t="array" ref="P96">IF(C96="","",IF(OR(O96="",O96=0),"-",O96))</f>
        <v>-</v>
      </c>
      <c r="Q96" s="17">
        <v>0</v>
      </c>
      <c r="R96" s="17" cm="1" t="str">
        <f t="array" ref="R96">IF(C96="","",ROUND(Q96/1000000,3)&amp;" M€")</f>
        <v>0 M€</v>
      </c>
      <c r="S96" s="13" t="s">
        <v>164</v>
      </c>
      <c r="T96" s="9" cm="1" t="str">
        <f t="array" ref="T96">IF(C96="","",SUBSTITUTE(S96,"","")&amp;"%")</f>
        <v>10%</v>
      </c>
      <c r="U96" s="15" cm="1" t="str">
        <f t="array" ref="U96">IF(($N96="")*($P96=""),"",IF(($N96&lt;&gt;"")*($N96&gt;TODAY()-9)*($N96&lt;TODAY()+1)*($P96&lt;&gt;"")*($P96&gt;=TODAY())*($P96&lt;=TODAY()+13),"Semaine passée &amp; à venir",IF(($N96&lt;&gt;"")*($N96&gt;TODAY()-9)*($N96&lt;TODAY()+1),"Semaine passée",IF(($P96&lt;&gt;"")*($P96&gt;=TODAY())*($P96&lt;=TODAY()+13),"À venir","Autre"))))</f>
        <v>Autre</v>
      </c>
      <c r="V96" s="8" cm="1" t="n">
        <f t="array" ref="V96">IF(C96&lt;&gt;"",1,0)</f>
        <v>1</v>
      </c>
      <c r="W96" s="8">
</c>
      <c r="X96" s="8">
</c>
      <c r="Y96" s="8">
</c>
      <c r="Z96" s="8">
</c>
      <c r="AA96" s="8">
</c>
      <c r="AB96" s="8">
</c>
      <c r="AC96" s="8">
</c>
      <c r="AD96" s="8">
</c>
      <c r="AE96" s="8">
</c>
      <c r="AF96" s="8">
</c>
      <c r="AG96" s="8">
</c>
      <c r="AH96" s="8">
</c>
      <c r="AI96" s="8">
</c>
      <c r="AJ96" s="8">
</c>
      <c r="AK96" s="8">
</c>
    </row>
    <row r="97" ht="76.5" customHeight="1">
      <c r="A97" s="9" t="s">
        <v>23</v>
      </c>
      <c r="B97" s="9" t="s">
        <v>124</v>
      </c>
      <c r="C97" s="12" t="s">
        <v>351</v>
      </c>
      <c r="D97" s="13" t="s">
        <v>352</v>
      </c>
      <c r="E97" s="9" t="s">
        <v>27</v>
      </c>
      <c r="F97" s="8" t="s">
        <v>353</v>
      </c>
      <c r="G97" s="14" cm="1" t="str">
        <f t="array" ref="G97">IF(F97="","",SUBSTITUTE(SUBSTITUTE(SUBSTITUTE(SUBSTITUTE(F97,"&lt;li&gt;",CHAR(10)),"&lt;/li&gt;",""),"&lt;br&gt;",CHAR(10)),"&lt;strong&gt;",""))</f>
        <v>&lt;p&gt;Déjeuner 5 mars avec T Barrey (fonds de fonds IVESTA). IVESTA gère 3bn, 100 fonds PE, 20% venture. Intérêt pour spécialistes, ticket 1M€ Straton évoqué, coalition familles possible. Processus de référencement en cours, 4 votants. Relance prévue fin mars sur décision Straton/1M€.&lt;/p&gt;</v>
      </c>
      <c r="H97" s="14" cm="1" t="str">
        <f t="array" ref="H97">IF(G97="","",SUBSTITUTE(SUBSTITUTE(SUBSTITUTE(SUBSTITUTE(SUBSTITUTE(G97,"&lt;p&gt;",""),"&lt;/p&gt;",""),"&lt;ul&gt;",""),"&lt;/ul&gt;",""),"&lt;/strong&gt;",""))</f>
        <v>Déjeuner 5 mars avec T Barrey (fonds de fonds IVESTA). IVESTA gère 3bn, 100 fonds PE, 20% venture. Intérêt pour spécialistes, ticket 1M€ Straton évoqué, coalition familles possible. Processus de référencement en cours, 4 votants. Relance prévue fin mars sur décision Straton/1M€.</v>
      </c>
      <c r="I97" s="15" cm="1" t="str">
        <f t="array" ref="I97">IF(C97="","",IF(OR(H97="",H97=0,H97=FALSE),"-",H97))</f>
        <v>Déjeuner 5 mars avec T Barrey (fonds de fonds IVESTA). IVESTA gère 3bn, 100 fonds PE, 20% venture. Intérêt pour spécialistes, ticket 1M€ Straton évoqué, coalition familles possible. Processus de référencement en cours, 4 votants. Relance prévue fin mars sur décision Straton/1M€.</v>
      </c>
      <c r="J97" s="8" t="s">
        <v>354</v>
      </c>
      <c r="K97" s="8" t="s">
        <v>45</v>
      </c>
      <c r="L97" s="9" cm="1" t="str">
        <f t="array" ref="L97">IF(C97="","",IF(K97="Mort / Plus rien à faire","KO","OK"))</f>
        <v>OK</v>
      </c>
      <c r="M97" s="16">
        <v>46090.66501157408</v>
      </c>
      <c r="N97" s="16" cm="1" t="n">
        <f t="array" ref="N97">IF(OR(C97="",M97="",M97=0),"",M97)</f>
        <v>46090.66501157408</v>
      </c>
      <c r="O97" s="16">
</c>
      <c r="P97" s="16" cm="1" t="str">
        <f t="array" ref="P97">IF(C97="","",IF(OR(O97="",O97=0),"-",O97))</f>
        <v>-</v>
      </c>
      <c r="Q97" s="17">
        <v>1000000</v>
      </c>
      <c r="R97" s="17" cm="1" t="str">
        <f t="array" ref="R97">IF(C97="","",ROUND(Q97/1000000,3)&amp;" M€")</f>
        <v>1 M€</v>
      </c>
      <c r="S97" s="13" t="s">
        <v>164</v>
      </c>
      <c r="T97" s="9" cm="1" t="str">
        <f t="array" ref="T97">IF(C97="","",SUBSTITUTE(S97,"","")&amp;"%")</f>
        <v>10%</v>
      </c>
      <c r="U97" s="15" cm="1" t="str">
        <f t="array" ref="U97">IF(($N97="")*($P97=""),"",IF(($N97&lt;&gt;"")*($N97&gt;TODAY()-9)*($N97&lt;TODAY()+1)*($P97&lt;&gt;"")*($P97&gt;=TODAY())*($P97&lt;=TODAY()+13),"Semaine passée &amp; à venir",IF(($N97&lt;&gt;"")*($N97&gt;TODAY()-9)*($N97&lt;TODAY()+1),"Semaine passée",IF(($P97&lt;&gt;"")*($P97&gt;=TODAY())*($P97&lt;=TODAY()+13),"À venir","Autre"))))</f>
        <v>Autre</v>
      </c>
      <c r="V97" s="8" cm="1" t="n">
        <f t="array" ref="V97">IF(C97&lt;&gt;"",1,0)</f>
        <v>1</v>
      </c>
      <c r="W97" s="8">
</c>
      <c r="X97" s="8">
</c>
      <c r="Y97" s="8">
</c>
      <c r="Z97" s="8">
</c>
      <c r="AA97" s="8">
</c>
      <c r="AB97" s="8">
</c>
      <c r="AC97" s="8">
</c>
      <c r="AD97" s="8">
</c>
      <c r="AE97" s="8">
</c>
      <c r="AF97" s="8">
</c>
      <c r="AG97" s="8">
</c>
      <c r="AH97" s="8">
</c>
      <c r="AI97" s="8">
</c>
      <c r="AJ97" s="8">
</c>
      <c r="AK97" s="8">
</c>
    </row>
    <row r="98" ht="76.5" customHeight="1">
      <c r="A98" s="9" t="s">
        <v>23</v>
      </c>
      <c r="B98" s="9" t="s">
        <v>84</v>
      </c>
      <c r="C98" s="12" t="s">
        <v>355</v>
      </c>
      <c r="D98" s="13" t="s">
        <v>356</v>
      </c>
      <c r="E98" s="9" t="s">
        <v>54</v>
      </c>
      <c r="F98" s="8" t="s">
        <v>357</v>
      </c>
      <c r="G98" s="14" cm="1" t="str">
        <f t="array" ref="G98">IF(F98="","",SUBSTITUTE(SUBSTITUTE(SUBSTITUTE(SUBSTITUTE(F98,"&lt;li&gt;",CHAR(10)),"&lt;/li&gt;",""),"&lt;br&gt;",CHAR(10)),"&lt;strong&gt;",""))</f>
        <v>&lt;p&gt;Nouvelle piste créée pour équipe Ventes. Proposition de call rapide 30 min avec client pour discuter remploi sur deux fonds. Tentative d'enrichissement lead échouée (email invalide). Pas d'autres actions ou retours du prospect. Prochaines étapes : organiser le call proposé, attente retour client.&lt;/p&gt;</v>
      </c>
      <c r="H98" s="14" cm="1" t="str">
        <f t="array" ref="H98">IF(G98="","",SUBSTITUTE(SUBSTITUTE(SUBSTITUTE(SUBSTITUTE(SUBSTITUTE(G98,"&lt;p&gt;",""),"&lt;/p&gt;",""),"&lt;ul&gt;",""),"&lt;/ul&gt;",""),"&lt;/strong&gt;",""))</f>
        <v>Nouvelle piste créée pour équipe Ventes. Proposition de call rapide 30 min avec client pour discuter remploi sur deux fonds. Tentative d'enrichissement lead échouée (email invalide). Pas d'autres actions ou retours du prospect. Prochaines étapes : organiser le call proposé, attente retour client.</v>
      </c>
      <c r="I98" s="15" cm="1" t="str">
        <f t="array" ref="I98">IF(C98="","",IF(OR(H98="",H98=0,H98=FALSE),"-",H98))</f>
        <v>Nouvelle piste créée pour équipe Ventes. Proposition de call rapide 30 min avec client pour discuter remploi sur deux fonds. Tentative d'enrichissement lead échouée (email invalide). Pas d'autres actions ou retours du prospect. Prochaines étapes : organiser le call proposé, attente retour client.</v>
      </c>
      <c r="J98" s="8">
</c>
      <c r="K98" s="8" t="s">
        <v>45</v>
      </c>
      <c r="L98" s="9" cm="1" t="str">
        <f t="array" ref="L98">IF(C98="","",IF(K98="Mort / Plus rien à faire","KO","OK"))</f>
        <v>OK</v>
      </c>
      <c r="M98" s="16">
        <v>46050.7166087963</v>
      </c>
      <c r="N98" s="16" cm="1" t="n">
        <f t="array" ref="N98">IF(OR(C98="",M98="",M98=0),"",M98)</f>
        <v>46050.7166087963</v>
      </c>
      <c r="O98" s="16">
</c>
      <c r="P98" s="16" cm="1" t="str">
        <f t="array" ref="P98">IF(C98="","",IF(OR(O98="",O98=0),"-",O98))</f>
        <v>-</v>
      </c>
      <c r="Q98" s="17">
        <v>0</v>
      </c>
      <c r="R98" s="17" cm="1" t="str">
        <f t="array" ref="R98">IF(C98="","",ROUND(Q98/1000000,3)&amp;" M€")</f>
        <v>0 M€</v>
      </c>
      <c r="S98" s="13" t="s">
        <v>164</v>
      </c>
      <c r="T98" s="9" cm="1" t="str">
        <f t="array" ref="T98">IF(C98="","",SUBSTITUTE(S98,"","")&amp;"%")</f>
        <v>10%</v>
      </c>
      <c r="U98" s="15" cm="1" t="str">
        <f t="array" ref="U98">IF(($N98="")*($P98=""),"",IF(($N98&lt;&gt;"")*($N98&gt;TODAY()-9)*($N98&lt;TODAY()+1)*($P98&lt;&gt;"")*($P98&gt;=TODAY())*($P98&lt;=TODAY()+13),"Semaine passée &amp; à venir",IF(($N98&lt;&gt;"")*($N98&gt;TODAY()-9)*($N98&lt;TODAY()+1),"Semaine passée",IF(($P98&lt;&gt;"")*($P98&gt;=TODAY())*($P98&lt;=TODAY()+13),"À venir","Autre"))))</f>
        <v>Autre</v>
      </c>
      <c r="V98" s="8" cm="1" t="n">
        <f t="array" ref="V98">IF(C98&lt;&gt;"",1,0)</f>
        <v>1</v>
      </c>
      <c r="W98" s="8">
</c>
      <c r="X98" s="8">
</c>
      <c r="Y98" s="8">
</c>
      <c r="Z98" s="8">
</c>
      <c r="AA98" s="8">
</c>
      <c r="AB98" s="8">
</c>
      <c r="AC98" s="8">
</c>
      <c r="AD98" s="8">
</c>
      <c r="AE98" s="8">
</c>
      <c r="AF98" s="8">
</c>
      <c r="AG98" s="8">
</c>
      <c r="AH98" s="8">
</c>
      <c r="AI98" s="8">
</c>
      <c r="AJ98" s="8">
</c>
      <c r="AK98" s="8">
</c>
    </row>
    <row r="99" ht="76.5" customHeight="1">
      <c r="A99" s="9" t="s">
        <v>23</v>
      </c>
      <c r="B99" s="9" t="s">
        <v>32</v>
      </c>
      <c r="C99" s="12" t="s">
        <v>358</v>
      </c>
      <c r="D99" s="13" t="s">
        <v>359</v>
      </c>
      <c r="E99" s="9" t="s">
        <v>27</v>
      </c>
      <c r="F99" s="8" t="s">
        <v>360</v>
      </c>
      <c r="G99" s="14" cm="1" t="str">
        <f t="array" ref="G99">IF(F99="","",SUBSTITUTE(SUBSTITUTE(SUBSTITUTE(SUBSTITUTE(F99,"&lt;li&gt;",CHAR(10)),"&lt;/li&gt;",""),"&lt;br&gt;",CHAR(10)),"&lt;strong&gt;",""))</f>
        <v>&lt;p&gt;Aucune activité récente détectée sur MONCEAU GENERALE ASSURANCES. Lead créé pour équipe Ventes, enrichissement impossible (email non valide). Pas d'échanges ni d'actions menées avec le prospect. MONCEAU GENERALE ASSURANCES : acteur historique assurance, pas d'infos CA ou effectif récentes.&lt;/p&gt;</v>
      </c>
      <c r="H99" s="14" cm="1" t="str">
        <f t="array" ref="H99">IF(G99="","",SUBSTITUTE(SUBSTITUTE(SUBSTITUTE(SUBSTITUTE(SUBSTITUTE(G99,"&lt;p&gt;",""),"&lt;/p&gt;",""),"&lt;ul&gt;",""),"&lt;/ul&gt;",""),"&lt;/strong&gt;",""))</f>
        <v>Aucune activité récente détectée sur MONCEAU GENERALE ASSURANCES. Lead créé pour équipe Ventes, enrichissement impossible (email non valide). Pas d'échanges ni d'actions menées avec le prospect. MONCEAU GENERALE ASSURANCES : acteur historique assurance, pas d'infos CA ou effectif récentes.</v>
      </c>
      <c r="I99" s="15" cm="1" t="str">
        <f t="array" ref="I99">IF(C99="","",IF(OR(H99="",H99=0,H99=FALSE),"-",H99))</f>
        <v>Aucune activité récente détectée sur MONCEAU GENERALE ASSURANCES. Lead créé pour équipe Ventes, enrichissement impossible (email non valide). Pas d'échanges ni d'actions menées avec le prospect. MONCEAU GENERALE ASSURANCES : acteur historique assurance, pas d'infos CA ou effectif récentes.</v>
      </c>
      <c r="J99" s="8">
</c>
      <c r="K99" s="8" t="s">
        <v>40</v>
      </c>
      <c r="L99" s="9" cm="1" t="str">
        <f t="array" ref="L99">IF(C99="","",IF(K99="Mort / Plus rien à faire","KO","OK"))</f>
        <v>OK</v>
      </c>
      <c r="M99" s="16">
        <v>46087.71902777778</v>
      </c>
      <c r="N99" s="16" cm="1" t="n">
        <f t="array" ref="N99">IF(OR(C99="",M99="",M99=0),"",M99)</f>
        <v>46087.71902777778</v>
      </c>
      <c r="O99" s="16">
</c>
      <c r="P99" s="16" cm="1" t="str">
        <f t="array" ref="P99">IF(C99="","",IF(OR(O99="",O99=0),"-",O99))</f>
        <v>-</v>
      </c>
      <c r="Q99" s="17">
        <v>0</v>
      </c>
      <c r="R99" s="17" cm="1" t="str">
        <f t="array" ref="R99">IF(C99="","",ROUND(Q99/1000000,3)&amp;" M€")</f>
        <v>0 M€</v>
      </c>
      <c r="S99" s="13" t="s">
        <v>164</v>
      </c>
      <c r="T99" s="9" cm="1" t="str">
        <f t="array" ref="T99">IF(C99="","",SUBSTITUTE(S99,"","")&amp;"%")</f>
        <v>10%</v>
      </c>
      <c r="U99" s="15" cm="1" t="str">
        <f t="array" ref="U99">IF(($N99="")*($P99=""),"",IF(($N99&lt;&gt;"")*($N99&gt;TODAY()-9)*($N99&lt;TODAY()+1)*($P99&lt;&gt;"")*($P99&gt;=TODAY())*($P99&lt;=TODAY()+13),"Semaine passée &amp; à venir",IF(($N99&lt;&gt;"")*($N99&gt;TODAY()-9)*($N99&lt;TODAY()+1),"Semaine passée",IF(($P99&lt;&gt;"")*($P99&gt;=TODAY())*($P99&lt;=TODAY()+13),"À venir","Autre"))))</f>
        <v>Autre</v>
      </c>
      <c r="V99" s="8" cm="1" t="n">
        <f t="array" ref="V99">IF(C99&lt;&gt;"",1,0)</f>
        <v>1</v>
      </c>
      <c r="W99" s="8">
</c>
      <c r="X99" s="8">
</c>
      <c r="Y99" s="8">
</c>
      <c r="Z99" s="8">
</c>
      <c r="AA99" s="8">
</c>
      <c r="AB99" s="8">
</c>
      <c r="AC99" s="8">
</c>
      <c r="AD99" s="8">
</c>
      <c r="AE99" s="8">
</c>
      <c r="AF99" s="8">
</c>
      <c r="AG99" s="8">
</c>
      <c r="AH99" s="8">
</c>
      <c r="AI99" s="8">
</c>
      <c r="AJ99" s="8">
</c>
      <c r="AK99" s="8">
</c>
    </row>
    <row r="100" ht="76.5" customHeight="1">
      <c r="A100" s="9" t="s">
        <v>23</v>
      </c>
      <c r="B100" s="9" t="s">
        <v>36</v>
      </c>
      <c r="C100" s="12" t="s">
        <v>361</v>
      </c>
      <c r="D100" s="13" t="s">
        <v>362</v>
      </c>
      <c r="E100" s="9" t="s">
        <v>27</v>
      </c>
      <c r="F100" s="8" t="s">
        <v>363</v>
      </c>
      <c r="G100" s="14" cm="1" t="str">
        <f t="array" ref="G100">IF(F100="","",SUBSTITUTE(SUBSTITUTE(SUBSTITUTE(SUBSTITUTE(F100,"&lt;li&gt;",CHAR(10)),"&lt;/li&gt;",""),"&lt;br&gt;",CHAR(10)),"&lt;strong&gt;",""))</f>
        <v>&lt;p&gt;Aucune activité menée sur le prospect. Nouvelle piste créée pour l'équipe "Ventes". Aucun échange, action ou retour identifié à ce jour. Pas de suivi, pas d'interaction, pas de retour prospect, aucune prochaine étape planifiée ni mention d'avis sur les fonds présentés.&lt;/p&gt;</v>
      </c>
      <c r="H100" s="14" cm="1" t="str">
        <f t="array" ref="H100">IF(G100="","",SUBSTITUTE(SUBSTITUTE(SUBSTITUTE(SUBSTITUTE(SUBSTITUTE(G100,"&lt;p&gt;",""),"&lt;/p&gt;",""),"&lt;ul&gt;",""),"&lt;/ul&gt;",""),"&lt;/strong&gt;",""))</f>
        <v>Aucune activité menée sur le prospect. Nouvelle piste créée pour l'équipe "Ventes". Aucun échange, action ou retour identifié à ce jour. Pas de suivi, pas d'interaction, pas de retour prospect, aucune prochaine étape planifiée ni mention d'avis sur les fonds présentés.</v>
      </c>
      <c r="I100" s="15" cm="1" t="str">
        <f t="array" ref="I100">IF(C100="","",IF(OR(H100="",H100=0,H100=FALSE),"-",H100))</f>
        <v>Aucune activité menée sur le prospect. Nouvelle piste créée pour l'équipe "Ventes". Aucun échange, action ou retour identifié à ce jour. Pas de suivi, pas d'interaction, pas de retour prospect, aucune prochaine étape planifiée ni mention d'avis sur les fonds présentés.</v>
      </c>
      <c r="J100" s="8" t="s">
        <v>364</v>
      </c>
      <c r="K100" s="8" t="s">
        <v>40</v>
      </c>
      <c r="L100" s="9" cm="1" t="str">
        <f t="array" ref="L100">IF(C100="","",IF(K100="Mort / Plus rien à faire","KO","OK"))</f>
        <v>OK</v>
      </c>
      <c r="M100" s="16">
        <v>46105.60636574074</v>
      </c>
      <c r="N100" s="16" cm="1" t="n">
        <f t="array" ref="N100">IF(OR(C100="",M100="",M100=0),"",M100)</f>
        <v>46105.60636574074</v>
      </c>
      <c r="O100" s="16">
</c>
      <c r="P100" s="16" cm="1" t="str">
        <f t="array" ref="P100">IF(C100="","",IF(OR(O100="",O100=0),"-",O100))</f>
        <v>-</v>
      </c>
      <c r="Q100" s="17">
        <v>0</v>
      </c>
      <c r="R100" s="17" cm="1" t="str">
        <f t="array" ref="R100">IF(C100="","",ROUND(Q100/1000000,3)&amp;" M€")</f>
        <v>0 M€</v>
      </c>
      <c r="S100" s="13" t="s">
        <v>164</v>
      </c>
      <c r="T100" s="9" cm="1" t="str">
        <f t="array" ref="T100">IF(C100="","",SUBSTITUTE(S100,"","")&amp;"%")</f>
        <v>10%</v>
      </c>
      <c r="U100" s="15" cm="1" t="str">
        <f t="array" ref="U100">IF(($N100="")*($P100=""),"",IF(($N100&lt;&gt;"")*($N100&gt;TODAY()-9)*($N100&lt;TODAY()+1)*($P100&lt;&gt;"")*($P100&gt;=TODAY())*($P100&lt;=TODAY()+13),"Semaine passée &amp; à venir",IF(($N100&lt;&gt;"")*($N100&gt;TODAY()-9)*($N100&lt;TODAY()+1),"Semaine passée",IF(($P100&lt;&gt;"")*($P100&gt;=TODAY())*($P100&lt;=TODAY()+13),"À venir","Autre"))))</f>
        <v>Autre</v>
      </c>
      <c r="V100" s="8" cm="1" t="n">
        <f t="array" ref="V100">IF(C100&lt;&gt;"",1,0)</f>
        <v>1</v>
      </c>
      <c r="W100" s="8">
</c>
      <c r="X100" s="8">
</c>
      <c r="Y100" s="8">
</c>
      <c r="Z100" s="8">
</c>
      <c r="AA100" s="8">
</c>
      <c r="AB100" s="8">
</c>
      <c r="AC100" s="8">
</c>
      <c r="AD100" s="8">
</c>
      <c r="AE100" s="8">
</c>
      <c r="AF100" s="8">
</c>
      <c r="AG100" s="8">
</c>
      <c r="AH100" s="8">
</c>
      <c r="AI100" s="8">
</c>
      <c r="AJ100" s="8">
</c>
      <c r="AK100" s="8">
</c>
    </row>
    <row r="101" ht="76.5" customHeight="1">
      <c r="A101" s="9" t="s">
        <v>23</v>
      </c>
      <c r="B101" s="9" t="s">
        <v>57</v>
      </c>
      <c r="C101" s="12" t="s">
        <v>365</v>
      </c>
      <c r="D101" s="13" t="s">
        <v>229</v>
      </c>
      <c r="E101" s="9" t="s">
        <v>27</v>
      </c>
      <c r="F101" s="8" t="s">
        <v>366</v>
      </c>
      <c r="G101" s="14" cm="1" t="str">
        <f t="array" ref="G101">IF(F101="","",SUBSTITUTE(SUBSTITUTE(SUBSTITUTE(SUBSTITUTE(F101,"&lt;li&gt;",CHAR(10)),"&lt;/li&gt;",""),"&lt;br&gt;",CHAR(10)),"&lt;strong&gt;",""))</f>
        <v>&lt;p&gt;21/01/2026 : Bleuet de France intéressé par BITD mais allocation PE non coté saturée, rien avant 2 ans sauf distribution. Ticket 5M€ habituel, déçus par intervention de l'État sur sorties fonds. Ouverts à fonds de dette défense si rendement &amp;gt;8%. Déjeuner prévu 17/04 avec David Boyer pour avancer.&lt;/p&gt;</v>
      </c>
      <c r="H101" s="14" cm="1" t="str">
        <f t="array" ref="H101">IF(G101="","",SUBSTITUTE(SUBSTITUTE(SUBSTITUTE(SUBSTITUTE(SUBSTITUTE(G101,"&lt;p&gt;",""),"&lt;/p&gt;",""),"&lt;ul&gt;",""),"&lt;/ul&gt;",""),"&lt;/strong&gt;",""))</f>
        <v>21/01/2026 : Bleuet de France intéressé par BITD mais allocation PE non coté saturée, rien avant 2 ans sauf distribution. Ticket 5M€ habituel, déçus par intervention de l'État sur sorties fonds. Ouverts à fonds de dette défense si rendement &amp;gt;8%. Déjeuner prévu 17/04 avec David Boyer pour avancer.</v>
      </c>
      <c r="I101" s="15" cm="1" t="str">
        <f t="array" ref="I101">IF(C101="","",IF(OR(H101="",H101=0,H101=FALSE),"-",H101))</f>
        <v>21/01/2026 : Bleuet de France intéressé par BITD mais allocation PE non coté saturée, rien avant 2 ans sauf distribution. Ticket 5M€ habituel, déçus par intervention de l'État sur sorties fonds. Ouverts à fonds de dette défense si rendement &amp;gt;8%. Déjeuner prévu 17/04 avec David Boyer pour avancer.</v>
      </c>
      <c r="J101" s="8" t="s">
        <v>367</v>
      </c>
      <c r="K101" s="8" t="s">
        <v>45</v>
      </c>
      <c r="L101" s="9" cm="1" t="str">
        <f t="array" ref="L101">IF(C101="","",IF(K101="Mort / Plus rien à faire","KO","OK"))</f>
        <v>OK</v>
      </c>
      <c r="M101" s="16">
        <v>46064.51865740741</v>
      </c>
      <c r="N101" s="16" cm="1" t="n">
        <f t="array" ref="N101">IF(OR(C101="",M101="",M101=0),"",M101)</f>
        <v>46064.51865740741</v>
      </c>
      <c r="O101" s="16">
        <v>46129.083333333336</v>
      </c>
      <c r="P101" s="16" cm="1" t="n">
        <f t="array" ref="P101">IF(C101="","",IF(OR(O101="",O101=0),"-",O101))</f>
        <v>46129.083333333336</v>
      </c>
      <c r="Q101" s="17">
        <v>2000000</v>
      </c>
      <c r="R101" s="17" cm="1" t="str">
        <f t="array" ref="R101">IF(C101="","",ROUND(Q101/1000000,3)&amp;" M€")</f>
        <v>2 M€</v>
      </c>
      <c r="S101" s="13" t="s">
        <v>164</v>
      </c>
      <c r="T101" s="9" cm="1" t="str">
        <f t="array" ref="T101">IF(C101="","",SUBSTITUTE(S101,"","")&amp;"%")</f>
        <v>10%</v>
      </c>
      <c r="U101" s="15" cm="1" t="str">
        <f t="array" ref="U101">IF(($N101="")*($P101=""),"",IF(($N101&lt;&gt;"")*($N101&gt;TODAY()-9)*($N101&lt;TODAY()+1)*($P101&lt;&gt;"")*($P101&gt;=TODAY())*($P101&lt;=TODAY()+13),"Semaine passée &amp; à venir",IF(($N101&lt;&gt;"")*($N101&gt;TODAY()-9)*($N101&lt;TODAY()+1),"Semaine passée",IF(($P101&lt;&gt;"")*($P101&gt;=TODAY())*($P101&lt;=TODAY()+13),"À venir","Autre"))))</f>
        <v>Autre</v>
      </c>
      <c r="V101" s="8" cm="1" t="n">
        <f t="array" ref="V101">IF(C101&lt;&gt;"",1,0)</f>
        <v>1</v>
      </c>
      <c r="W101" s="8">
</c>
      <c r="X101" s="8">
</c>
      <c r="Y101" s="8">
</c>
      <c r="Z101" s="8">
</c>
      <c r="AA101" s="8">
</c>
      <c r="AB101" s="8">
</c>
      <c r="AC101" s="8">
</c>
      <c r="AD101" s="8">
</c>
      <c r="AE101" s="8">
</c>
      <c r="AF101" s="8">
</c>
      <c r="AG101" s="8">
</c>
      <c r="AH101" s="8">
</c>
      <c r="AI101" s="8">
</c>
      <c r="AJ101" s="8">
</c>
      <c r="AK101" s="8">
</c>
    </row>
    <row r="102" ht="76.5" customHeight="1">
      <c r="A102" s="9" t="s">
        <v>23</v>
      </c>
      <c r="B102" s="9" t="s">
        <v>368</v>
      </c>
      <c r="C102" s="12" t="s">
        <v>369</v>
      </c>
      <c r="D102" s="13" t="s">
        <v>370</v>
      </c>
      <c r="E102" s="9" t="s">
        <v>54</v>
      </c>
      <c r="F102" s="8" t="s">
        <v>371</v>
      </c>
      <c r="G102" s="14" cm="1" t="str">
        <f t="array" ref="G102">IF(F102="","",SUBSTITUTE(SUBSTITUTE(SUBSTITUTE(SUBSTITUTE(F102,"&lt;li&gt;",CHAR(10)),"&lt;/li&gt;",""),"&lt;br&gt;",CHAR(10)),"&lt;strong&gt;",""))</f>
        <v>&lt;p&gt;25/02/26 relance Arkwood Avocats pour dossier remploi, contact tél. Présentation Audacia fonds remploi, prospect doit envoyer dossiers mais très occupé par études expatriation. 06/03/26 relance, prospect toujours très pris. Prochaine action&amp;nbsp;: prise de news, deadline 18/03/26.&lt;/p&gt;</v>
      </c>
      <c r="H102" s="14" cm="1" t="str">
        <f t="array" ref="H102">IF(G102="","",SUBSTITUTE(SUBSTITUTE(SUBSTITUTE(SUBSTITUTE(SUBSTITUTE(G102,"&lt;p&gt;",""),"&lt;/p&gt;",""),"&lt;ul&gt;",""),"&lt;/ul&gt;",""),"&lt;/strong&gt;",""))</f>
        <v>25/02/26 relance Arkwood Avocats pour dossier remploi, contact tél. Présentation Audacia fonds remploi, prospect doit envoyer dossiers mais très occupé par études expatriation. 06/03/26 relance, prospect toujours très pris. Prochaine action&amp;nbsp;: prise de news, deadline 18/03/26.</v>
      </c>
      <c r="I102" s="15" cm="1" t="str">
        <f t="array" ref="I102">IF(C102="","",IF(OR(H102="",H102=0,H102=FALSE),"-",H102))</f>
        <v>25/02/26 relance Arkwood Avocats pour dossier remploi, contact tél. Présentation Audacia fonds remploi, prospect doit envoyer dossiers mais très occupé par études expatriation. 06/03/26 relance, prospect toujours très pris. Prochaine action&amp;nbsp;: prise de news, deadline 18/03/26.</v>
      </c>
      <c r="J102" s="8" t="s">
        <v>372</v>
      </c>
      <c r="K102" s="8" t="s">
        <v>45</v>
      </c>
      <c r="L102" s="9" cm="1" t="str">
        <f t="array" ref="L102">IF(C102="","",IF(K102="Mort / Plus rien à faire","KO","OK"))</f>
        <v>OK</v>
      </c>
      <c r="M102" s="16">
        <v>46086.70446759259</v>
      </c>
      <c r="N102" s="16" cm="1" t="n">
        <f t="array" ref="N102">IF(OR(C102="",M102="",M102=0),"",M102)</f>
        <v>46086.70446759259</v>
      </c>
      <c r="O102" s="16">
</c>
      <c r="P102" s="16" cm="1" t="str">
        <f t="array" ref="P102">IF(C102="","",IF(OR(O102="",O102=0),"-",O102))</f>
        <v>-</v>
      </c>
      <c r="Q102" s="17">
        <v>0</v>
      </c>
      <c r="R102" s="17" cm="1" t="str">
        <f t="array" ref="R102">IF(C102="","",ROUND(Q102/1000000,3)&amp;" M€")</f>
        <v>0 M€</v>
      </c>
      <c r="S102" s="13" t="s">
        <v>164</v>
      </c>
      <c r="T102" s="9" cm="1" t="str">
        <f t="array" ref="T102">IF(C102="","",SUBSTITUTE(S102,"","")&amp;"%")</f>
        <v>10%</v>
      </c>
      <c r="U102" s="15" cm="1" t="str">
        <f t="array" ref="U102">IF(($N102="")*($P102=""),"",IF(($N102&lt;&gt;"")*($N102&gt;TODAY()-9)*($N102&lt;TODAY()+1)*($P102&lt;&gt;"")*($P102&gt;=TODAY())*($P102&lt;=TODAY()+13),"Semaine passée &amp; à venir",IF(($N102&lt;&gt;"")*($N102&gt;TODAY()-9)*($N102&lt;TODAY()+1),"Semaine passée",IF(($P102&lt;&gt;"")*($P102&gt;=TODAY())*($P102&lt;=TODAY()+13),"À venir","Autre"))))</f>
        <v>Autre</v>
      </c>
      <c r="V102" s="8" cm="1" t="n">
        <f t="array" ref="V102">IF(C102&lt;&gt;"",1,0)</f>
        <v>1</v>
      </c>
      <c r="W102" s="8">
</c>
      <c r="X102" s="8">
</c>
      <c r="Y102" s="8">
</c>
      <c r="Z102" s="8">
</c>
      <c r="AA102" s="8">
</c>
      <c r="AB102" s="8">
</c>
      <c r="AC102" s="8">
</c>
      <c r="AD102" s="8">
</c>
      <c r="AE102" s="8">
</c>
      <c r="AF102" s="8">
</c>
      <c r="AG102" s="8">
</c>
      <c r="AH102" s="8">
</c>
      <c r="AI102" s="8">
</c>
      <c r="AJ102" s="8">
</c>
      <c r="AK102" s="8">
</c>
    </row>
    <row r="103" ht="76.5" customHeight="1">
      <c r="A103" s="8" t="s">
        <v>23</v>
      </c>
      <c r="B103" s="8" t="s">
        <v>189</v>
      </c>
      <c r="C103" s="12" t="s">
        <v>373</v>
      </c>
      <c r="D103" s="18" t="s">
        <v>374</v>
      </c>
      <c r="E103" s="8" t="s">
        <v>27</v>
      </c>
      <c r="F103" s="8" t="s">
        <v>375</v>
      </c>
      <c r="G103" s="14" cm="1" t="str">
        <f t="array" ref="G103">IF(F103="","",SUBSTITUTE(SUBSTITUTE(SUBSTITUTE(SUBSTITUTE(F103,"&lt;li&gt;",CHAR(10)),"&lt;/li&gt;",""),"&lt;br&gt;",CHAR(10)),"&lt;strong&gt;",""))</f>
        <v>&lt;p&gt;Prospect SPVM suivi activement, échanges récents sur projet Straton. Dernière action : relance prévue avant comité janvier 2026 (échéance 29/11/2025). Activité : appel à passer. Lead créé pour équipe Ventes. Enrichissement email impossible. Prochaine étape : relancer sur Straton.&lt;/p&gt;</v>
      </c>
      <c r="H103" s="14" cm="1" t="str">
        <f t="array" ref="H103">IF(G103="","",SUBSTITUTE(SUBSTITUTE(SUBSTITUTE(SUBSTITUTE(SUBSTITUTE(G103,"&lt;p&gt;",""),"&lt;/p&gt;",""),"&lt;ul&gt;",""),"&lt;/ul&gt;",""),"&lt;/strong&gt;",""))</f>
        <v>Prospect SPVM suivi activement, échanges récents sur projet Straton. Dernière action : relance prévue avant comité janvier 2026 (échéance 29/11/2025). Activité : appel à passer. Lead créé pour équipe Ventes. Enrichissement email impossible. Prochaine étape : relancer sur Straton.</v>
      </c>
      <c r="I103" s="15" cm="1" t="str">
        <f t="array" ref="I103">IF(C103="","",IF(OR(H103="",H103=0,H103=FALSE),"-",H103))</f>
        <v>Prospect SPVM suivi activement, échanges récents sur projet Straton. Dernière action : relance prévue avant comité janvier 2026 (échéance 29/11/2025). Activité : appel à passer. Lead créé pour équipe Ventes. Enrichissement email impossible. Prochaine étape : relancer sur Straton.</v>
      </c>
      <c r="J103" s="8">
</c>
      <c r="K103" s="8" t="s">
        <v>45</v>
      </c>
      <c r="L103" s="9" cm="1" t="str">
        <f t="array" ref="L103">IF(C103="","",IF(K103="Mort / Plus rien à faire","KO","OK"))</f>
        <v>OK</v>
      </c>
      <c r="M103" s="19">
        <v>46090.555081018516</v>
      </c>
      <c r="N103" s="16" cm="1" t="n">
        <f t="array" ref="N103">IF(OR(C103="",M103="",M103=0),"",M103)</f>
        <v>46090.555081018516</v>
      </c>
      <c r="O103" s="19">
</c>
      <c r="P103" s="16" cm="1" t="str">
        <f t="array" ref="P103">IF(C103="","",IF(OR(O103="",O103=0),"-",O103))</f>
        <v>-</v>
      </c>
      <c r="Q103" s="20">
        <v>1000000</v>
      </c>
      <c r="R103" s="17" cm="1" t="str">
        <f t="array" ref="R103">IF(C103="","",ROUND(Q103/1000000,3)&amp;" M€")</f>
        <v>1 M€</v>
      </c>
      <c r="S103" s="18" t="s">
        <v>164</v>
      </c>
      <c r="T103" s="9" cm="1" t="str">
        <f t="array" ref="T103">IF(C103="","",SUBSTITUTE(S103,"","")&amp;"%")</f>
        <v>10%</v>
      </c>
      <c r="U103" s="15" cm="1" t="str">
        <f t="array" ref="U103">IF(($N103="")*($P103=""),"",IF(($N103&lt;&gt;"")*($N103&gt;TODAY()-9)*($N103&lt;TODAY()+1)*($P103&lt;&gt;"")*($P103&gt;=TODAY())*($P103&lt;=TODAY()+13),"Semaine passée &amp; à venir",IF(($N103&lt;&gt;"")*($N103&gt;TODAY()-9)*($N103&lt;TODAY()+1),"Semaine passée",IF(($P103&lt;&gt;"")*($P103&gt;=TODAY())*($P103&lt;=TODAY()+13),"À venir","Autre"))))</f>
        <v>Autre</v>
      </c>
      <c r="V103" s="8" cm="1" t="n">
        <f t="array" ref="V103">IF(C103&lt;&gt;"",1,0)</f>
        <v>1</v>
      </c>
      <c r="W103" s="8">
</c>
      <c r="X103" s="8">
</c>
      <c r="Y103" s="8">
</c>
      <c r="Z103" s="8">
</c>
      <c r="AA103" s="8">
</c>
      <c r="AB103" s="8">
</c>
      <c r="AC103" s="8">
</c>
      <c r="AD103" s="8">
</c>
      <c r="AE103" s="8">
</c>
      <c r="AF103" s="8">
</c>
      <c r="AG103" s="8">
</c>
      <c r="AH103" s="8">
</c>
      <c r="AI103" s="8">
</c>
      <c r="AJ103" s="8">
</c>
      <c r="AK103" s="8">
</c>
    </row>
    <row r="104" ht="76.5" customHeight="1">
      <c r="A104" s="8" t="s">
        <v>23</v>
      </c>
      <c r="B104" s="8">
</c>
      <c r="C104" s="12" t="s">
        <v>376</v>
      </c>
      <c r="D104" s="18" t="s">
        <v>377</v>
      </c>
      <c r="E104" s="8" t="s">
        <v>27</v>
      </c>
      <c r="F104" s="8" t="s">
        <v>378</v>
      </c>
      <c r="G104" s="14" cm="1" t="str">
        <f t="array" ref="G104">IF(F104="","",SUBSTITUTE(SUBSTITUTE(SUBSTITUTE(SUBSTITUTE(F104,"&lt;li&gt;",CHAR(10)),"&lt;/li&gt;",""),"&lt;br&gt;",CHAR(10)),"&lt;strong&gt;",""))</f>
        <v>&lt;p&gt;Demande de RDV faite à Denis Neiter, relance en cours. Dernier échange physique terminé, pas de retour prospect encore. Nouvelle piste créée pour équipe Ventes. Prochaine étape : obtenir confirmation de RDV avec Denis Neiter. Pas d'autres actions ou retours prospect notés à ce jour.&lt;/p&gt;</v>
      </c>
      <c r="H104" s="14" cm="1" t="str">
        <f t="array" ref="H104">IF(G104="","",SUBSTITUTE(SUBSTITUTE(SUBSTITUTE(SUBSTITUTE(SUBSTITUTE(G104,"&lt;p&gt;",""),"&lt;/p&gt;",""),"&lt;ul&gt;",""),"&lt;/ul&gt;",""),"&lt;/strong&gt;",""))</f>
        <v>Demande de RDV faite à Denis Neiter, relance en cours. Dernier échange physique terminé, pas de retour prospect encore. Nouvelle piste créée pour équipe Ventes. Prochaine étape : obtenir confirmation de RDV avec Denis Neiter. Pas d'autres actions ou retours prospect notés à ce jour.</v>
      </c>
      <c r="I104" s="15" cm="1" t="str">
        <f t="array" ref="I104">IF(C104="","",IF(OR(H104="",H104=0,H104=FALSE),"-",H104))</f>
        <v>Demande de RDV faite à Denis Neiter, relance en cours. Dernier échange physique terminé, pas de retour prospect encore. Nouvelle piste créée pour équipe Ventes. Prochaine étape : obtenir confirmation de RDV avec Denis Neiter. Pas d'autres actions ou retours prospect notés à ce jour.</v>
      </c>
      <c r="J104" s="8" t="s">
        <v>379</v>
      </c>
      <c r="K104" s="8" t="s">
        <v>40</v>
      </c>
      <c r="L104" s="9" cm="1" t="str">
        <f t="array" ref="L104">IF(C104="","",IF(K104="Mort / Plus rien à faire","KO","OK"))</f>
        <v>OK</v>
      </c>
      <c r="M104" s="19">
        <v>46114.71701388889</v>
      </c>
      <c r="N104" s="16" cm="1" t="n">
        <f t="array" ref="N104">IF(OR(C104="",M104="",M104=0),"",M104)</f>
        <v>46114.71701388889</v>
      </c>
      <c r="O104" s="19">
        <v>46121.083333333336</v>
      </c>
      <c r="P104" s="16" cm="1" t="n">
        <f t="array" ref="P104">IF(C104="","",IF(OR(O104="",O104=0),"-",O104))</f>
        <v>46121.083333333336</v>
      </c>
      <c r="Q104" s="20">
        <v>0</v>
      </c>
      <c r="R104" s="17" cm="1" t="str">
        <f t="array" ref="R104">IF(C104="","",ROUND(Q104/1000000,3)&amp;" M€")</f>
        <v>0 M€</v>
      </c>
      <c r="S104" s="18" t="s">
        <v>164</v>
      </c>
      <c r="T104" s="9" cm="1" t="str">
        <f t="array" ref="T104">IF(C104="","",SUBSTITUTE(S104,"","")&amp;"%")</f>
        <v>10%</v>
      </c>
      <c r="U104" s="15" cm="1" t="str">
        <f t="array" ref="U104">IF(($N104="")*($P104=""),"",IF(($N104&lt;&gt;"")*($N104&gt;TODAY()-9)*($N104&lt;TODAY()+1)*($P104&lt;&gt;"")*($P104&gt;=TODAY())*($P104&lt;=TODAY()+13),"Semaine passée &amp; à venir",IF(($N104&lt;&gt;"")*($N104&gt;TODAY()-9)*($N104&lt;TODAY()+1),"Semaine passée",IF(($P104&lt;&gt;"")*($P104&gt;=TODAY())*($P104&lt;=TODAY()+13),"À venir","Autre"))))</f>
        <v>Semaine passée &amp; à venir</v>
      </c>
      <c r="V104" s="8" cm="1" t="n">
        <f t="array" ref="V104">IF(C104&lt;&gt;"",1,0)</f>
        <v>1</v>
      </c>
      <c r="W104" s="8">
</c>
      <c r="X104" s="8">
</c>
      <c r="Y104" s="8">
</c>
      <c r="Z104" s="8">
</c>
      <c r="AA104" s="8">
</c>
      <c r="AB104" s="8">
</c>
      <c r="AC104" s="8">
</c>
      <c r="AD104" s="8">
</c>
      <c r="AE104" s="8">
</c>
      <c r="AF104" s="8">
</c>
      <c r="AG104" s="8">
</c>
      <c r="AH104" s="8">
</c>
      <c r="AI104" s="8">
</c>
      <c r="AJ104" s="8">
</c>
      <c r="AK104" s="8">
</c>
    </row>
    <row r="105" ht="76.5" customHeight="1">
      <c r="A105" s="8" t="s">
        <v>23</v>
      </c>
      <c r="B105" s="8" t="s">
        <v>107</v>
      </c>
      <c r="C105" s="12" t="s">
        <v>380</v>
      </c>
      <c r="D105" s="18" t="s">
        <v>381</v>
      </c>
      <c r="E105" s="8" t="s">
        <v>27</v>
      </c>
      <c r="F105" s="8" t="s">
        <v>382</v>
      </c>
      <c r="G105" s="14" cm="1" t="str">
        <f t="array" ref="G105">IF(F105="","",SUBSTITUTE(SUBSTITUTE(SUBSTITUTE(SUBSTITUTE(F105,"&lt;li&gt;",CHAR(10)),"&lt;/li&gt;",""),"&lt;br&gt;",CHAR(10)),"&lt;strong&gt;",""))</f>
        <v>&lt;p&gt;RDV physique Deauville : discussion sur création fonds défense Région. Caisse d'Epargne Normandie (Aurélien Valet) non impliquée. Nouvelle piste créée pour équipe Ventes. Prochaine étape : exploiter la création du fonds défense par la Région. Pas d'avis prospect sur fonds à ce stade.&lt;/p&gt;</v>
      </c>
      <c r="H105" s="14" cm="1" t="str">
        <f t="array" ref="H105">IF(G105="","",SUBSTITUTE(SUBSTITUTE(SUBSTITUTE(SUBSTITUTE(SUBSTITUTE(G105,"&lt;p&gt;",""),"&lt;/p&gt;",""),"&lt;ul&gt;",""),"&lt;/ul&gt;",""),"&lt;/strong&gt;",""))</f>
        <v>RDV physique Deauville : discussion sur création fonds défense Région. Caisse d'Epargne Normandie (Aurélien Valet) non impliquée. Nouvelle piste créée pour équipe Ventes. Prochaine étape : exploiter la création du fonds défense par la Région. Pas d'avis prospect sur fonds à ce stade.</v>
      </c>
      <c r="I105" s="15" cm="1" t="str">
        <f t="array" ref="I105">IF(C105="","",IF(OR(H105="",H105=0,H105=FALSE),"-",H105))</f>
        <v>RDV physique Deauville : discussion sur création fonds défense Région. Caisse d'Epargne Normandie (Aurélien Valet) non impliquée. Nouvelle piste créée pour équipe Ventes. Prochaine étape : exploiter la création du fonds défense par la Région. Pas d'avis prospect sur fonds à ce stade.</v>
      </c>
      <c r="J105" s="8" t="s">
        <v>383</v>
      </c>
      <c r="K105" s="8" t="s">
        <v>40</v>
      </c>
      <c r="L105" s="9" cm="1" t="str">
        <f t="array" ref="L105">IF(C105="","",IF(K105="Mort / Plus rien à faire","KO","OK"))</f>
        <v>OK</v>
      </c>
      <c r="M105" s="19">
        <v>46115.39020833333</v>
      </c>
      <c r="N105" s="16" cm="1" t="n">
        <f t="array" ref="N105">IF(OR(C105="",M105="",M105=0),"",M105)</f>
        <v>46115.39020833333</v>
      </c>
      <c r="O105" s="19">
        <v>46135.083333333336</v>
      </c>
      <c r="P105" s="16" cm="1" t="n">
        <f t="array" ref="P105">IF(C105="","",IF(OR(O105="",O105=0),"-",O105))</f>
        <v>46135.083333333336</v>
      </c>
      <c r="Q105" s="20">
        <v>1000000</v>
      </c>
      <c r="R105" s="17" cm="1" t="str">
        <f t="array" ref="R105">IF(C105="","",ROUND(Q105/1000000,3)&amp;" M€")</f>
        <v>1 M€</v>
      </c>
      <c r="S105" s="18" t="s">
        <v>164</v>
      </c>
      <c r="T105" s="9" cm="1" t="str">
        <f t="array" ref="T105">IF(C105="","",SUBSTITUTE(S105,"","")&amp;"%")</f>
        <v>10%</v>
      </c>
      <c r="U105" s="15" cm="1" t="str">
        <f t="array" ref="U105">IF(($N105="")*($P105=""),"",IF(($N105&lt;&gt;"")*($N105&gt;TODAY()-9)*($N105&lt;TODAY()+1)*($P105&lt;&gt;"")*($P105&gt;=TODAY())*($P105&lt;=TODAY()+13),"Semaine passée &amp; à venir",IF(($N105&lt;&gt;"")*($N105&gt;TODAY()-9)*($N105&lt;TODAY()+1),"Semaine passée",IF(($P105&lt;&gt;"")*($P105&gt;=TODAY())*($P105&lt;=TODAY()+13),"À venir","Autre"))))</f>
        <v>Semaine passée</v>
      </c>
      <c r="V105" s="8" cm="1" t="n">
        <f t="array" ref="V105">IF(C105&lt;&gt;"",1,0)</f>
        <v>1</v>
      </c>
      <c r="W105" s="8">
</c>
      <c r="X105" s="8">
</c>
      <c r="Y105" s="8">
</c>
      <c r="Z105" s="8">
</c>
      <c r="AA105" s="8">
</c>
      <c r="AB105" s="8">
</c>
      <c r="AC105" s="8">
</c>
      <c r="AD105" s="8">
</c>
      <c r="AE105" s="8">
</c>
      <c r="AF105" s="8">
</c>
      <c r="AG105" s="8">
</c>
      <c r="AH105" s="8">
</c>
      <c r="AI105" s="8">
</c>
      <c r="AJ105" s="8">
</c>
      <c r="AK105" s="8">
</c>
    </row>
    <row r="106" ht="76.5" customHeight="1">
      <c r="A106" s="8" t="s">
        <v>23</v>
      </c>
      <c r="B106" s="8" t="s">
        <v>51</v>
      </c>
      <c r="C106" s="12" t="s">
        <v>384</v>
      </c>
      <c r="D106" s="18" t="s">
        <v>385</v>
      </c>
      <c r="E106" s="8" t="s">
        <v>27</v>
      </c>
      <c r="F106" s="8" t="s">
        <v>386</v>
      </c>
      <c r="G106" s="14" cm="1" t="str">
        <f t="array" ref="G106">IF(F106="","",SUBSTITUTE(SUBSTITUTE(SUBSTITUTE(SUBSTITUTE(F106,"&lt;li&gt;",CHAR(10)),"&lt;/li&gt;",""),"&lt;br&gt;",CHAR(10)),"&lt;strong&gt;",""))</f>
        <v>&lt;p&gt;Aucune activité menée sur le prospect. NOBC &amp;lt;&amp;gt; 150 O B ter STRATON. Dernière activité prévue : relancer sur straton (échéance 29/11/2025). Type récent : action à faire, appel à passer. Aucun message nécessitant action, peu d'infos détaillées, aucune donnée chiffrée ou globale identifiée à ce stade.&lt;/p&gt;</v>
      </c>
      <c r="H106" s="14" cm="1" t="str">
        <f t="array" ref="H106">IF(G106="","",SUBSTITUTE(SUBSTITUTE(SUBSTITUTE(SUBSTITUTE(SUBSTITUTE(G106,"&lt;p&gt;",""),"&lt;/p&gt;",""),"&lt;ul&gt;",""),"&lt;/ul&gt;",""),"&lt;/strong&gt;",""))</f>
        <v>Aucune activité menée sur le prospect. NOBC &amp;lt;&amp;gt; 150 O B ter STRATON. Dernière activité prévue : relancer sur straton (échéance 29/11/2025). Type récent : action à faire, appel à passer. Aucun message nécessitant action, peu d'infos détaillées, aucune donnée chiffrée ou globale identifiée à ce stade.</v>
      </c>
      <c r="I106" s="15" cm="1" t="str">
        <f t="array" ref="I106">IF(C106="","",IF(OR(H106="",H106=0,H106=FALSE),"-",H106))</f>
        <v>Aucune activité menée sur le prospect. NOBC &amp;lt;&amp;gt; 150 O B ter STRATON. Dernière activité prévue : relancer sur straton (échéance 29/11/2025). Type récent : action à faire, appel à passer. Aucun message nécessitant action, peu d'infos détaillées, aucune donnée chiffrée ou globale identifiée à ce stade.</v>
      </c>
      <c r="J106" s="8">
</c>
      <c r="K106" s="8" t="s">
        <v>40</v>
      </c>
      <c r="L106" s="9" cm="1" t="str">
        <f t="array" ref="L106">IF(C106="","",IF(K106="Mort / Plus rien à faire","KO","OK"))</f>
        <v>OK</v>
      </c>
      <c r="M106" s="19">
        <v>46028.562268518515</v>
      </c>
      <c r="N106" s="16" cm="1" t="n">
        <f t="array" ref="N106">IF(OR(C106="",M106="",M106=0),"",M106)</f>
        <v>46028.562268518515</v>
      </c>
      <c r="O106" s="19">
</c>
      <c r="P106" s="16" cm="1" t="str">
        <f t="array" ref="P106">IF(C106="","",IF(OR(O106="",O106=0),"-",O106))</f>
        <v>-</v>
      </c>
      <c r="Q106" s="20">
        <v>500000</v>
      </c>
      <c r="R106" s="17" cm="1" t="str">
        <f t="array" ref="R106">IF(C106="","",ROUND(Q106/1000000,3)&amp;" M€")</f>
        <v>0.5 M€</v>
      </c>
      <c r="S106" s="18" t="s">
        <v>164</v>
      </c>
      <c r="T106" s="9" cm="1" t="str">
        <f t="array" ref="T106">IF(C106="","",SUBSTITUTE(S106,"","")&amp;"%")</f>
        <v>10%</v>
      </c>
      <c r="U106" s="15" cm="1" t="str">
        <f t="array" ref="U106">IF(($N106="")*($P106=""),"",IF(($N106&lt;&gt;"")*($N106&gt;TODAY()-9)*($N106&lt;TODAY()+1)*($P106&lt;&gt;"")*($P106&gt;=TODAY())*($P106&lt;=TODAY()+13),"Semaine passée &amp; à venir",IF(($N106&lt;&gt;"")*($N106&gt;TODAY()-9)*($N106&lt;TODAY()+1),"Semaine passée",IF(($P106&lt;&gt;"")*($P106&gt;=TODAY())*($P106&lt;=TODAY()+13),"À venir","Autre"))))</f>
        <v>Autre</v>
      </c>
      <c r="V106" s="8" cm="1" t="n">
        <f t="array" ref="V106">IF(C106&lt;&gt;"",1,0)</f>
        <v>1</v>
      </c>
      <c r="W106" s="8">
</c>
      <c r="X106" s="8">
</c>
      <c r="Y106" s="8">
</c>
      <c r="Z106" s="8">
</c>
      <c r="AA106" s="8">
</c>
      <c r="AB106" s="8">
</c>
      <c r="AC106" s="8">
</c>
      <c r="AD106" s="8">
</c>
      <c r="AE106" s="8">
</c>
      <c r="AF106" s="8">
</c>
      <c r="AG106" s="8">
</c>
      <c r="AH106" s="8">
</c>
      <c r="AI106" s="8">
</c>
      <c r="AJ106" s="8">
</c>
      <c r="AK106" s="8">
</c>
    </row>
    <row r="107" ht="76.5" customHeight="1">
      <c r="A107" s="8" t="s">
        <v>23</v>
      </c>
      <c r="B107" s="8" t="s">
        <v>124</v>
      </c>
      <c r="C107" s="12" t="s">
        <v>387</v>
      </c>
      <c r="D107" s="18" t="s">
        <v>388</v>
      </c>
      <c r="E107" s="8" t="s">
        <v>80</v>
      </c>
      <c r="F107" s="8" t="s">
        <v>389</v>
      </c>
      <c r="G107" s="14" cm="1" t="str">
        <f t="array" ref="G107">IF(F107="","",SUBSTITUTE(SUBSTITUTE(SUBSTITUTE(SUBSTITUTE(F107,"&lt;li&gt;",CHAR(10)),"&lt;/li&gt;",""),"&lt;br&gt;",CHAR(10)),"&lt;strong&gt;",""))</f>
        <v>&lt;p&gt;Café Opéra 16/10 avec Ofilae : présentation FO, Audacia, fonds PME Défense, Straton. Intérêt pour fonds small/mid cap France/US, éligibilité fiscale recherchée. Envois docs, échanges mails réguliers, relances dont invitation Rencontres Bourrienne 9/04. Prochaine étape : relance invitation.&lt;/p&gt;</v>
      </c>
      <c r="H107" s="14" cm="1" t="str">
        <f t="array" ref="H107">IF(G107="","",SUBSTITUTE(SUBSTITUTE(SUBSTITUTE(SUBSTITUTE(SUBSTITUTE(G107,"&lt;p&gt;",""),"&lt;/p&gt;",""),"&lt;ul&gt;",""),"&lt;/ul&gt;",""),"&lt;/strong&gt;",""))</f>
        <v>Café Opéra 16/10 avec Ofilae : présentation FO, Audacia, fonds PME Défense, Straton. Intérêt pour fonds small/mid cap France/US, éligibilité fiscale recherchée. Envois docs, échanges mails réguliers, relances dont invitation Rencontres Bourrienne 9/04. Prochaine étape : relance invitation.</v>
      </c>
      <c r="I107" s="15" cm="1" t="str">
        <f t="array" ref="I107">IF(C107="","",IF(OR(H107="",H107=0,H107=FALSE),"-",H107))</f>
        <v>Café Opéra 16/10 avec Ofilae : présentation FO, Audacia, fonds PME Défense, Straton. Intérêt pour fonds small/mid cap France/US, éligibilité fiscale recherchée. Envois docs, échanges mails réguliers, relances dont invitation Rencontres Bourrienne 9/04. Prochaine étape : relance invitation.</v>
      </c>
      <c r="J107" s="8">
</c>
      <c r="K107" s="8" t="s">
        <v>88</v>
      </c>
      <c r="L107" s="9" cm="1" t="str">
        <f t="array" ref="L107">IF(C107="","",IF(K107="Mort / Plus rien à faire","KO","OK"))</f>
        <v>OK</v>
      </c>
      <c r="M107" s="19">
        <v>46112.48369212963</v>
      </c>
      <c r="N107" s="16" cm="1" t="n">
        <f t="array" ref="N107">IF(OR(C107="",M107="",M107=0),"",M107)</f>
        <v>46112.48369212963</v>
      </c>
      <c r="O107" s="19">
</c>
      <c r="P107" s="16" cm="1" t="str">
        <f t="array" ref="P107">IF(C107="","",IF(OR(O107="",O107=0),"-",O107))</f>
        <v>-</v>
      </c>
      <c r="Q107" s="20">
        <v>0</v>
      </c>
      <c r="R107" s="17" cm="1" t="str">
        <f t="array" ref="R107">IF(C107="","",ROUND(Q107/1000000,3)&amp;" M€")</f>
        <v>0 M€</v>
      </c>
      <c r="S107" s="18" t="s">
        <v>164</v>
      </c>
      <c r="T107" s="9" cm="1" t="str">
        <f t="array" ref="T107">IF(C107="","",SUBSTITUTE(S107,"","")&amp;"%")</f>
        <v>10%</v>
      </c>
      <c r="U107" s="15" cm="1" t="str">
        <f t="array" ref="U107">IF(($N107="")*($P107=""),"",IF(($N107&lt;&gt;"")*($N107&gt;TODAY()-9)*($N107&lt;TODAY()+1)*($P107&lt;&gt;"")*($P107&gt;=TODAY())*($P107&lt;=TODAY()+13),"Semaine passée &amp; à venir",IF(($N107&lt;&gt;"")*($N107&gt;TODAY()-9)*($N107&lt;TODAY()+1),"Semaine passée",IF(($P107&lt;&gt;"")*($P107&gt;=TODAY())*($P107&lt;=TODAY()+13),"À venir","Autre"))))</f>
        <v>Semaine passée</v>
      </c>
      <c r="V107" s="8" cm="1" t="n">
        <f t="array" ref="V107">IF(C107&lt;&gt;"",1,0)</f>
        <v>1</v>
      </c>
      <c r="W107" s="8">
</c>
      <c r="X107" s="8">
</c>
      <c r="Y107" s="8">
</c>
      <c r="Z107" s="8">
</c>
      <c r="AA107" s="8">
</c>
      <c r="AB107" s="8">
</c>
      <c r="AC107" s="8">
</c>
      <c r="AD107" s="8">
</c>
      <c r="AE107" s="8">
</c>
      <c r="AF107" s="8">
</c>
      <c r="AG107" s="8">
</c>
      <c r="AH107" s="8">
</c>
      <c r="AI107" s="8">
</c>
      <c r="AJ107" s="8">
</c>
      <c r="AK107" s="8">
</c>
    </row>
    <row r="108" ht="76.5" customHeight="1">
      <c r="A108" s="8" t="s">
        <v>23</v>
      </c>
      <c r="B108" s="8" t="s">
        <v>32</v>
      </c>
      <c r="C108" s="12" t="s">
        <v>390</v>
      </c>
      <c r="D108" s="18" t="s">
        <v>391</v>
      </c>
      <c r="E108" s="8" t="s">
        <v>27</v>
      </c>
      <c r="F108" s="8" t="s">
        <v>392</v>
      </c>
      <c r="G108" s="14" cm="1" t="str">
        <f t="array" ref="G108">IF(F108="","",SUBSTITUTE(SUBSTITUTE(SUBSTITUTE(SUBSTITUTE(F108,"&lt;li&gt;",CHAR(10)),"&lt;/li&gt;",""),"&lt;br&gt;",CHAR(10)),"&lt;strong&gt;",""))</f>
        <v>&lt;p&gt;29/01/2025: COVEA FINANCE a investi 15M€ dans Weinberg, satisfait du rythme du fonds mais préoccupé par l'exit, croit à la thèse européenne. Nombreux fonds vus pour la Défense. Deck envoyé après déjeuner, relance effectuée, retour prospect neutre. Pas d'action future planifiée.&lt;/p&gt;</v>
      </c>
      <c r="H108" s="14" cm="1" t="str">
        <f t="array" ref="H108">IF(G108="","",SUBSTITUTE(SUBSTITUTE(SUBSTITUTE(SUBSTITUTE(SUBSTITUTE(G108,"&lt;p&gt;",""),"&lt;/p&gt;",""),"&lt;ul&gt;",""),"&lt;/ul&gt;",""),"&lt;/strong&gt;",""))</f>
        <v>29/01/2025: COVEA FINANCE a investi 15M€ dans Weinberg, satisfait du rythme du fonds mais préoccupé par l'exit, croit à la thèse européenne. Nombreux fonds vus pour la Défense. Deck envoyé après déjeuner, relance effectuée, retour prospect neutre. Pas d'action future planifiée.</v>
      </c>
      <c r="I108" s="15" cm="1" t="str">
        <f t="array" ref="I108">IF(C108="","",IF(OR(H108="",H108=0,H108=FALSE),"-",H108))</f>
        <v>29/01/2025: COVEA FINANCE a investi 15M€ dans Weinberg, satisfait du rythme du fonds mais préoccupé par l'exit, croit à la thèse européenne. Nombreux fonds vus pour la Défense. Deck envoyé après déjeuner, relance effectuée, retour prospect neutre. Pas d'action future planifiée.</v>
      </c>
      <c r="J108" s="8">
</c>
      <c r="K108" s="8" t="s">
        <v>45</v>
      </c>
      <c r="L108" s="9" cm="1" t="str">
        <f t="array" ref="L108">IF(C108="","",IF(K108="Mort / Plus rien à faire","KO","OK"))</f>
        <v>OK</v>
      </c>
      <c r="M108" s="19">
        <v>46064.51322916667</v>
      </c>
      <c r="N108" s="16" cm="1" t="n">
        <f t="array" ref="N108">IF(OR(C108="",M108="",M108=0),"",M108)</f>
        <v>46064.51322916667</v>
      </c>
      <c r="O108" s="19">
</c>
      <c r="P108" s="16" cm="1" t="str">
        <f t="array" ref="P108">IF(C108="","",IF(OR(O108="",O108=0),"-",O108))</f>
        <v>-</v>
      </c>
      <c r="Q108" s="20">
        <v>5000000</v>
      </c>
      <c r="R108" s="17" cm="1" t="str">
        <f t="array" ref="R108">IF(C108="","",ROUND(Q108/1000000,3)&amp;" M€")</f>
        <v>5 M€</v>
      </c>
      <c r="S108" s="18" t="s">
        <v>164</v>
      </c>
      <c r="T108" s="9" cm="1" t="str">
        <f t="array" ref="T108">IF(C108="","",SUBSTITUTE(S108,"","")&amp;"%")</f>
        <v>10%</v>
      </c>
      <c r="U108" s="15" cm="1" t="str">
        <f t="array" ref="U108">IF(($N108="")*($P108=""),"",IF(($N108&lt;&gt;"")*($N108&gt;TODAY()-9)*($N108&lt;TODAY()+1)*($P108&lt;&gt;"")*($P108&gt;=TODAY())*($P108&lt;=TODAY()+13),"Semaine passée &amp; à venir",IF(($N108&lt;&gt;"")*($N108&gt;TODAY()-9)*($N108&lt;TODAY()+1),"Semaine passée",IF(($P108&lt;&gt;"")*($P108&gt;=TODAY())*($P108&lt;=TODAY()+13),"À venir","Autre"))))</f>
        <v>Autre</v>
      </c>
      <c r="V108" s="8" cm="1" t="n">
        <f t="array" ref="V108">IF(C108&lt;&gt;"",1,0)</f>
        <v>1</v>
      </c>
      <c r="W108" s="8">
</c>
      <c r="X108" s="8">
</c>
      <c r="Y108" s="8">
</c>
      <c r="Z108" s="8">
</c>
      <c r="AA108" s="8">
</c>
      <c r="AB108" s="8">
</c>
      <c r="AC108" s="8">
</c>
      <c r="AD108" s="8">
</c>
      <c r="AE108" s="8">
</c>
      <c r="AF108" s="8">
</c>
      <c r="AG108" s="8">
</c>
      <c r="AH108" s="8">
</c>
      <c r="AI108" s="8">
</c>
      <c r="AJ108" s="8">
</c>
      <c r="AK108" s="8">
</c>
    </row>
    <row r="109" ht="76.5" customHeight="1">
      <c r="A109" s="8" t="s">
        <v>23</v>
      </c>
      <c r="B109" s="8">
</c>
      <c r="C109" s="12" t="s">
        <v>393</v>
      </c>
      <c r="D109" s="18" t="s">
        <v>394</v>
      </c>
      <c r="E109" s="8" t="s">
        <v>121</v>
      </c>
      <c r="F109" s="8" t="s">
        <v>395</v>
      </c>
      <c r="G109" s="14" cm="1" t="str">
        <f t="array" ref="G109">IF(F109="","",SUBSTITUTE(SUBSTITUTE(SUBSTITUTE(SUBSTITUTE(F109,"&lt;li&gt;",CHAR(10)),"&lt;/li&gt;",""),"&lt;br&gt;",CHAR(10)),"&lt;strong&gt;",""))</f>
        <v>&lt;p&gt;1er RDV Straton via fonds de fonds, instruction prévue avril 2026 (mandat ad hoc FRR). Bon lien Victoire, obstacles ratios, souhaitent TIBI 2 mais pas de parrainage possible (entité publique). Thèses compatibles mandats. Prochaine étape&amp;nbsp;: instruction fonds de fonds avril 2026. Prise de nouvelles planifiée.&lt;/p&gt;</v>
      </c>
      <c r="H109" s="14" cm="1" t="str">
        <f t="array" ref="H109">IF(G109="","",SUBSTITUTE(SUBSTITUTE(SUBSTITUTE(SUBSTITUTE(SUBSTITUTE(G109,"&lt;p&gt;",""),"&lt;/p&gt;",""),"&lt;ul&gt;",""),"&lt;/ul&gt;",""),"&lt;/strong&gt;",""))</f>
        <v>1er RDV Straton via fonds de fonds, instruction prévue avril 2026 (mandat ad hoc FRR). Bon lien Victoire, obstacles ratios, souhaitent TIBI 2 mais pas de parrainage possible (entité publique). Thèses compatibles mandats. Prochaine étape&amp;nbsp;: instruction fonds de fonds avril 2026. Prise de nouvelles planifiée.</v>
      </c>
      <c r="I109" s="15" cm="1" t="str">
        <f t="array" ref="I109">IF(C109="","",IF(OR(H109="",H109=0,H109=FALSE),"-",H109))</f>
        <v>1er RDV Straton via fonds de fonds, instruction prévue avril 2026 (mandat ad hoc FRR). Bon lien Victoire, obstacles ratios, souhaitent TIBI 2 mais pas de parrainage possible (entité publique). Thèses compatibles mandats. Prochaine étape&amp;nbsp;: instruction fonds de fonds avril 2026. Prise de nouvelles planifiée.</v>
      </c>
      <c r="J109" s="8" t="s">
        <v>396</v>
      </c>
      <c r="K109" s="8" t="s">
        <v>40</v>
      </c>
      <c r="L109" s="9" cm="1" t="str">
        <f t="array" ref="L109">IF(C109="","",IF(K109="Mort / Plus rien à faire","KO","OK"))</f>
        <v>OK</v>
      </c>
      <c r="M109" s="19">
        <v>46086.50136574074</v>
      </c>
      <c r="N109" s="16" cm="1" t="n">
        <f t="array" ref="N109">IF(OR(C109="",M109="",M109=0),"",M109)</f>
        <v>46086.50136574074</v>
      </c>
      <c r="O109" s="19">
</c>
      <c r="P109" s="16" cm="1" t="str">
        <f t="array" ref="P109">IF(C109="","",IF(OR(O109="",O109=0),"-",O109))</f>
        <v>-</v>
      </c>
      <c r="Q109" s="20">
        <v>0</v>
      </c>
      <c r="R109" s="17" cm="1" t="str">
        <f t="array" ref="R109">IF(C109="","",ROUND(Q109/1000000,3)&amp;" M€")</f>
        <v>0 M€</v>
      </c>
      <c r="S109" s="18" t="s">
        <v>164</v>
      </c>
      <c r="T109" s="9" cm="1" t="str">
        <f t="array" ref="T109">IF(C109="","",SUBSTITUTE(S109,"","")&amp;"%")</f>
        <v>10%</v>
      </c>
      <c r="U109" s="15" cm="1" t="str">
        <f t="array" ref="U109">IF(($N109="")*($P109=""),"",IF(($N109&lt;&gt;"")*($N109&gt;TODAY()-9)*($N109&lt;TODAY()+1)*($P109&lt;&gt;"")*($P109&gt;=TODAY())*($P109&lt;=TODAY()+13),"Semaine passée &amp; à venir",IF(($N109&lt;&gt;"")*($N109&gt;TODAY()-9)*($N109&lt;TODAY()+1),"Semaine passée",IF(($P109&lt;&gt;"")*($P109&gt;=TODAY())*($P109&lt;=TODAY()+13),"À venir","Autre"))))</f>
        <v>Autre</v>
      </c>
      <c r="V109" s="8" cm="1" t="n">
        <f t="array" ref="V109">IF(C109&lt;&gt;"",1,0)</f>
        <v>1</v>
      </c>
      <c r="W109" s="8">
</c>
      <c r="X109" s="8">
</c>
      <c r="Y109" s="8">
</c>
      <c r="Z109" s="8">
</c>
      <c r="AA109" s="8">
</c>
      <c r="AB109" s="8">
</c>
      <c r="AC109" s="8">
</c>
      <c r="AD109" s="8">
</c>
      <c r="AE109" s="8">
</c>
      <c r="AF109" s="8">
</c>
      <c r="AG109" s="8">
</c>
      <c r="AH109" s="8">
</c>
      <c r="AI109" s="8">
</c>
      <c r="AJ109" s="8">
</c>
      <c r="AK109" s="8">
</c>
    </row>
    <row r="110" ht="76.5" customHeight="1">
      <c r="A110" s="8" t="s">
        <v>23</v>
      </c>
      <c r="B110" s="8" t="s">
        <v>51</v>
      </c>
      <c r="C110" s="12" t="s">
        <v>397</v>
      </c>
      <c r="D110" s="18" t="s">
        <v>398</v>
      </c>
      <c r="E110" s="8" t="s">
        <v>54</v>
      </c>
      <c r="F110" s="8" t="s">
        <v>399</v>
      </c>
      <c r="G110" s="14" cm="1" t="str">
        <f t="array" ref="G110">IF(F110="","",SUBSTITUTE(SUBSTITUTE(SUBSTITUTE(SUBSTITUTE(F110,"&lt;li&gt;",CHAR(10)),"&lt;/li&gt;",""),"&lt;br&gt;",CHAR(10)),"&lt;strong&gt;",""))</f>
        <v>&lt;p&gt;Aucune activité menée sur le prospect. Un nouvelle piste a été créée pour l'équipe "Ventes". Aucun échange, action ou retour prospect enregistré depuis la création. Pas de suivi, pas de prochaines étapes identifiées, aucune interaction ou retour sur les fonds présentés.&lt;/p&gt;</v>
      </c>
      <c r="H110" s="14" cm="1" t="str">
        <f t="array" ref="H110">IF(G110="","",SUBSTITUTE(SUBSTITUTE(SUBSTITUTE(SUBSTITUTE(SUBSTITUTE(G110,"&lt;p&gt;",""),"&lt;/p&gt;",""),"&lt;ul&gt;",""),"&lt;/ul&gt;",""),"&lt;/strong&gt;",""))</f>
        <v>Aucune activité menée sur le prospect. Un nouvelle piste a été créée pour l'équipe "Ventes". Aucun échange, action ou retour prospect enregistré depuis la création. Pas de suivi, pas de prochaines étapes identifiées, aucune interaction ou retour sur les fonds présentés.</v>
      </c>
      <c r="I110" s="15" cm="1" t="str">
        <f t="array" ref="I110">IF(C110="","",IF(OR(H110="",H110=0,H110=FALSE),"-",H110))</f>
        <v>Aucune activité menée sur le prospect. Un nouvelle piste a été créée pour l'équipe "Ventes". Aucun échange, action ou retour prospect enregistré depuis la création. Pas de suivi, pas de prochaines étapes identifiées, aucune interaction ou retour sur les fonds présentés.</v>
      </c>
      <c r="J110" s="8">
</c>
      <c r="K110" s="8" t="s">
        <v>88</v>
      </c>
      <c r="L110" s="9" cm="1" t="str">
        <f t="array" ref="L110">IF(C110="","",IF(K110="Mort / Plus rien à faire","KO","OK"))</f>
        <v>OK</v>
      </c>
      <c r="M110" s="19">
        <v>46056.45413194445</v>
      </c>
      <c r="N110" s="16" cm="1" t="n">
        <f t="array" ref="N110">IF(OR(C110="",M110="",M110=0),"",M110)</f>
        <v>46056.45413194445</v>
      </c>
      <c r="O110" s="19">
</c>
      <c r="P110" s="16" cm="1" t="str">
        <f t="array" ref="P110">IF(C110="","",IF(OR(O110="",O110=0),"-",O110))</f>
        <v>-</v>
      </c>
      <c r="Q110" s="20">
        <v>1000000</v>
      </c>
      <c r="R110" s="17" cm="1" t="str">
        <f t="array" ref="R110">IF(C110="","",ROUND(Q110/1000000,3)&amp;" M€")</f>
        <v>1 M€</v>
      </c>
      <c r="S110" s="18" t="s">
        <v>164</v>
      </c>
      <c r="T110" s="9" cm="1" t="str">
        <f t="array" ref="T110">IF(C110="","",SUBSTITUTE(S110,"","")&amp;"%")</f>
        <v>10%</v>
      </c>
      <c r="U110" s="15" cm="1" t="str">
        <f t="array" ref="U110">IF(($N110="")*($P110=""),"",IF(($N110&lt;&gt;"")*($N110&gt;TODAY()-9)*($N110&lt;TODAY()+1)*($P110&lt;&gt;"")*($P110&gt;=TODAY())*($P110&lt;=TODAY()+13),"Semaine passée &amp; à venir",IF(($N110&lt;&gt;"")*($N110&gt;TODAY()-9)*($N110&lt;TODAY()+1),"Semaine passée",IF(($P110&lt;&gt;"")*($P110&gt;=TODAY())*($P110&lt;=TODAY()+13),"À venir","Autre"))))</f>
        <v>Autre</v>
      </c>
      <c r="V110" s="8" cm="1" t="n">
        <f t="array" ref="V110">IF(C110&lt;&gt;"",1,0)</f>
        <v>1</v>
      </c>
      <c r="W110" s="8">
</c>
      <c r="X110" s="8">
</c>
      <c r="Y110" s="8">
</c>
      <c r="Z110" s="8">
</c>
      <c r="AA110" s="8">
</c>
      <c r="AB110" s="8">
</c>
      <c r="AC110" s="8">
</c>
      <c r="AD110" s="8">
</c>
      <c r="AE110" s="8">
</c>
      <c r="AF110" s="8">
</c>
      <c r="AG110" s="8">
</c>
      <c r="AH110" s="8">
</c>
      <c r="AI110" s="8">
</c>
      <c r="AJ110" s="8">
</c>
      <c r="AK110" s="8">
</c>
    </row>
    <row r="111" ht="76.5" customHeight="1">
      <c r="A111" s="8" t="s">
        <v>23</v>
      </c>
      <c r="B111" s="8" t="s">
        <v>107</v>
      </c>
      <c r="C111" s="12" t="s">
        <v>400</v>
      </c>
      <c r="D111" s="18" t="s">
        <v>401</v>
      </c>
      <c r="E111" s="8" t="s">
        <v>27</v>
      </c>
      <c r="F111" s="8" t="s">
        <v>402</v>
      </c>
      <c r="G111" s="14" cm="1" t="str">
        <f t="array" ref="G111">IF(F111="","",SUBSTITUTE(SUBSTITUTE(SUBSTITUTE(SUBSTITUTE(F111,"&lt;li&gt;",CHAR(10)),"&lt;/li&gt;",""),"&lt;br&gt;",CHAR(10)),"&lt;strong&gt;",""))</f>
        <v>&lt;p&gt;RDV à prendre avec DGD Bruno Pain, car Delphine Kerabuam ne couvre que le LCR, le non coté géré en direct par DGD. Demande de RDV faite, relance effectuée le 19/03/2026. Attente retour DGD. Pas de retour prospect sur fonds présentés à ce stade. Prochaine étape&amp;nbsp;: obtenir RDV DGD.&lt;/p&gt;</v>
      </c>
      <c r="H111" s="14" cm="1" t="str">
        <f t="array" ref="H111">IF(G111="","",SUBSTITUTE(SUBSTITUTE(SUBSTITUTE(SUBSTITUTE(SUBSTITUTE(G111,"&lt;p&gt;",""),"&lt;/p&gt;",""),"&lt;ul&gt;",""),"&lt;/ul&gt;",""),"&lt;/strong&gt;",""))</f>
        <v>RDV à prendre avec DGD Bruno Pain, car Delphine Kerabuam ne couvre que le LCR, le non coté géré en direct par DGD. Demande de RDV faite, relance effectuée le 19/03/2026. Attente retour DGD. Pas de retour prospect sur fonds présentés à ce stade. Prochaine étape&amp;nbsp;: obtenir RDV DGD.</v>
      </c>
      <c r="I111" s="15" cm="1" t="str">
        <f t="array" ref="I111">IF(C111="","",IF(OR(H111="",H111=0,H111=FALSE),"-",H111))</f>
        <v>RDV à prendre avec DGD Bruno Pain, car Delphine Kerabuam ne couvre que le LCR, le non coté géré en direct par DGD. Demande de RDV faite, relance effectuée le 19/03/2026. Attente retour DGD. Pas de retour prospect sur fonds présentés à ce stade. Prochaine étape&amp;nbsp;: obtenir RDV DGD.</v>
      </c>
      <c r="J111" s="8" t="s">
        <v>308</v>
      </c>
      <c r="K111" s="8" t="s">
        <v>40</v>
      </c>
      <c r="L111" s="9" cm="1" t="str">
        <f t="array" ref="L111">IF(C111="","",IF(K111="Mort / Plus rien à faire","KO","OK"))</f>
        <v>OK</v>
      </c>
      <c r="M111" s="19">
        <v>46094.506064814814</v>
      </c>
      <c r="N111" s="16" cm="1" t="n">
        <f t="array" ref="N111">IF(OR(C111="",M111="",M111=0),"",M111)</f>
        <v>46094.506064814814</v>
      </c>
      <c r="O111" s="19">
</c>
      <c r="P111" s="16" cm="1" t="str">
        <f t="array" ref="P111">IF(C111="","",IF(OR(O111="",O111=0),"-",O111))</f>
        <v>-</v>
      </c>
      <c r="Q111" s="20">
        <v>0</v>
      </c>
      <c r="R111" s="17" cm="1" t="str">
        <f t="array" ref="R111">IF(C111="","",ROUND(Q111/1000000,3)&amp;" M€")</f>
        <v>0 M€</v>
      </c>
      <c r="S111" s="18" t="s">
        <v>164</v>
      </c>
      <c r="T111" s="9" cm="1" t="str">
        <f t="array" ref="T111">IF(C111="","",SUBSTITUTE(S111,"","")&amp;"%")</f>
        <v>10%</v>
      </c>
      <c r="U111" s="15" cm="1" t="str">
        <f t="array" ref="U111">IF(($N111="")*($P111=""),"",IF(($N111&lt;&gt;"")*($N111&gt;TODAY()-9)*($N111&lt;TODAY()+1)*($P111&lt;&gt;"")*($P111&gt;=TODAY())*($P111&lt;=TODAY()+13),"Semaine passée &amp; à venir",IF(($N111&lt;&gt;"")*($N111&gt;TODAY()-9)*($N111&lt;TODAY()+1),"Semaine passée",IF(($P111&lt;&gt;"")*($P111&gt;=TODAY())*($P111&lt;=TODAY()+13),"À venir","Autre"))))</f>
        <v>Autre</v>
      </c>
      <c r="V111" s="8" cm="1" t="n">
        <f t="array" ref="V111">IF(C111&lt;&gt;"",1,0)</f>
        <v>1</v>
      </c>
      <c r="W111" s="8">
</c>
      <c r="X111" s="8">
</c>
      <c r="Y111" s="8">
</c>
      <c r="Z111" s="8">
</c>
      <c r="AA111" s="8">
</c>
      <c r="AB111" s="8">
</c>
      <c r="AC111" s="8">
</c>
      <c r="AD111" s="8">
</c>
      <c r="AE111" s="8">
</c>
      <c r="AF111" s="8">
</c>
      <c r="AG111" s="8">
</c>
      <c r="AH111" s="8">
</c>
      <c r="AI111" s="8">
</c>
      <c r="AJ111" s="8">
</c>
      <c r="AK111" s="8">
</c>
    </row>
    <row r="112" ht="76.5" customHeight="1">
      <c r="A112" s="8" t="s">
        <v>23</v>
      </c>
      <c r="B112" s="8" t="s">
        <v>107</v>
      </c>
      <c r="C112" s="12" t="s">
        <v>403</v>
      </c>
      <c r="D112" s="18" t="s">
        <v>404</v>
      </c>
      <c r="E112" s="8" t="s">
        <v>27</v>
      </c>
      <c r="F112" s="8" t="s">
        <v>405</v>
      </c>
      <c r="G112" s="14" cm="1" t="str">
        <f t="array" ref="G112">IF(F112="","",SUBSTITUTE(SUBSTITUTE(SUBSTITUTE(SUBSTITUTE(F112,"&lt;li&gt;",CHAR(10)),"&lt;/li&gt;",""),"&lt;br&gt;",CHAR(10)),"&lt;strong&gt;",""))</f>
        <v>&lt;p&gt;RDV physique 23/01/2026 avec CAISSE D'EPARGNE ET DE PREVOYANCE HAUTS DE FRANCE. Entreprise BCorp, aucun intérêt pour la défense. Seule piste possible : fonds de fonds capdev et Tourisme. Pas d'autres actions ou prochaines étapes mentionnées. Nouvelle piste créée équipe Ventes.&lt;/p&gt;</v>
      </c>
      <c r="H112" s="14" cm="1" t="str">
        <f t="array" ref="H112">IF(G112="","",SUBSTITUTE(SUBSTITUTE(SUBSTITUTE(SUBSTITUTE(SUBSTITUTE(G112,"&lt;p&gt;",""),"&lt;/p&gt;",""),"&lt;ul&gt;",""),"&lt;/ul&gt;",""),"&lt;/strong&gt;",""))</f>
        <v>RDV physique 23/01/2026 avec CAISSE D'EPARGNE ET DE PREVOYANCE HAUTS DE FRANCE. Entreprise BCorp, aucun intérêt pour la défense. Seule piste possible : fonds de fonds capdev et Tourisme. Pas d'autres actions ou prochaines étapes mentionnées. Nouvelle piste créée équipe Ventes.</v>
      </c>
      <c r="I112" s="15" cm="1" t="str">
        <f t="array" ref="I112">IF(C112="","",IF(OR(H112="",H112=0,H112=FALSE),"-",H112))</f>
        <v>RDV physique 23/01/2026 avec CAISSE D'EPARGNE ET DE PREVOYANCE HAUTS DE FRANCE. Entreprise BCorp, aucun intérêt pour la défense. Seule piste possible : fonds de fonds capdev et Tourisme. Pas d'autres actions ou prochaines étapes mentionnées. Nouvelle piste créée équipe Ventes.</v>
      </c>
      <c r="J112" s="8" t="s">
        <v>406</v>
      </c>
      <c r="K112" s="8" t="s">
        <v>407</v>
      </c>
      <c r="L112" s="9" cm="1" t="str">
        <f t="array" ref="L112">IF(C112="","",IF(K112="Mort / Plus rien à faire","KO","OK"))</f>
        <v>KO</v>
      </c>
      <c r="M112" s="19">
        <v>46071.47336805556</v>
      </c>
      <c r="N112" s="16" cm="1" t="n">
        <f t="array" ref="N112">IF(OR(C112="",M112="",M112=0),"",M112)</f>
        <v>46071.47336805556</v>
      </c>
      <c r="O112" s="19">
        <v>46391.041666666664</v>
      </c>
      <c r="P112" s="16" cm="1" t="n">
        <f t="array" ref="P112">IF(C112="","",IF(OR(O112="",O112=0),"-",O112))</f>
        <v>46391.041666666664</v>
      </c>
      <c r="Q112" s="20">
        <v>1000000</v>
      </c>
      <c r="R112" s="17" cm="1" t="str">
        <f t="array" ref="R112">IF(C112="","",ROUND(Q112/1000000,3)&amp;" M€")</f>
        <v>1 M€</v>
      </c>
      <c r="S112" s="18" t="s">
        <v>408</v>
      </c>
      <c r="T112" s="9" cm="1" t="str">
        <f t="array" ref="T112">IF(C112="","",SUBSTITUTE(S112,"","")&amp;"%")</f>
        <v>0%</v>
      </c>
      <c r="U112" s="15" cm="1" t="str">
        <f t="array" ref="U112">IF(($N112="")*($P112=""),"",IF(($N112&lt;&gt;"")*($N112&gt;TODAY()-9)*($N112&lt;TODAY()+1)*($P112&lt;&gt;"")*($P112&gt;=TODAY())*($P112&lt;=TODAY()+13),"Semaine passée &amp; à venir",IF(($N112&lt;&gt;"")*($N112&gt;TODAY()-9)*($N112&lt;TODAY()+1),"Semaine passée",IF(($P112&lt;&gt;"")*($P112&gt;=TODAY())*($P112&lt;=TODAY()+13),"À venir","Autre"))))</f>
        <v>Autre</v>
      </c>
      <c r="V112" s="8" cm="1" t="n">
        <f t="array" ref="V112">IF(C112&lt;&gt;"",1,0)</f>
        <v>1</v>
      </c>
      <c r="W112" s="8">
</c>
      <c r="X112" s="8">
</c>
      <c r="Y112" s="8">
</c>
      <c r="Z112" s="8">
</c>
      <c r="AA112" s="8">
</c>
      <c r="AB112" s="8">
</c>
      <c r="AC112" s="8">
</c>
      <c r="AD112" s="8">
</c>
      <c r="AE112" s="8">
</c>
      <c r="AF112" s="8">
</c>
      <c r="AG112" s="8">
</c>
      <c r="AH112" s="8">
</c>
      <c r="AI112" s="8">
</c>
      <c r="AJ112" s="8">
</c>
      <c r="AK112" s="8">
</c>
    </row>
    <row r="113" ht="76.5" customHeight="1">
      <c r="A113" s="8" t="s">
        <v>23</v>
      </c>
      <c r="B113" s="8" t="s">
        <v>107</v>
      </c>
      <c r="C113" s="12" t="s">
        <v>409</v>
      </c>
      <c r="D113" s="18" t="s">
        <v>410</v>
      </c>
      <c r="E113" s="8" t="s">
        <v>27</v>
      </c>
      <c r="F113" s="8" t="s">
        <v>411</v>
      </c>
      <c r="G113" s="14" cm="1" t="str">
        <f t="array" ref="G113">IF(F113="","",SUBSTITUTE(SUBSTITUTE(SUBSTITUTE(SUBSTITUTE(F113,"&lt;li&gt;",CHAR(10)),"&lt;/li&gt;",""),"&lt;br&gt;",CHAR(10)),"&lt;strong&gt;",""))</f>
        <v>&lt;p&gt;Ouverture Data Room 10/02/26. Présentation fonds Défense Straton, due diligence menée. Commission placements AGRICA (12/03/25) avis défavorable : fonds trop orienté défense, taille jugée insuffisante. AGRICA confirme fin mars : dossier fermé, priorité agroalimentaire. Pas d'étape à venir.&lt;/p&gt;</v>
      </c>
      <c r="H113" s="14" cm="1" t="str">
        <f t="array" ref="H113">IF(G113="","",SUBSTITUTE(SUBSTITUTE(SUBSTITUTE(SUBSTITUTE(SUBSTITUTE(G113,"&lt;p&gt;",""),"&lt;/p&gt;",""),"&lt;ul&gt;",""),"&lt;/ul&gt;",""),"&lt;/strong&gt;",""))</f>
        <v>Ouverture Data Room 10/02/26. Présentation fonds Défense Straton, due diligence menée. Commission placements AGRICA (12/03/25) avis défavorable : fonds trop orienté défense, taille jugée insuffisante. AGRICA confirme fin mars : dossier fermé, priorité agroalimentaire. Pas d'étape à venir.</v>
      </c>
      <c r="I113" s="15" cm="1" t="str">
        <f t="array" ref="I113">IF(C113="","",IF(OR(H113="",H113=0,H113=FALSE),"-",H113))</f>
        <v>Ouverture Data Room 10/02/26. Présentation fonds Défense Straton, due diligence menée. Commission placements AGRICA (12/03/25) avis défavorable : fonds trop orienté défense, taille jugée insuffisante. AGRICA confirme fin mars : dossier fermé, priorité agroalimentaire. Pas d'étape à venir.</v>
      </c>
      <c r="J113" s="8">
</c>
      <c r="K113" s="8" t="s">
        <v>407</v>
      </c>
      <c r="L113" s="9" cm="1" t="str">
        <f t="array" ref="L113">IF(C113="","",IF(K113="Mort / Plus rien à faire","KO","OK"))</f>
        <v>KO</v>
      </c>
      <c r="M113" s="19">
        <v>46114.57148148148</v>
      </c>
      <c r="N113" s="16" cm="1" t="n">
        <f t="array" ref="N113">IF(OR(C113="",M113="",M113=0),"",M113)</f>
        <v>46114.57148148148</v>
      </c>
      <c r="O113" s="19">
</c>
      <c r="P113" s="16" cm="1" t="str">
        <f t="array" ref="P113">IF(C113="","",IF(OR(O113="",O113=0),"-",O113))</f>
        <v>-</v>
      </c>
      <c r="Q113" s="20">
        <v>10000000</v>
      </c>
      <c r="R113" s="17" cm="1" t="str">
        <f t="array" ref="R113">IF(C113="","",ROUND(Q113/1000000,3)&amp;" M€")</f>
        <v>10 M€</v>
      </c>
      <c r="S113" s="18" t="s">
        <v>408</v>
      </c>
      <c r="T113" s="9" cm="1" t="str">
        <f t="array" ref="T113">IF(C113="","",SUBSTITUTE(S113,"","")&amp;"%")</f>
        <v>0%</v>
      </c>
      <c r="U113" s="15" cm="1" t="str">
        <f t="array" ref="U113">IF(($N113="")*($P113=""),"",IF(($N113&lt;&gt;"")*($N113&gt;TODAY()-9)*($N113&lt;TODAY()+1)*($P113&lt;&gt;"")*($P113&gt;=TODAY())*($P113&lt;=TODAY()+13),"Semaine passée &amp; à venir",IF(($N113&lt;&gt;"")*($N113&gt;TODAY()-9)*($N113&lt;TODAY()+1),"Semaine passée",IF(($P113&lt;&gt;"")*($P113&gt;=TODAY())*($P113&lt;=TODAY()+13),"À venir","Autre"))))</f>
        <v>Semaine passée</v>
      </c>
      <c r="V113" s="8" cm="1" t="n">
        <f t="array" ref="V113">IF(C113&lt;&gt;"",1,0)</f>
        <v>1</v>
      </c>
      <c r="W113" s="8">
</c>
      <c r="X113" s="8">
</c>
      <c r="Y113" s="8">
</c>
      <c r="Z113" s="8">
</c>
      <c r="AA113" s="8">
</c>
      <c r="AB113" s="8">
</c>
      <c r="AC113" s="8">
</c>
      <c r="AD113" s="8">
</c>
      <c r="AE113" s="8">
</c>
      <c r="AF113" s="8">
</c>
      <c r="AG113" s="8">
</c>
      <c r="AH113" s="8">
</c>
      <c r="AI113" s="8">
</c>
      <c r="AJ113" s="8">
</c>
      <c r="AK113" s="8">
</c>
    </row>
    <row r="114" ht="76.5" customHeight="1">
      <c r="A114" s="8" t="s">
        <v>23</v>
      </c>
      <c r="B114" s="8" t="s">
        <v>32</v>
      </c>
      <c r="C114" s="12" t="s">
        <v>412</v>
      </c>
      <c r="D114" s="18" t="s">
        <v>413</v>
      </c>
      <c r="E114" s="8" t="s">
        <v>27</v>
      </c>
      <c r="F114" s="8" t="s">
        <v>414</v>
      </c>
      <c r="G114" s="14" cm="1" t="str">
        <f t="array" ref="G114">IF(F114="","",SUBSTITUTE(SUBSTITUTE(SUBSTITUTE(SUBSTITUTE(F114,"&lt;li&gt;",CHAR(10)),"&lt;/li&gt;",""),"&lt;br&gt;",CHAR(10)),"&lt;strong&gt;",""))</f>
        <v>&lt;p&gt;RDV physique 19/02/2026 avec Trisan Touzilier, point méthodo, suivi à faire sur chantier Luxembourgeois. Dernière activité : pas de nouvelle action, discussion sur taille du fond, % d'emprise fonds/clients. Pas de feedback prospect sur fonds. Prochaine étape non précisée.&lt;/p&gt;</v>
      </c>
      <c r="H114" s="14" cm="1" t="str">
        <f t="array" ref="H114">IF(G114="","",SUBSTITUTE(SUBSTITUTE(SUBSTITUTE(SUBSTITUTE(SUBSTITUTE(G114,"&lt;p&gt;",""),"&lt;/p&gt;",""),"&lt;ul&gt;",""),"&lt;/ul&gt;",""),"&lt;/strong&gt;",""))</f>
        <v>RDV physique 19/02/2026 avec Trisan Touzilier, point méthodo, suivi à faire sur chantier Luxembourgeois. Dernière activité : pas de nouvelle action, discussion sur taille du fond, % d'emprise fonds/clients. Pas de feedback prospect sur fonds. Prochaine étape non précisée.</v>
      </c>
      <c r="I114" s="15" cm="1" t="str">
        <f t="array" ref="I114">IF(C114="","",IF(OR(H114="",H114=0,H114=FALSE),"-",H114))</f>
        <v>RDV physique 19/02/2026 avec Trisan Touzilier, point méthodo, suivi à faire sur chantier Luxembourgeois. Dernière activité : pas de nouvelle action, discussion sur taille du fond, % d'emprise fonds/clients. Pas de feedback prospect sur fonds. Prochaine étape non précisée.</v>
      </c>
      <c r="J114" s="8">
</c>
      <c r="K114" s="8" t="s">
        <v>407</v>
      </c>
      <c r="L114" s="9" cm="1" t="str">
        <f t="array" ref="L114">IF(C114="","",IF(K114="Mort / Plus rien à faire","KO","OK"))</f>
        <v>KO</v>
      </c>
      <c r="M114" s="19">
        <v>46090.66746527778</v>
      </c>
      <c r="N114" s="16" cm="1" t="n">
        <f t="array" ref="N114">IF(OR(C114="",M114="",M114=0),"",M114)</f>
        <v>46090.66746527778</v>
      </c>
      <c r="O114" s="19">
</c>
      <c r="P114" s="16" cm="1" t="str">
        <f t="array" ref="P114">IF(C114="","",IF(OR(O114="",O114=0),"-",O114))</f>
        <v>-</v>
      </c>
      <c r="Q114" s="20">
        <v>0</v>
      </c>
      <c r="R114" s="17" cm="1" t="str">
        <f t="array" ref="R114">IF(C114="","",ROUND(Q114/1000000,3)&amp;" M€")</f>
        <v>0 M€</v>
      </c>
      <c r="S114" s="18" t="s">
        <v>408</v>
      </c>
      <c r="T114" s="9" cm="1" t="str">
        <f t="array" ref="T114">IF(C114="","",SUBSTITUTE(S114,"","")&amp;"%")</f>
        <v>0%</v>
      </c>
      <c r="U114" s="15" cm="1" t="str">
        <f t="array" ref="U114">IF(($N114="")*($P114=""),"",IF(($N114&lt;&gt;"")*($N114&gt;TODAY()-9)*($N114&lt;TODAY()+1)*($P114&lt;&gt;"")*($P114&gt;=TODAY())*($P114&lt;=TODAY()+13),"Semaine passée &amp; à venir",IF(($N114&lt;&gt;"")*($N114&gt;TODAY()-9)*($N114&lt;TODAY()+1),"Semaine passée",IF(($P114&lt;&gt;"")*($P114&gt;=TODAY())*($P114&lt;=TODAY()+13),"À venir","Autre"))))</f>
        <v>Autre</v>
      </c>
      <c r="V114" s="8" cm="1" t="n">
        <f t="array" ref="V114">IF(C114&lt;&gt;"",1,0)</f>
        <v>1</v>
      </c>
      <c r="W114" s="8">
</c>
      <c r="X114" s="8">
</c>
      <c r="Y114" s="8">
</c>
      <c r="Z114" s="8">
</c>
      <c r="AA114" s="8">
</c>
      <c r="AB114" s="8">
</c>
      <c r="AC114" s="8">
</c>
      <c r="AD114" s="8">
</c>
      <c r="AE114" s="8">
</c>
      <c r="AF114" s="8">
</c>
      <c r="AG114" s="8">
</c>
      <c r="AH114" s="8">
</c>
      <c r="AI114" s="8">
</c>
      <c r="AJ114" s="8">
</c>
      <c r="AK114" s="8">
</c>
    </row>
    <row r="115" ht="76.5" customHeight="1">
      <c r="A115" s="8" t="s">
        <v>23</v>
      </c>
      <c r="B115" s="8" t="s">
        <v>32</v>
      </c>
      <c r="C115" s="12" t="s">
        <v>415</v>
      </c>
      <c r="D115" s="18" t="s">
        <v>416</v>
      </c>
      <c r="E115" s="8" t="s">
        <v>27</v>
      </c>
      <c r="F115" s="8" t="s">
        <v>417</v>
      </c>
      <c r="G115" s="14" cm="1" t="str">
        <f t="array" ref="G115">IF(F115="","",SUBSTITUTE(SUBSTITUTE(SUBSTITUTE(SUBSTITUTE(F115,"&lt;li&gt;",CHAR(10)),"&lt;/li&gt;",""),"&lt;br&gt;",CHAR(10)),"&lt;strong&gt;",""))</f>
        <v>&lt;p&gt;Intro et demande formelle bien reçue. RDV présentation sollicité avec Colonel Eric Philippe (Union des Blessés de la Face et de la Tête) le 30/01. Avancée avec Cedrus Partners, toute relation asset manager analysée par eux. Relance faite, plus de réponse. Prochaine étape : relance d'intérêt.&lt;/p&gt;</v>
      </c>
      <c r="H115" s="14" cm="1" t="str">
        <f t="array" ref="H115">IF(G115="","",SUBSTITUTE(SUBSTITUTE(SUBSTITUTE(SUBSTITUTE(SUBSTITUTE(G115,"&lt;p&gt;",""),"&lt;/p&gt;",""),"&lt;ul&gt;",""),"&lt;/ul&gt;",""),"&lt;/strong&gt;",""))</f>
        <v>Intro et demande formelle bien reçue. RDV présentation sollicité avec Colonel Eric Philippe (Union des Blessés de la Face et de la Tête) le 30/01. Avancée avec Cedrus Partners, toute relation asset manager analysée par eux. Relance faite, plus de réponse. Prochaine étape : relance d'intérêt.</v>
      </c>
      <c r="I115" s="15" cm="1" t="str">
        <f t="array" ref="I115">IF(C115="","",IF(OR(H115="",H115=0,H115=FALSE),"-",H115))</f>
        <v>Intro et demande formelle bien reçue. RDV présentation sollicité avec Colonel Eric Philippe (Union des Blessés de la Face et de la Tête) le 30/01. Avancée avec Cedrus Partners, toute relation asset manager analysée par eux. Relance faite, plus de réponse. Prochaine étape : relance d'intérêt.</v>
      </c>
      <c r="J115" s="8" t="s">
        <v>418</v>
      </c>
      <c r="K115" s="8" t="s">
        <v>326</v>
      </c>
      <c r="L115" s="9" cm="1" t="str">
        <f t="array" ref="L115">IF(C115="","",IF(K115="Mort / Plus rien à faire","KO","OK"))</f>
        <v>OK</v>
      </c>
      <c r="M115" s="19">
        <v>46114.71256944445</v>
      </c>
      <c r="N115" s="16" cm="1" t="n">
        <f t="array" ref="N115">IF(OR(C115="",M115="",M115=0),"",M115)</f>
        <v>46114.71256944445</v>
      </c>
      <c r="O115" s="19">
        <v>46122.083333333336</v>
      </c>
      <c r="P115" s="16" cm="1" t="n">
        <f t="array" ref="P115">IF(C115="","",IF(OR(O115="",O115=0),"-",O115))</f>
        <v>46122.083333333336</v>
      </c>
      <c r="Q115" s="20">
        <v>1000000</v>
      </c>
      <c r="R115" s="17" cm="1" t="str">
        <f t="array" ref="R115">IF(C115="","",ROUND(Q115/1000000,3)&amp;" M€")</f>
        <v>1 M€</v>
      </c>
      <c r="S115" s="18" t="s">
        <v>408</v>
      </c>
      <c r="T115" s="9" cm="1" t="str">
        <f t="array" ref="T115">IF(C115="","",SUBSTITUTE(S115,"","")&amp;"%")</f>
        <v>0%</v>
      </c>
      <c r="U115" s="15" cm="1" t="str">
        <f t="array" ref="U115">IF(($N115="")*($P115=""),"",IF(($N115&lt;&gt;"")*($N115&gt;TODAY()-9)*($N115&lt;TODAY()+1)*($P115&lt;&gt;"")*($P115&gt;=TODAY())*($P115&lt;=TODAY()+13),"Semaine passée &amp; à venir",IF(($N115&lt;&gt;"")*($N115&gt;TODAY()-9)*($N115&lt;TODAY()+1),"Semaine passée",IF(($P115&lt;&gt;"")*($P115&gt;=TODAY())*($P115&lt;=TODAY()+13),"À venir","Autre"))))</f>
        <v>Semaine passée &amp; à venir</v>
      </c>
      <c r="V115" s="8" cm="1" t="n">
        <f t="array" ref="V115">IF(C115&lt;&gt;"",1,0)</f>
        <v>1</v>
      </c>
      <c r="W115" s="8">
</c>
      <c r="X115" s="8">
</c>
      <c r="Y115" s="8">
</c>
      <c r="Z115" s="8">
</c>
      <c r="AA115" s="8">
</c>
      <c r="AB115" s="8">
</c>
      <c r="AC115" s="8">
</c>
      <c r="AD115" s="8">
</c>
      <c r="AE115" s="8">
</c>
      <c r="AF115" s="8">
</c>
      <c r="AG115" s="8">
</c>
      <c r="AH115" s="8">
</c>
      <c r="AI115" s="8">
</c>
      <c r="AJ115" s="8">
</c>
      <c r="AK115" s="8">
</c>
    </row>
    <row r="116" ht="76.5" customHeight="1">
      <c r="A116" s="8" t="s">
        <v>23</v>
      </c>
      <c r="B116" s="8" t="s">
        <v>36</v>
      </c>
      <c r="C116" s="12" t="s">
        <v>419</v>
      </c>
      <c r="D116" s="18" t="s">
        <v>419</v>
      </c>
      <c r="E116" s="8" t="s">
        <v>27</v>
      </c>
      <c r="F116" s="8" t="s">
        <v>420</v>
      </c>
      <c r="G116" s="14" cm="1" t="str">
        <f t="array" ref="G116">IF(F116="","",SUBSTITUTE(SUBSTITUTE(SUBSTITUTE(SUBSTITUTE(F116,"&lt;li&gt;",CHAR(10)),"&lt;/li&gt;",""),"&lt;br&gt;",CHAR(10)),"&lt;strong&gt;",""))</f>
        <v>&lt;p&gt;Aucune activité menée sur le prospect. Nouvelle piste créée pour l'équipe Ventes par Romain Andrieu. Aucun échange, action ou retour prospect enregistré à ce jour. Pas de prochaine étape planifiée ni d'information sur l'origine ou le contexte de la piste.&lt;/p&gt;</v>
      </c>
      <c r="H116" s="14" cm="1" t="str">
        <f t="array" ref="H116">IF(G116="","",SUBSTITUTE(SUBSTITUTE(SUBSTITUTE(SUBSTITUTE(SUBSTITUTE(G116,"&lt;p&gt;",""),"&lt;/p&gt;",""),"&lt;ul&gt;",""),"&lt;/ul&gt;",""),"&lt;/strong&gt;",""))</f>
        <v>Aucune activité menée sur le prospect. Nouvelle piste créée pour l'équipe Ventes par Romain Andrieu. Aucun échange, action ou retour prospect enregistré à ce jour. Pas de prochaine étape planifiée ni d'information sur l'origine ou le contexte de la piste.</v>
      </c>
      <c r="I116" s="15" cm="1" t="str">
        <f t="array" ref="I116">IF(C116="","",IF(OR(H116="",H116=0,H116=FALSE),"-",H116))</f>
        <v>Aucune activité menée sur le prospect. Nouvelle piste créée pour l'équipe Ventes par Romain Andrieu. Aucun échange, action ou retour prospect enregistré à ce jour. Pas de prochaine étape planifiée ni d'information sur l'origine ou le contexte de la piste.</v>
      </c>
      <c r="J116" s="8">
</c>
      <c r="K116" s="8" t="s">
        <v>40</v>
      </c>
      <c r="L116" s="9" cm="1" t="str">
        <f t="array" ref="L116">IF(C116="","",IF(K116="Mort / Plus rien à faire","KO","OK"))</f>
        <v>OK</v>
      </c>
      <c r="M116" s="19">
        <v>46090.807974537034</v>
      </c>
      <c r="N116" s="16" cm="1" t="n">
        <f t="array" ref="N116">IF(OR(C116="",M116="",M116=0),"",M116)</f>
        <v>46090.807974537034</v>
      </c>
      <c r="O116" s="19">
</c>
      <c r="P116" s="16" cm="1" t="str">
        <f t="array" ref="P116">IF(C116="","",IF(OR(O116="",O116=0),"-",O116))</f>
        <v>-</v>
      </c>
      <c r="Q116" s="20">
        <v>100000</v>
      </c>
      <c r="R116" s="17" cm="1" t="str">
        <f t="array" ref="R116">IF(C116="","",ROUND(Q116/1000000,3)&amp;" M€")</f>
        <v>0.1 M€</v>
      </c>
      <c r="S116" s="18" t="s">
        <v>408</v>
      </c>
      <c r="T116" s="9" cm="1" t="str">
        <f t="array" ref="T116">IF(C116="","",SUBSTITUTE(S116,"","")&amp;"%")</f>
        <v>0%</v>
      </c>
      <c r="U116" s="15" cm="1" t="str">
        <f t="array" ref="U116">IF(($N116="")*($P116=""),"",IF(($N116&lt;&gt;"")*($N116&gt;TODAY()-9)*($N116&lt;TODAY()+1)*($P116&lt;&gt;"")*($P116&gt;=TODAY())*($P116&lt;=TODAY()+13),"Semaine passée &amp; à venir",IF(($N116&lt;&gt;"")*($N116&gt;TODAY()-9)*($N116&lt;TODAY()+1),"Semaine passée",IF(($P116&lt;&gt;"")*($P116&gt;=TODAY())*($P116&lt;=TODAY()+13),"À venir","Autre"))))</f>
        <v>Autre</v>
      </c>
      <c r="V116" s="8" cm="1" t="n">
        <f t="array" ref="V116">IF(C116&lt;&gt;"",1,0)</f>
        <v>1</v>
      </c>
      <c r="W116" s="8">
</c>
      <c r="X116" s="8">
</c>
      <c r="Y116" s="8">
</c>
      <c r="Z116" s="8">
</c>
      <c r="AA116" s="8">
</c>
      <c r="AB116" s="8">
</c>
      <c r="AC116" s="8">
</c>
      <c r="AD116" s="8">
</c>
      <c r="AE116" s="8">
</c>
      <c r="AF116" s="8">
</c>
      <c r="AG116" s="8">
</c>
      <c r="AH116" s="8">
</c>
      <c r="AI116" s="8">
</c>
      <c r="AJ116" s="8">
</c>
      <c r="AK116" s="8">
</c>
    </row>
    <row r="117" ht="76.5" customHeight="1">
      <c r="A117" s="8" t="s">
        <v>23</v>
      </c>
      <c r="B117" s="8" t="s">
        <v>244</v>
      </c>
      <c r="C117" s="12" t="s">
        <v>421</v>
      </c>
      <c r="D117" s="18" t="s">
        <v>422</v>
      </c>
      <c r="E117" s="8" t="s">
        <v>27</v>
      </c>
      <c r="F117" s="8" t="s">
        <v>423</v>
      </c>
      <c r="G117" s="14" cm="1" t="str">
        <f t="array" ref="G117">IF(F117="","",SUBSTITUTE(SUBSTITUTE(SUBSTITUTE(SUBSTITUTE(F117,"&lt;li&gt;",CHAR(10)),"&lt;/li&gt;",""),"&lt;br&gt;",CHAR(10)),"&lt;strong&gt;",""))</f>
        <v>&lt;p&gt;RDV physique STRATON &amp;lt;&amp;gt; Mecenat Doctorant réalisé, conseil dealflow/fonds, financement Doctorat validé, introduction France Mutualiste faite. Pas d'action de levée à ce stade. Prochaine étape non précisée, suivi en attente d'évolution ou nouvelles actions.&lt;/p&gt;</v>
      </c>
      <c r="H117" s="14" cm="1" t="str">
        <f t="array" ref="H117">IF(G117="","",SUBSTITUTE(SUBSTITUTE(SUBSTITUTE(SUBSTITUTE(SUBSTITUTE(G117,"&lt;p&gt;",""),"&lt;/p&gt;",""),"&lt;ul&gt;",""),"&lt;/ul&gt;",""),"&lt;/strong&gt;",""))</f>
        <v>RDV physique STRATON &amp;lt;&amp;gt; Mecenat Doctorant réalisé, conseil dealflow/fonds, financement Doctorat validé, introduction France Mutualiste faite. Pas d'action de levée à ce stade. Prochaine étape non précisée, suivi en attente d'évolution ou nouvelles actions.</v>
      </c>
      <c r="I117" s="15" cm="1" t="str">
        <f t="array" ref="I117">IF(C117="","",IF(OR(H117="",H117=0,H117=FALSE),"-",H117))</f>
        <v>RDV physique STRATON &amp;lt;&amp;gt; Mecenat Doctorant réalisé, conseil dealflow/fonds, financement Doctorat validé, introduction France Mutualiste faite. Pas d'action de levée à ce stade. Prochaine étape non précisée, suivi en attente d'évolution ou nouvelles actions.</v>
      </c>
      <c r="J117" s="8" t="s">
        <v>424</v>
      </c>
      <c r="K117" s="8" t="s">
        <v>40</v>
      </c>
      <c r="L117" s="9" cm="1" t="str">
        <f t="array" ref="L117">IF(C117="","",IF(K117="Mort / Plus rien à faire","KO","OK"))</f>
        <v>OK</v>
      </c>
      <c r="M117" s="19">
        <v>46098.654756944445</v>
      </c>
      <c r="N117" s="16" cm="1" t="n">
        <f t="array" ref="N117">IF(OR(C117="",M117="",M117=0),"",M117)</f>
        <v>46098.654756944445</v>
      </c>
      <c r="O117" s="19">
</c>
      <c r="P117" s="16" cm="1" t="str">
        <f t="array" ref="P117">IF(C117="","",IF(OR(O117="",O117=0),"-",O117))</f>
        <v>-</v>
      </c>
      <c r="Q117" s="20">
        <v>0</v>
      </c>
      <c r="R117" s="17" cm="1" t="str">
        <f t="array" ref="R117">IF(C117="","",ROUND(Q117/1000000,3)&amp;" M€")</f>
        <v>0 M€</v>
      </c>
      <c r="S117" s="18" t="s">
        <v>408</v>
      </c>
      <c r="T117" s="9" cm="1" t="str">
        <f t="array" ref="T117">IF(C117="","",SUBSTITUTE(S117,"","")&amp;"%")</f>
        <v>0%</v>
      </c>
      <c r="U117" s="15" cm="1" t="str">
        <f t="array" ref="U117">IF(($N117="")*($P117=""),"",IF(($N117&lt;&gt;"")*($N117&gt;TODAY()-9)*($N117&lt;TODAY()+1)*($P117&lt;&gt;"")*($P117&gt;=TODAY())*($P117&lt;=TODAY()+13),"Semaine passée &amp; à venir",IF(($N117&lt;&gt;"")*($N117&gt;TODAY()-9)*($N117&lt;TODAY()+1),"Semaine passée",IF(($P117&lt;&gt;"")*($P117&gt;=TODAY())*($P117&lt;=TODAY()+13),"À venir","Autre"))))</f>
        <v>Autre</v>
      </c>
      <c r="V117" s="8" cm="1" t="n">
        <f t="array" ref="V117">IF(C117&lt;&gt;"",1,0)</f>
        <v>1</v>
      </c>
      <c r="W117" s="8">
</c>
      <c r="X117" s="8">
</c>
      <c r="Y117" s="8">
</c>
      <c r="Z117" s="8">
</c>
      <c r="AA117" s="8">
</c>
      <c r="AB117" s="8">
</c>
      <c r="AC117" s="8">
</c>
      <c r="AD117" s="8">
</c>
      <c r="AE117" s="8">
</c>
      <c r="AF117" s="8">
</c>
      <c r="AG117" s="8">
</c>
      <c r="AH117" s="8">
</c>
      <c r="AI117" s="8">
</c>
      <c r="AJ117" s="8">
</c>
      <c r="AK117" s="8">
</c>
    </row>
    <row r="118" ht="76.5" customHeight="1">
      <c r="A118" s="8" t="s">
        <v>23</v>
      </c>
      <c r="B118" s="8" t="s">
        <v>107</v>
      </c>
      <c r="C118" s="12" t="s">
        <v>403</v>
      </c>
      <c r="D118" s="18" t="s">
        <v>425</v>
      </c>
      <c r="E118" s="8" t="s">
        <v>27</v>
      </c>
      <c r="F118" s="8" t="s">
        <v>426</v>
      </c>
      <c r="G118" s="14" cm="1" t="str">
        <f t="array" ref="G118">IF(F118="","",SUBSTITUTE(SUBSTITUTE(SUBSTITUTE(SUBSTITUTE(F118,"&lt;li&gt;",CHAR(10)),"&lt;/li&gt;",""),"&lt;br&gt;",CHAR(10)),"&lt;strong&gt;",""))</f>
        <v>&lt;p&gt;Aucune activité ni échange significatif enregistré sur cette opportunité. Seule information : nouvelle piste créée pour l'équipe Ventes par Romain Andrieu. Aucun suivi, action ou retour prospect identifié à ce jour.&lt;/p&gt;</v>
      </c>
      <c r="H118" s="14" cm="1" t="str">
        <f t="array" ref="H118">IF(G118="","",SUBSTITUTE(SUBSTITUTE(SUBSTITUTE(SUBSTITUTE(SUBSTITUTE(G118,"&lt;p&gt;",""),"&lt;/p&gt;",""),"&lt;ul&gt;",""),"&lt;/ul&gt;",""),"&lt;/strong&gt;",""))</f>
        <v>Aucune activité ni échange significatif enregistré sur cette opportunité. Seule information : nouvelle piste créée pour l'équipe Ventes par Romain Andrieu. Aucun suivi, action ou retour prospect identifié à ce jour.</v>
      </c>
      <c r="I118" s="15" cm="1" t="str">
        <f t="array" ref="I118">IF(C118="","",IF(OR(H118="",H118=0,H118=FALSE),"-",H118))</f>
        <v>Aucune activité ni échange significatif enregistré sur cette opportunité. Seule information : nouvelle piste créée pour l'équipe Ventes par Romain Andrieu. Aucun suivi, action ou retour prospect identifié à ce jour.</v>
      </c>
      <c r="J118" s="8">
</c>
      <c r="K118" s="8" t="s">
        <v>40</v>
      </c>
      <c r="L118" s="9" cm="1" t="str">
        <f t="array" ref="L118">IF(C118="","",IF(K118="Mort / Plus rien à faire","KO","OK"))</f>
        <v>OK</v>
      </c>
      <c r="M118" s="19">
        <v>46091.68209490741</v>
      </c>
      <c r="N118" s="16" cm="1" t="n">
        <f t="array" ref="N118">IF(OR(C118="",M118="",M118=0),"",M118)</f>
        <v>46091.68209490741</v>
      </c>
      <c r="O118" s="19">
</c>
      <c r="P118" s="16" cm="1" t="str">
        <f t="array" ref="P118">IF(C118="","",IF(OR(O118="",O118=0),"-",O118))</f>
        <v>-</v>
      </c>
      <c r="Q118" s="20">
        <v>0</v>
      </c>
      <c r="R118" s="17" cm="1" t="str">
        <f t="array" ref="R118">IF(C118="","",ROUND(Q118/1000000,3)&amp;" M€")</f>
        <v>0 M€</v>
      </c>
      <c r="S118" s="18" t="s">
        <v>408</v>
      </c>
      <c r="T118" s="9" cm="1" t="str">
        <f t="array" ref="T118">IF(C118="","",SUBSTITUTE(S118,"","")&amp;"%")</f>
        <v>0%</v>
      </c>
      <c r="U118" s="15" cm="1" t="str">
        <f t="array" ref="U118">IF(($N118="")*($P118=""),"",IF(($N118&lt;&gt;"")*($N118&gt;TODAY()-9)*($N118&lt;TODAY()+1)*($P118&lt;&gt;"")*($P118&gt;=TODAY())*($P118&lt;=TODAY()+13),"Semaine passée &amp; à venir",IF(($N118&lt;&gt;"")*($N118&gt;TODAY()-9)*($N118&lt;TODAY()+1),"Semaine passée",IF(($P118&lt;&gt;"")*($P118&gt;=TODAY())*($P118&lt;=TODAY()+13),"À venir","Autre"))))</f>
        <v>Autre</v>
      </c>
      <c r="V118" s="8" cm="1" t="n">
        <f t="array" ref="V118">IF(C118&lt;&gt;"",1,0)</f>
        <v>1</v>
      </c>
      <c r="W118" s="8">
</c>
      <c r="X118" s="8">
</c>
      <c r="Y118" s="8">
</c>
      <c r="Z118" s="8">
</c>
      <c r="AA118" s="8">
</c>
      <c r="AB118" s="8">
</c>
      <c r="AC118" s="8">
</c>
      <c r="AD118" s="8">
</c>
      <c r="AE118" s="8">
</c>
      <c r="AF118" s="8">
</c>
      <c r="AG118" s="8">
</c>
      <c r="AH118" s="8">
</c>
      <c r="AI118" s="8">
</c>
      <c r="AJ118" s="8">
</c>
      <c r="AK118" s="8">
</c>
    </row>
    <row r="119" ht="76.5" customHeight="1">
      <c r="A119" s="8" t="s">
        <v>23</v>
      </c>
      <c r="B119" s="8" t="s">
        <v>32</v>
      </c>
      <c r="C119" s="12" t="s">
        <v>427</v>
      </c>
      <c r="D119" s="18" t="s">
        <v>428</v>
      </c>
      <c r="E119" s="8" t="s">
        <v>27</v>
      </c>
      <c r="F119" s="8" t="s">
        <v>429</v>
      </c>
      <c r="G119" s="14" cm="1" t="str">
        <f t="array" ref="G119">IF(F119="","",SUBSTITUTE(SUBSTITUTE(SUBSTITUTE(SUBSTITUTE(F119,"&lt;li&gt;",CHAR(10)),"&lt;/li&gt;",""),"&lt;br&gt;",CHAR(10)),"&lt;strong&gt;",""))</f>
        <v>&lt;p&gt;Relance mail faite 13/01/2026. Action précédente : caler un premier échange (straton), terminée 09/01/2026. Tentative d'enrichissement lead échouée (mail invalide). Piste créée pour équipe Ventes. Prochaine étape non précisée, pas de retour prospect sur fonds. Pas d'autres activités récentes.&lt;/p&gt;</v>
      </c>
      <c r="H119" s="14" cm="1" t="str">
        <f t="array" ref="H119">IF(G119="","",SUBSTITUTE(SUBSTITUTE(SUBSTITUTE(SUBSTITUTE(SUBSTITUTE(G119,"&lt;p&gt;",""),"&lt;/p&gt;",""),"&lt;ul&gt;",""),"&lt;/ul&gt;",""),"&lt;/strong&gt;",""))</f>
        <v>Relance mail faite 13/01/2026. Action précédente : caler un premier échange (straton), terminée 09/01/2026. Tentative d'enrichissement lead échouée (mail invalide). Piste créée pour équipe Ventes. Prochaine étape non précisée, pas de retour prospect sur fonds. Pas d'autres activités récentes.</v>
      </c>
      <c r="I119" s="15" cm="1" t="str">
        <f t="array" ref="I119">IF(C119="","",IF(OR(H119="",H119=0,H119=FALSE),"-",H119))</f>
        <v>Relance mail faite 13/01/2026. Action précédente : caler un premier échange (straton), terminée 09/01/2026. Tentative d'enrichissement lead échouée (mail invalide). Piste créée pour équipe Ventes. Prochaine étape non précisée, pas de retour prospect sur fonds. Pas d'autres activités récentes.</v>
      </c>
      <c r="J119" s="8">
</c>
      <c r="K119" s="8" t="s">
        <v>40</v>
      </c>
      <c r="L119" s="9" cm="1" t="str">
        <f t="array" ref="L119">IF(C119="","",IF(K119="Mort / Plus rien à faire","KO","OK"))</f>
        <v>OK</v>
      </c>
      <c r="M119" s="19">
        <v>46090.85865740741</v>
      </c>
      <c r="N119" s="16" cm="1" t="n">
        <f t="array" ref="N119">IF(OR(C119="",M119="",M119=0),"",M119)</f>
        <v>46090.85865740741</v>
      </c>
      <c r="O119" s="19">
</c>
      <c r="P119" s="16" cm="1" t="str">
        <f t="array" ref="P119">IF(C119="","",IF(OR(O119="",O119=0),"-",O119))</f>
        <v>-</v>
      </c>
      <c r="Q119" s="20">
        <v>0</v>
      </c>
      <c r="R119" s="17" cm="1" t="str">
        <f t="array" ref="R119">IF(C119="","",ROUND(Q119/1000000,3)&amp;" M€")</f>
        <v>0 M€</v>
      </c>
      <c r="S119" s="18" t="s">
        <v>408</v>
      </c>
      <c r="T119" s="9" cm="1" t="str">
        <f t="array" ref="T119">IF(C119="","",SUBSTITUTE(S119,"","")&amp;"%")</f>
        <v>0%</v>
      </c>
      <c r="U119" s="15" cm="1" t="str">
        <f t="array" ref="U119">IF(($N119="")*($P119=""),"",IF(($N119&lt;&gt;"")*($N119&gt;TODAY()-9)*($N119&lt;TODAY()+1)*($P119&lt;&gt;"")*($P119&gt;=TODAY())*($P119&lt;=TODAY()+13),"Semaine passée &amp; à venir",IF(($N119&lt;&gt;"")*($N119&gt;TODAY()-9)*($N119&lt;TODAY()+1),"Semaine passée",IF(($P119&lt;&gt;"")*($P119&gt;=TODAY())*($P119&lt;=TODAY()+13),"À venir","Autre"))))</f>
        <v>Autre</v>
      </c>
      <c r="V119" s="8" cm="1" t="n">
        <f t="array" ref="V119">IF(C119&lt;&gt;"",1,0)</f>
        <v>1</v>
      </c>
      <c r="W119" s="8">
</c>
      <c r="X119" s="8">
</c>
      <c r="Y119" s="8">
</c>
      <c r="Z119" s="8">
</c>
      <c r="AA119" s="8">
</c>
      <c r="AB119" s="8">
</c>
      <c r="AC119" s="8">
</c>
      <c r="AD119" s="8">
</c>
      <c r="AE119" s="8">
</c>
      <c r="AF119" s="8">
</c>
      <c r="AG119" s="8">
</c>
      <c r="AH119" s="8">
</c>
      <c r="AI119" s="8">
</c>
      <c r="AJ119" s="8">
</c>
      <c r="AK119" s="8">
</c>
    </row>
    <row r="120" ht="76.5" customHeight="1">
      <c r="A120" s="8" t="s">
        <v>23</v>
      </c>
      <c r="B120" s="8" t="s">
        <v>32</v>
      </c>
      <c r="C120" s="12" t="s">
        <v>430</v>
      </c>
      <c r="D120" s="18" t="s">
        <v>431</v>
      </c>
      <c r="E120" s="8" t="s">
        <v>27</v>
      </c>
      <c r="F120" s="8" t="s">
        <v>432</v>
      </c>
      <c r="G120" s="14" cm="1" t="str">
        <f t="array" ref="G120">IF(F120="","",SUBSTITUTE(SUBSTITUTE(SUBSTITUTE(SUBSTITUTE(F120,"&lt;li&gt;",CHAR(10)),"&lt;/li&gt;",""),"&lt;br&gt;",CHAR(10)),"&lt;strong&gt;",""))</f>
        <v>&lt;p&gt;Aucune activité menée sur le prospect. Opportunité de MUTUELLE MEDICIS : acteur reconnu en protection sociale et complémentaire santé, plus de 300 000 adhérents, spécialisé dans la couverture santé des indépendants et professions libérales. Pas d'échanges ni d'actions récentes.&lt;/p&gt;</v>
      </c>
      <c r="H120" s="14" cm="1" t="str">
        <f t="array" ref="H120">IF(G120="","",SUBSTITUTE(SUBSTITUTE(SUBSTITUTE(SUBSTITUTE(SUBSTITUTE(G120,"&lt;p&gt;",""),"&lt;/p&gt;",""),"&lt;ul&gt;",""),"&lt;/ul&gt;",""),"&lt;/strong&gt;",""))</f>
        <v>Aucune activité menée sur le prospect. Opportunité de MUTUELLE MEDICIS : acteur reconnu en protection sociale et complémentaire santé, plus de 300 000 adhérents, spécialisé dans la couverture santé des indépendants et professions libérales. Pas d'échanges ni d'actions récentes.</v>
      </c>
      <c r="I120" s="15" cm="1" t="str">
        <f t="array" ref="I120">IF(C120="","",IF(OR(H120="",H120=0,H120=FALSE),"-",H120))</f>
        <v>Aucune activité menée sur le prospect. Opportunité de MUTUELLE MEDICIS : acteur reconnu en protection sociale et complémentaire santé, plus de 300 000 adhérents, spécialisé dans la couverture santé des indépendants et professions libérales. Pas d'échanges ni d'actions récentes.</v>
      </c>
      <c r="J120" s="8">
</c>
      <c r="K120" s="8" t="s">
        <v>40</v>
      </c>
      <c r="L120" s="9" cm="1" t="str">
        <f t="array" ref="L120">IF(C120="","",IF(K120="Mort / Plus rien à faire","KO","OK"))</f>
        <v>OK</v>
      </c>
      <c r="M120" s="19">
        <v>45992.5122337963</v>
      </c>
      <c r="N120" s="16" cm="1" t="n">
        <f t="array" ref="N120">IF(OR(C120="",M120="",M120=0),"",M120)</f>
        <v>45992.5122337963</v>
      </c>
      <c r="O120" s="19">
</c>
      <c r="P120" s="16" cm="1" t="str">
        <f t="array" ref="P120">IF(C120="","",IF(OR(O120="",O120=0),"-",O120))</f>
        <v>-</v>
      </c>
      <c r="Q120" s="20">
        <v>0</v>
      </c>
      <c r="R120" s="17" cm="1" t="str">
        <f t="array" ref="R120">IF(C120="","",ROUND(Q120/1000000,3)&amp;" M€")</f>
        <v>0 M€</v>
      </c>
      <c r="S120" s="18" t="s">
        <v>408</v>
      </c>
      <c r="T120" s="9" cm="1" t="str">
        <f t="array" ref="T120">IF(C120="","",SUBSTITUTE(S120,"","")&amp;"%")</f>
        <v>0%</v>
      </c>
      <c r="U120" s="15" cm="1" t="str">
        <f t="array" ref="U120">IF(($N120="")*($P120=""),"",IF(($N120&lt;&gt;"")*($N120&gt;TODAY()-9)*($N120&lt;TODAY()+1)*($P120&lt;&gt;"")*($P120&gt;=TODAY())*($P120&lt;=TODAY()+13),"Semaine passée &amp; à venir",IF(($N120&lt;&gt;"")*($N120&gt;TODAY()-9)*($N120&lt;TODAY()+1),"Semaine passée",IF(($P120&lt;&gt;"")*($P120&gt;=TODAY())*($P120&lt;=TODAY()+13),"À venir","Autre"))))</f>
        <v>Autre</v>
      </c>
      <c r="V120" s="8" cm="1" t="n">
        <f t="array" ref="V120">IF(C120&lt;&gt;"",1,0)</f>
        <v>1</v>
      </c>
      <c r="W120" s="8">
</c>
      <c r="X120" s="8">
</c>
      <c r="Y120" s="8">
</c>
      <c r="Z120" s="8">
</c>
      <c r="AA120" s="8">
</c>
      <c r="AB120" s="8">
</c>
      <c r="AC120" s="8">
</c>
      <c r="AD120" s="8">
</c>
      <c r="AE120" s="8">
</c>
      <c r="AF120" s="8">
</c>
      <c r="AG120" s="8">
</c>
      <c r="AH120" s="8">
</c>
      <c r="AI120" s="8">
</c>
      <c r="AJ120" s="8">
</c>
      <c r="AK120" s="8">
</c>
    </row>
    <row r="121" ht="76.5" customHeight="1">
      <c r="A121" s="8" t="s">
        <v>23</v>
      </c>
      <c r="B121" s="8" t="s">
        <v>36</v>
      </c>
      <c r="C121" s="12" t="s">
        <v>433</v>
      </c>
      <c r="D121" s="18" t="s">
        <v>434</v>
      </c>
      <c r="E121" s="8" t="s">
        <v>27</v>
      </c>
      <c r="F121" s="8" t="s">
        <v>435</v>
      </c>
      <c r="G121" s="14" cm="1" t="str">
        <f t="array" ref="G121">IF(F121="","",SUBSTITUTE(SUBSTITUTE(SUBSTITUTE(SUBSTITUTE(F121,"&lt;li&gt;",CHAR(10)),"&lt;/li&gt;",""),"&lt;br&gt;",CHAR(10)),"&lt;strong&gt;",""))</f>
        <v>&lt;p&gt;Nouvelle piste créée équipe Ventes. Action principale&amp;nbsp;: prise de RDV physique fin décembre, capacité totale estimée à 100M€. Pas d'autres échanges ou retours prospect enregistrés à ce jour. Prochaine étape&amp;nbsp;: fixer RDV fin décembre. Aucun retour prospect sur fonds présenté pour l'instant.&lt;/p&gt;</v>
      </c>
      <c r="H121" s="14" cm="1" t="str">
        <f t="array" ref="H121">IF(G121="","",SUBSTITUTE(SUBSTITUTE(SUBSTITUTE(SUBSTITUTE(SUBSTITUTE(G121,"&lt;p&gt;",""),"&lt;/p&gt;",""),"&lt;ul&gt;",""),"&lt;/ul&gt;",""),"&lt;/strong&gt;",""))</f>
        <v>Nouvelle piste créée équipe Ventes. Action principale&amp;nbsp;: prise de RDV physique fin décembre, capacité totale estimée à 100M€. Pas d'autres échanges ou retours prospect enregistrés à ce jour. Prochaine étape&amp;nbsp;: fixer RDV fin décembre. Aucun retour prospect sur fonds présenté pour l'instant.</v>
      </c>
      <c r="I121" s="15" cm="1" t="str">
        <f t="array" ref="I121">IF(C121="","",IF(OR(H121="",H121=0,H121=FALSE),"-",H121))</f>
        <v>Nouvelle piste créée équipe Ventes. Action principale&amp;nbsp;: prise de RDV physique fin décembre, capacité totale estimée à 100M€. Pas d'autres échanges ou retours prospect enregistrés à ce jour. Prochaine étape&amp;nbsp;: fixer RDV fin décembre. Aucun retour prospect sur fonds présenté pour l'instant.</v>
      </c>
      <c r="J121" s="8" t="s">
        <v>436</v>
      </c>
      <c r="K121" s="8" t="s">
        <v>40</v>
      </c>
      <c r="L121" s="9" cm="1" t="str">
        <f t="array" ref="L121">IF(C121="","",IF(K121="Mort / Plus rien à faire","KO","OK"))</f>
        <v>OK</v>
      </c>
      <c r="M121" s="19">
        <v>46098.64708333334</v>
      </c>
      <c r="N121" s="16" cm="1" t="n">
        <f t="array" ref="N121">IF(OR(C121="",M121="",M121=0),"",M121)</f>
        <v>46098.64708333334</v>
      </c>
      <c r="O121" s="19">
        <v>46377.041666666664</v>
      </c>
      <c r="P121" s="16" cm="1" t="n">
        <f t="array" ref="P121">IF(C121="","",IF(OR(O121="",O121=0),"-",O121))</f>
        <v>46377.041666666664</v>
      </c>
      <c r="Q121" s="20">
        <v>0</v>
      </c>
      <c r="R121" s="17" cm="1" t="str">
        <f t="array" ref="R121">IF(C121="","",ROUND(Q121/1000000,3)&amp;" M€")</f>
        <v>0 M€</v>
      </c>
      <c r="S121" s="18" t="s">
        <v>408</v>
      </c>
      <c r="T121" s="9" cm="1" t="str">
        <f t="array" ref="T121">IF(C121="","",SUBSTITUTE(S121,"","")&amp;"%")</f>
        <v>0%</v>
      </c>
      <c r="U121" s="15" cm="1" t="str">
        <f t="array" ref="U121">IF(($N121="")*($P121=""),"",IF(($N121&lt;&gt;"")*($N121&gt;TODAY()-9)*($N121&lt;TODAY()+1)*($P121&lt;&gt;"")*($P121&gt;=TODAY())*($P121&lt;=TODAY()+13),"Semaine passée &amp; à venir",IF(($N121&lt;&gt;"")*($N121&gt;TODAY()-9)*($N121&lt;TODAY()+1),"Semaine passée",IF(($P121&lt;&gt;"")*($P121&gt;=TODAY())*($P121&lt;=TODAY()+13),"À venir","Autre"))))</f>
        <v>Autre</v>
      </c>
      <c r="V121" s="8" cm="1" t="n">
        <f t="array" ref="V121">IF(C121&lt;&gt;"",1,0)</f>
        <v>1</v>
      </c>
      <c r="W121" s="8">
</c>
      <c r="X121" s="8">
</c>
      <c r="Y121" s="8">
</c>
      <c r="Z121" s="8">
</c>
      <c r="AA121" s="8">
</c>
      <c r="AB121" s="8">
</c>
      <c r="AC121" s="8">
</c>
      <c r="AD121" s="8">
</c>
      <c r="AE121" s="8">
</c>
      <c r="AF121" s="8">
</c>
      <c r="AG121" s="8">
</c>
      <c r="AH121" s="8">
</c>
      <c r="AI121" s="8">
</c>
      <c r="AJ121" s="8">
</c>
      <c r="AK121" s="8">
</c>
    </row>
    <row r="122" ht="76.5" customHeight="1">
      <c r="A122" s="8" t="s">
        <v>23</v>
      </c>
      <c r="B122" s="8" t="s">
        <v>107</v>
      </c>
      <c r="C122" s="12" t="s">
        <v>437</v>
      </c>
      <c r="D122" s="18" t="s">
        <v>438</v>
      </c>
      <c r="E122" s="8" t="s">
        <v>121</v>
      </c>
      <c r="F122" s="8" t="s">
        <v>439</v>
      </c>
      <c r="G122" s="14" cm="1" t="str">
        <f t="array" ref="G122">IF(F122="","",SUBSTITUTE(SUBSTITUTE(SUBSTITUTE(SUBSTITUTE(F122,"&lt;li&gt;",CHAR(10)),"&lt;/li&gt;",""),"&lt;br&gt;",CHAR(10)),"&lt;strong&gt;",""))</f>
        <v>&lt;p&gt;Prospect BPIFrance, aucune activité significative menée à ce jour. Prochaine action prévue : appel light à Edoardo pour sonder sur Straton (échéance 31/01/2026). Aucun retour prospect ni conclusion sur fonds présentés. Nouvelle piste créée pour équipe Ventes. Pas d'autres interactions notables.&lt;/p&gt;</v>
      </c>
      <c r="H122" s="14" cm="1" t="str">
        <f t="array" ref="H122">IF(G122="","",SUBSTITUTE(SUBSTITUTE(SUBSTITUTE(SUBSTITUTE(SUBSTITUTE(G122,"&lt;p&gt;",""),"&lt;/p&gt;",""),"&lt;ul&gt;",""),"&lt;/ul&gt;",""),"&lt;/strong&gt;",""))</f>
        <v>Prospect BPIFrance, aucune activité significative menée à ce jour. Prochaine action prévue : appel light à Edoardo pour sonder sur Straton (échéance 31/01/2026). Aucun retour prospect ni conclusion sur fonds présentés. Nouvelle piste créée pour équipe Ventes. Pas d'autres interactions notables.</v>
      </c>
      <c r="I122" s="15" cm="1" t="str">
        <f t="array" ref="I122">IF(C122="","",IF(OR(H122="",H122=0,H122=FALSE),"-",H122))</f>
        <v>Prospect BPIFrance, aucune activité significative menée à ce jour. Prochaine action prévue : appel light à Edoardo pour sonder sur Straton (échéance 31/01/2026). Aucun retour prospect ni conclusion sur fonds présentés. Nouvelle piste créée pour équipe Ventes. Pas d'autres interactions notables.</v>
      </c>
      <c r="J122" s="8" t="s">
        <v>440</v>
      </c>
      <c r="K122" s="8" t="s">
        <v>40</v>
      </c>
      <c r="L122" s="9" cm="1" t="str">
        <f t="array" ref="L122">IF(C122="","",IF(K122="Mort / Plus rien à faire","KO","OK"))</f>
        <v>OK</v>
      </c>
      <c r="M122" s="19">
        <v>46071.49596064815</v>
      </c>
      <c r="N122" s="16" cm="1" t="n">
        <f t="array" ref="N122">IF(OR(C122="",M122="",M122=0),"",M122)</f>
        <v>46071.49596064815</v>
      </c>
      <c r="O122" s="19">
</c>
      <c r="P122" s="16" cm="1" t="str">
        <f t="array" ref="P122">IF(C122="","",IF(OR(O122="",O122=0),"-",O122))</f>
        <v>-</v>
      </c>
      <c r="Q122" s="20">
        <v>0</v>
      </c>
      <c r="R122" s="17" cm="1" t="str">
        <f t="array" ref="R122">IF(C122="","",ROUND(Q122/1000000,3)&amp;" M€")</f>
        <v>0 M€</v>
      </c>
      <c r="S122" s="18" t="s">
        <v>408</v>
      </c>
      <c r="T122" s="9" cm="1" t="str">
        <f t="array" ref="T122">IF(C122="","",SUBSTITUTE(S122,"","")&amp;"%")</f>
        <v>0%</v>
      </c>
      <c r="U122" s="15" cm="1" t="str">
        <f t="array" ref="U122">IF(($N122="")*($P122=""),"",IF(($N122&lt;&gt;"")*($N122&gt;TODAY()-9)*($N122&lt;TODAY()+1)*($P122&lt;&gt;"")*($P122&gt;=TODAY())*($P122&lt;=TODAY()+13),"Semaine passée &amp; à venir",IF(($N122&lt;&gt;"")*($N122&gt;TODAY()-9)*($N122&lt;TODAY()+1),"Semaine passée",IF(($P122&lt;&gt;"")*($P122&gt;=TODAY())*($P122&lt;=TODAY()+13),"À venir","Autre"))))</f>
        <v>Autre</v>
      </c>
      <c r="V122" s="8" cm="1" t="n">
        <f t="array" ref="V122">IF(C122&lt;&gt;"",1,0)</f>
        <v>1</v>
      </c>
      <c r="W122" s="8">
</c>
      <c r="X122" s="8">
</c>
      <c r="Y122" s="8">
</c>
      <c r="Z122" s="8">
</c>
      <c r="AA122" s="8">
</c>
      <c r="AB122" s="8">
</c>
      <c r="AC122" s="8">
</c>
      <c r="AD122" s="8">
</c>
      <c r="AE122" s="8">
</c>
      <c r="AF122" s="8">
</c>
      <c r="AG122" s="8">
</c>
      <c r="AH122" s="8">
</c>
      <c r="AI122" s="8">
</c>
      <c r="AJ122" s="8">
</c>
      <c r="AK122" s="8">
</c>
    </row>
    <row r="123" ht="76.5" customHeight="1">
      <c r="A123" s="8" t="s">
        <v>23</v>
      </c>
      <c r="B123" s="8" t="s">
        <v>32</v>
      </c>
      <c r="C123" s="12" t="s">
        <v>441</v>
      </c>
      <c r="D123" s="18" t="s">
        <v>442</v>
      </c>
      <c r="E123" s="8" t="s">
        <v>27</v>
      </c>
      <c r="F123" s="8" t="s">
        <v>443</v>
      </c>
      <c r="G123" s="14" cm="1" t="str">
        <f t="array" ref="G123">IF(F123="","",SUBSTITUTE(SUBSTITUTE(SUBSTITUTE(SUBSTITUTE(F123,"&lt;li&gt;",CHAR(10)),"&lt;/li&gt;",""),"&lt;br&gt;",CHAR(10)),"&lt;strong&gt;",""))</f>
        <v>&lt;p&gt;RDV physique réalisé, demande de rdv faite avec Aurélie Dumont. JFC est intervenu, dossier renvoyé à Leovic Lecluse. Pas de retour explicite du prospect sur les fonds. Prochaine étape : suivi avec Leovic Lecluse, deadline 27/03/2026. Pas d'autres actions ou retours notables.&lt;/p&gt;</v>
      </c>
      <c r="H123" s="14" cm="1" t="str">
        <f t="array" ref="H123">IF(G123="","",SUBSTITUTE(SUBSTITUTE(SUBSTITUTE(SUBSTITUTE(SUBSTITUTE(G123,"&lt;p&gt;",""),"&lt;/p&gt;",""),"&lt;ul&gt;",""),"&lt;/ul&gt;",""),"&lt;/strong&gt;",""))</f>
        <v>RDV physique réalisé, demande de rdv faite avec Aurélie Dumont. JFC est intervenu, dossier renvoyé à Leovic Lecluse. Pas de retour explicite du prospect sur les fonds. Prochaine étape : suivi avec Leovic Lecluse, deadline 27/03/2026. Pas d'autres actions ou retours notables.</v>
      </c>
      <c r="I123" s="15" cm="1" t="str">
        <f t="array" ref="I123">IF(C123="","",IF(OR(H123="",H123=0,H123=FALSE),"-",H123))</f>
        <v>RDV physique réalisé, demande de rdv faite avec Aurélie Dumont. JFC est intervenu, dossier renvoyé à Leovic Lecluse. Pas de retour explicite du prospect sur les fonds. Prochaine étape : suivi avec Leovic Lecluse, deadline 27/03/2026. Pas d'autres actions ou retours notables.</v>
      </c>
      <c r="J123" s="8" t="s">
        <v>444</v>
      </c>
      <c r="K123" s="8" t="s">
        <v>326</v>
      </c>
      <c r="L123" s="9" cm="1" t="str">
        <f t="array" ref="L123">IF(C123="","",IF(K123="Mort / Plus rien à faire","KO","OK"))</f>
        <v>OK</v>
      </c>
      <c r="M123" s="19">
        <v>46105.649930555555</v>
      </c>
      <c r="N123" s="16" cm="1" t="n">
        <f t="array" ref="N123">IF(OR(C123="",M123="",M123=0),"",M123)</f>
        <v>46105.649930555555</v>
      </c>
      <c r="O123" s="19">
</c>
      <c r="P123" s="16" cm="1" t="str">
        <f t="array" ref="P123">IF(C123="","",IF(OR(O123="",O123=0),"-",O123))</f>
        <v>-</v>
      </c>
      <c r="Q123" s="20">
        <v>0</v>
      </c>
      <c r="R123" s="17" cm="1" t="str">
        <f t="array" ref="R123">IF(C123="","",ROUND(Q123/1000000,3)&amp;" M€")</f>
        <v>0 M€</v>
      </c>
      <c r="S123" s="18" t="s">
        <v>408</v>
      </c>
      <c r="T123" s="9" cm="1" t="str">
        <f t="array" ref="T123">IF(C123="","",SUBSTITUTE(S123,"","")&amp;"%")</f>
        <v>0%</v>
      </c>
      <c r="U123" s="15" cm="1" t="str">
        <f t="array" ref="U123">IF(($N123="")*($P123=""),"",IF(($N123&lt;&gt;"")*($N123&gt;TODAY()-9)*($N123&lt;TODAY()+1)*($P123&lt;&gt;"")*($P123&gt;=TODAY())*($P123&lt;=TODAY()+13),"Semaine passée &amp; à venir",IF(($N123&lt;&gt;"")*($N123&gt;TODAY()-9)*($N123&lt;TODAY()+1),"Semaine passée",IF(($P123&lt;&gt;"")*($P123&gt;=TODAY())*($P123&lt;=TODAY()+13),"À venir","Autre"))))</f>
        <v>Autre</v>
      </c>
      <c r="V123" s="8" cm="1" t="n">
        <f t="array" ref="V123">IF(C123&lt;&gt;"",1,0)</f>
        <v>1</v>
      </c>
      <c r="W123" s="8">
</c>
      <c r="X123" s="8">
</c>
      <c r="Y123" s="8">
</c>
      <c r="Z123" s="8">
</c>
      <c r="AA123" s="8">
</c>
      <c r="AB123" s="8">
</c>
      <c r="AC123" s="8">
</c>
      <c r="AD123" s="8">
</c>
      <c r="AE123" s="8">
</c>
      <c r="AF123" s="8">
</c>
      <c r="AG123" s="8">
</c>
      <c r="AH123" s="8">
</c>
      <c r="AI123" s="8">
</c>
      <c r="AJ123" s="8">
</c>
      <c r="AK123" s="8">
</c>
    </row>
    <row r="124" ht="76.5" customHeight="1">
      <c r="A124" s="8" t="s">
        <v>23</v>
      </c>
      <c r="B124" s="8" t="s">
        <v>32</v>
      </c>
      <c r="C124" s="12" t="s">
        <v>445</v>
      </c>
      <c r="D124" s="18" t="s">
        <v>446</v>
      </c>
      <c r="E124" s="8" t="s">
        <v>27</v>
      </c>
      <c r="F124" s="8" t="s">
        <v>447</v>
      </c>
      <c r="G124" s="14" cm="1" t="str">
        <f t="array" ref="G124">IF(F124="","",SUBSTITUTE(SUBSTITUTE(SUBSTITUTE(SUBSTITUTE(F124,"&lt;li&gt;",CHAR(10)),"&lt;/li&gt;",""),"&lt;br&gt;",CHAR(10)),"&lt;strong&gt;",""))</f>
        <v>&lt;p&gt;14/01/2026 : échange avec Guilhem Pialot (Mutac), refus PE jugé trop onéreux, historique négatif, aucune réouverture possible, intérêt uniquement pour dette directe/fonds de dette, ticket 2M€. Sept 2025 : fonds trop long (14 ans), non noté, SCR élevé, absence de sûreté. Pas d'action future prévue.&lt;/p&gt;</v>
      </c>
      <c r="H124" s="14" cm="1" t="str">
        <f t="array" ref="H124">IF(G124="","",SUBSTITUTE(SUBSTITUTE(SUBSTITUTE(SUBSTITUTE(SUBSTITUTE(G124,"&lt;p&gt;",""),"&lt;/p&gt;",""),"&lt;ul&gt;",""),"&lt;/ul&gt;",""),"&lt;/strong&gt;",""))</f>
        <v>14/01/2026 : échange avec Guilhem Pialot (Mutac), refus PE jugé trop onéreux, historique négatif, aucune réouverture possible, intérêt uniquement pour dette directe/fonds de dette, ticket 2M€. Sept 2025 : fonds trop long (14 ans), non noté, SCR élevé, absence de sûreté. Pas d'action future prévue.</v>
      </c>
      <c r="I124" s="15" cm="1" t="str">
        <f t="array" ref="I124">IF(C124="","",IF(OR(H124="",H124=0,H124=FALSE),"-",H124))</f>
        <v>14/01/2026 : échange avec Guilhem Pialot (Mutac), refus PE jugé trop onéreux, historique négatif, aucune réouverture possible, intérêt uniquement pour dette directe/fonds de dette, ticket 2M€. Sept 2025 : fonds trop long (14 ans), non noté, SCR élevé, absence de sûreté. Pas d'action future prévue.</v>
      </c>
      <c r="J124" s="8">
</c>
      <c r="K124" s="8" t="s">
        <v>407</v>
      </c>
      <c r="L124" s="9" cm="1" t="str">
        <f t="array" ref="L124">IF(C124="","",IF(K124="Mort / Plus rien à faire","KO","OK"))</f>
        <v>KO</v>
      </c>
      <c r="M124" s="19">
        <v>46036.7655787037</v>
      </c>
      <c r="N124" s="16" cm="1" t="n">
        <f t="array" ref="N124">IF(OR(C124="",M124="",M124=0),"",M124)</f>
        <v>46036.7655787037</v>
      </c>
      <c r="O124" s="19">
</c>
      <c r="P124" s="16" cm="1" t="str">
        <f t="array" ref="P124">IF(C124="","",IF(OR(O124="",O124=0),"-",O124))</f>
        <v>-</v>
      </c>
      <c r="Q124" s="20">
        <v>0</v>
      </c>
      <c r="R124" s="17" cm="1" t="str">
        <f t="array" ref="R124">IF(C124="","",ROUND(Q124/1000000,3)&amp;" M€")</f>
        <v>0 M€</v>
      </c>
      <c r="S124" s="18" t="s">
        <v>408</v>
      </c>
      <c r="T124" s="9" cm="1" t="str">
        <f t="array" ref="T124">IF(C124="","",SUBSTITUTE(S124,"","")&amp;"%")</f>
        <v>0%</v>
      </c>
      <c r="U124" s="15" cm="1" t="str">
        <f t="array" ref="U124">IF(($N124="")*($P124=""),"",IF(($N124&lt;&gt;"")*($N124&gt;TODAY()-9)*($N124&lt;TODAY()+1)*($P124&lt;&gt;"")*($P124&gt;=TODAY())*($P124&lt;=TODAY()+13),"Semaine passée &amp; à venir",IF(($N124&lt;&gt;"")*($N124&gt;TODAY()-9)*($N124&lt;TODAY()+1),"Semaine passée",IF(($P124&lt;&gt;"")*($P124&gt;=TODAY())*($P124&lt;=TODAY()+13),"À venir","Autre"))))</f>
        <v>Autre</v>
      </c>
      <c r="V124" s="8" cm="1" t="n">
        <f t="array" ref="V124">IF(C124&lt;&gt;"",1,0)</f>
        <v>1</v>
      </c>
      <c r="W124" s="8">
</c>
      <c r="X124" s="8">
</c>
      <c r="Y124" s="8">
</c>
      <c r="Z124" s="8">
</c>
      <c r="AA124" s="8">
</c>
      <c r="AB124" s="8">
</c>
      <c r="AC124" s="8">
</c>
      <c r="AD124" s="8">
</c>
      <c r="AE124" s="8">
</c>
      <c r="AF124" s="8">
</c>
      <c r="AG124" s="8">
</c>
      <c r="AH124" s="8">
</c>
      <c r="AI124" s="8">
</c>
      <c r="AJ124" s="8">
</c>
      <c r="AK124" s="8">
</c>
    </row>
    <row r="125" ht="76.5" customHeight="1">
      <c r="A125" s="8" t="s">
        <v>23</v>
      </c>
      <c r="B125" s="8" t="s">
        <v>32</v>
      </c>
      <c r="C125" s="12" t="s">
        <v>448</v>
      </c>
      <c r="D125" s="18" t="s">
        <v>449</v>
      </c>
      <c r="E125" s="8" t="s">
        <v>27</v>
      </c>
      <c r="F125" s="8" t="s">
        <v>450</v>
      </c>
      <c r="G125" s="14" cm="1" t="str">
        <f t="array" ref="G125">IF(F125="","",SUBSTITUTE(SUBSTITUTE(SUBSTITUTE(SUBSTITUTE(F125,"&lt;li&gt;",CHAR(10)),"&lt;/li&gt;",""),"&lt;br&gt;",CHAR(10)),"&lt;strong&gt;",""))</f>
        <v>&lt;p&gt;Contact établi avec Caisse de retraite du Sénat, attente de proposition de dates pour RDV physique. Aucun retour prospect sur fonds à ce stade, pas de conclusion exprimée. Dernière action par Romain Andrieu le 06/02/2026. Prochaine étape : fixer un rendez-vous dès réception des disponibilités.&lt;/p&gt;</v>
      </c>
      <c r="H125" s="14" cm="1" t="str">
        <f t="array" ref="H125">IF(G125="","",SUBSTITUTE(SUBSTITUTE(SUBSTITUTE(SUBSTITUTE(SUBSTITUTE(G125,"&lt;p&gt;",""),"&lt;/p&gt;",""),"&lt;ul&gt;",""),"&lt;/ul&gt;",""),"&lt;/strong&gt;",""))</f>
        <v>Contact établi avec Caisse de retraite du Sénat, attente de proposition de dates pour RDV physique. Aucun retour prospect sur fonds à ce stade, pas de conclusion exprimée. Dernière action par Romain Andrieu le 06/02/2026. Prochaine étape : fixer un rendez-vous dès réception des disponibilités.</v>
      </c>
      <c r="I125" s="15" cm="1" t="str">
        <f t="array" ref="I125">IF(C125="","",IF(OR(H125="",H125=0,H125=FALSE),"-",H125))</f>
        <v>Contact établi avec Caisse de retraite du Sénat, attente de proposition de dates pour RDV physique. Aucun retour prospect sur fonds à ce stade, pas de conclusion exprimée. Dernière action par Romain Andrieu le 06/02/2026. Prochaine étape : fixer un rendez-vous dès réception des disponibilités.</v>
      </c>
      <c r="J125" s="8" t="s">
        <v>451</v>
      </c>
      <c r="K125" s="8" t="s">
        <v>40</v>
      </c>
      <c r="L125" s="9" cm="1" t="str">
        <f t="array" ref="L125">IF(C125="","",IF(K125="Mort / Plus rien à faire","KO","OK"))</f>
        <v>OK</v>
      </c>
      <c r="M125" s="19">
        <v>46059.79917824074</v>
      </c>
      <c r="N125" s="16" cm="1" t="n">
        <f t="array" ref="N125">IF(OR(C125="",M125="",M125=0),"",M125)</f>
        <v>46059.79917824074</v>
      </c>
      <c r="O125" s="19">
</c>
      <c r="P125" s="16" cm="1" t="str">
        <f t="array" ref="P125">IF(C125="","",IF(OR(O125="",O125=0),"-",O125))</f>
        <v>-</v>
      </c>
      <c r="Q125" s="20">
        <v>0</v>
      </c>
      <c r="R125" s="17" cm="1" t="str">
        <f t="array" ref="R125">IF(C125="","",ROUND(Q125/1000000,3)&amp;" M€")</f>
        <v>0 M€</v>
      </c>
      <c r="S125" s="18" t="s">
        <v>408</v>
      </c>
      <c r="T125" s="9" cm="1" t="str">
        <f t="array" ref="T125">IF(C125="","",SUBSTITUTE(S125,"","")&amp;"%")</f>
        <v>0%</v>
      </c>
      <c r="U125" s="15" cm="1" t="str">
        <f t="array" ref="U125">IF(($N125="")*($P125=""),"",IF(($N125&lt;&gt;"")*($N125&gt;TODAY()-9)*($N125&lt;TODAY()+1)*($P125&lt;&gt;"")*($P125&gt;=TODAY())*($P125&lt;=TODAY()+13),"Semaine passée &amp; à venir",IF(($N125&lt;&gt;"")*($N125&gt;TODAY()-9)*($N125&lt;TODAY()+1),"Semaine passée",IF(($P125&lt;&gt;"")*($P125&gt;=TODAY())*($P125&lt;=TODAY()+13),"À venir","Autre"))))</f>
        <v>Autre</v>
      </c>
      <c r="V125" s="8" cm="1" t="n">
        <f t="array" ref="V125">IF(C125&lt;&gt;"",1,0)</f>
        <v>1</v>
      </c>
      <c r="W125" s="8">
</c>
      <c r="X125" s="8">
</c>
      <c r="Y125" s="8">
</c>
      <c r="Z125" s="8">
</c>
      <c r="AA125" s="8">
</c>
      <c r="AB125" s="8">
</c>
      <c r="AC125" s="8">
</c>
      <c r="AD125" s="8">
</c>
      <c r="AE125" s="8">
</c>
      <c r="AF125" s="8">
</c>
      <c r="AG125" s="8">
</c>
      <c r="AH125" s="8">
</c>
      <c r="AI125" s="8">
</c>
      <c r="AJ125" s="8">
</c>
      <c r="AK125" s="8">
</c>
    </row>
    <row r="126" ht="76.5" customHeight="1">
      <c r="A126" s="8" t="s">
        <v>23</v>
      </c>
      <c r="B126" s="8" t="s">
        <v>57</v>
      </c>
      <c r="C126" s="12" t="s">
        <v>452</v>
      </c>
      <c r="D126" s="18" t="s">
        <v>453</v>
      </c>
      <c r="E126" s="8" t="s">
        <v>27</v>
      </c>
      <c r="F126" s="8" t="s">
        <v>454</v>
      </c>
      <c r="G126" s="14" cm="1" t="str">
        <f t="array" ref="G126">IF(F126="","",SUBSTITUTE(SUBSTITUTE(SUBSTITUTE(SUBSTITUTE(F126,"&lt;li&gt;",CHAR(10)),"&lt;/li&gt;",""),"&lt;br&gt;",CHAR(10)),"&lt;strong&gt;",""))</f>
        <v>&lt;p&gt;Offre STRATON transmise à la bonne adresse suite au départ de Bretin. Nouvelle piste créée pour équipe Ventes. Aucune activité récente ni retour prospect sur les fonds présentés. Pas d'action ou étape à venir identifiée dans les échanges ou activités.&lt;/p&gt;</v>
      </c>
      <c r="H126" s="14" cm="1" t="str">
        <f t="array" ref="H126">IF(G126="","",SUBSTITUTE(SUBSTITUTE(SUBSTITUTE(SUBSTITUTE(SUBSTITUTE(G126,"&lt;p&gt;",""),"&lt;/p&gt;",""),"&lt;ul&gt;",""),"&lt;/ul&gt;",""),"&lt;/strong&gt;",""))</f>
        <v>Offre STRATON transmise à la bonne adresse suite au départ de Bretin. Nouvelle piste créée pour équipe Ventes. Aucune activité récente ni retour prospect sur les fonds présentés. Pas d'action ou étape à venir identifiée dans les échanges ou activités.</v>
      </c>
      <c r="I126" s="15" cm="1" t="str">
        <f t="array" ref="I126">IF(C126="","",IF(OR(H126="",H126=0,H126=FALSE),"-",H126))</f>
        <v>Offre STRATON transmise à la bonne adresse suite au départ de Bretin. Nouvelle piste créée pour équipe Ventes. Aucune activité récente ni retour prospect sur les fonds présentés. Pas d'action ou étape à venir identifiée dans les échanges ou activités.</v>
      </c>
      <c r="J126" s="8">
</c>
      <c r="K126" s="8" t="s">
        <v>40</v>
      </c>
      <c r="L126" s="9" cm="1" t="str">
        <f t="array" ref="L126">IF(C126="","",IF(K126="Mort / Plus rien à faire","KO","OK"))</f>
        <v>OK</v>
      </c>
      <c r="M126" s="19">
        <v>46092.77462962963</v>
      </c>
      <c r="N126" s="16" cm="1" t="n">
        <f t="array" ref="N126">IF(OR(C126="",M126="",M126=0),"",M126)</f>
        <v>46092.77462962963</v>
      </c>
      <c r="O126" s="19">
</c>
      <c r="P126" s="16" cm="1" t="str">
        <f t="array" ref="P126">IF(C126="","",IF(OR(O126="",O126=0),"-",O126))</f>
        <v>-</v>
      </c>
      <c r="Q126" s="20">
        <v>0</v>
      </c>
      <c r="R126" s="17" cm="1" t="str">
        <f t="array" ref="R126">IF(C126="","",ROUND(Q126/1000000,3)&amp;" M€")</f>
        <v>0 M€</v>
      </c>
      <c r="S126" s="18" t="s">
        <v>408</v>
      </c>
      <c r="T126" s="9" cm="1" t="str">
        <f t="array" ref="T126">IF(C126="","",SUBSTITUTE(S126,"","")&amp;"%")</f>
        <v>0%</v>
      </c>
      <c r="U126" s="15" cm="1" t="str">
        <f t="array" ref="U126">IF(($N126="")*($P126=""),"",IF(($N126&lt;&gt;"")*($N126&gt;TODAY()-9)*($N126&lt;TODAY()+1)*($P126&lt;&gt;"")*($P126&gt;=TODAY())*($P126&lt;=TODAY()+13),"Semaine passée &amp; à venir",IF(($N126&lt;&gt;"")*($N126&gt;TODAY()-9)*($N126&lt;TODAY()+1),"Semaine passée",IF(($P126&lt;&gt;"")*($P126&gt;=TODAY())*($P126&lt;=TODAY()+13),"À venir","Autre"))))</f>
        <v>Autre</v>
      </c>
      <c r="V126" s="8" cm="1" t="n">
        <f t="array" ref="V126">IF(C126&lt;&gt;"",1,0)</f>
        <v>1</v>
      </c>
      <c r="W126" s="8">
</c>
      <c r="X126" s="8">
</c>
      <c r="Y126" s="8">
</c>
      <c r="Z126" s="8">
</c>
      <c r="AA126" s="8">
</c>
      <c r="AB126" s="8">
</c>
      <c r="AC126" s="8">
</c>
      <c r="AD126" s="8">
</c>
      <c r="AE126" s="8">
</c>
      <c r="AF126" s="8">
</c>
      <c r="AG126" s="8">
</c>
      <c r="AH126" s="8">
</c>
      <c r="AI126" s="8">
</c>
      <c r="AJ126" s="8">
</c>
      <c r="AK126" s="8">
</c>
    </row>
    <row r="127" ht="76.5" customHeight="1">
      <c r="A127" s="8" t="s">
        <v>23</v>
      </c>
      <c r="B127" s="8">
</c>
      <c r="C127" s="12" t="s">
        <v>455</v>
      </c>
      <c r="D127" s="18" t="s">
        <v>456</v>
      </c>
      <c r="E127" s="8" t="s">
        <v>27</v>
      </c>
      <c r="F127" s="8" t="s">
        <v>457</v>
      </c>
      <c r="G127" s="14" cm="1" t="str">
        <f t="array" ref="G127">IF(F127="","",SUBSTITUTE(SUBSTITUTE(SUBSTITUTE(SUBSTITUTE(F127,"&lt;li&gt;",CHAR(10)),"&lt;/li&gt;",""),"&lt;br&gt;",CHAR(10)),"&lt;strong&gt;",""))</f>
        <v>&lt;p&gt;Aucune activité menée sur le prospect. Nouvelle piste créée pour l'équipe Ventes, aucun échange, action ou retour enregistré à ce jour. Pas de suivi, pas de prise de contact, ni d'information sur l'origine ou le contexte de création de la piste. Aucun retour ni prochaine étape identifiée.&lt;/p&gt;</v>
      </c>
      <c r="H127" s="14" cm="1" t="str">
        <f t="array" ref="H127">IF(G127="","",SUBSTITUTE(SUBSTITUTE(SUBSTITUTE(SUBSTITUTE(SUBSTITUTE(G127,"&lt;p&gt;",""),"&lt;/p&gt;",""),"&lt;ul&gt;",""),"&lt;/ul&gt;",""),"&lt;/strong&gt;",""))</f>
        <v>Aucune activité menée sur le prospect. Nouvelle piste créée pour l'équipe Ventes, aucun échange, action ou retour enregistré à ce jour. Pas de suivi, pas de prise de contact, ni d'information sur l'origine ou le contexte de création de la piste. Aucun retour ni prochaine étape identifiée.</v>
      </c>
      <c r="I127" s="15" cm="1" t="str">
        <f t="array" ref="I127">IF(C127="","",IF(OR(H127="",H127=0,H127=FALSE),"-",H127))</f>
        <v>Aucune activité menée sur le prospect. Nouvelle piste créée pour l'équipe Ventes, aucun échange, action ou retour enregistré à ce jour. Pas de suivi, pas de prise de contact, ni d'information sur l'origine ou le contexte de création de la piste. Aucun retour ni prochaine étape identifiée.</v>
      </c>
      <c r="J127" s="8" t="s">
        <v>458</v>
      </c>
      <c r="K127" s="8" t="s">
        <v>40</v>
      </c>
      <c r="L127" s="9" cm="1" t="str">
        <f t="array" ref="L127">IF(C127="","",IF(K127="Mort / Plus rien à faire","KO","OK"))</f>
        <v>OK</v>
      </c>
      <c r="M127" s="19">
        <v>46112.683483796296</v>
      </c>
      <c r="N127" s="16" cm="1" t="n">
        <f t="array" ref="N127">IF(OR(C127="",M127="",M127=0),"",M127)</f>
        <v>46112.683483796296</v>
      </c>
      <c r="O127" s="19">
        <v>46118.083333333336</v>
      </c>
      <c r="P127" s="16" cm="1" t="n">
        <f t="array" ref="P127">IF(C127="","",IF(OR(O127="",O127=0),"-",O127))</f>
        <v>46118.083333333336</v>
      </c>
      <c r="Q127" s="20">
        <v>0</v>
      </c>
      <c r="R127" s="17" cm="1" t="str">
        <f t="array" ref="R127">IF(C127="","",ROUND(Q127/1000000,3)&amp;" M€")</f>
        <v>0 M€</v>
      </c>
      <c r="S127" s="18" t="s">
        <v>408</v>
      </c>
      <c r="T127" s="9" cm="1" t="str">
        <f t="array" ref="T127">IF(C127="","",SUBSTITUTE(S127,"","")&amp;"%")</f>
        <v>0%</v>
      </c>
      <c r="U127" s="15" cm="1" t="str">
        <f t="array" ref="U127">IF(($N127="")*($P127=""),"",IF(($N127&lt;&gt;"")*($N127&gt;TODAY()-9)*($N127&lt;TODAY()+1)*($P127&lt;&gt;"")*($P127&gt;=TODAY())*($P127&lt;=TODAY()+13),"Semaine passée &amp; à venir",IF(($N127&lt;&gt;"")*($N127&gt;TODAY()-9)*($N127&lt;TODAY()+1),"Semaine passée",IF(($P127&lt;&gt;"")*($P127&gt;=TODAY())*($P127&lt;=TODAY()+13),"À venir","Autre"))))</f>
        <v>Semaine passée &amp; à venir</v>
      </c>
      <c r="V127" s="8" cm="1" t="n">
        <f t="array" ref="V127">IF(C127&lt;&gt;"",1,0)</f>
        <v>1</v>
      </c>
      <c r="W127" s="8">
</c>
      <c r="X127" s="8">
</c>
      <c r="Y127" s="8">
</c>
      <c r="Z127" s="8">
</c>
      <c r="AA127" s="8">
</c>
      <c r="AB127" s="8">
</c>
      <c r="AC127" s="8">
</c>
      <c r="AD127" s="8">
</c>
      <c r="AE127" s="8">
</c>
      <c r="AF127" s="8">
</c>
      <c r="AG127" s="8">
</c>
      <c r="AH127" s="8">
</c>
      <c r="AI127" s="8">
</c>
      <c r="AJ127" s="8">
</c>
      <c r="AK127" s="8">
</c>
    </row>
    <row r="128" ht="76.5" customHeight="1">
      <c r="A128" s="8" t="s">
        <v>23</v>
      </c>
      <c r="B128" s="8" t="s">
        <v>57</v>
      </c>
      <c r="C128" s="12" t="s">
        <v>459</v>
      </c>
      <c r="D128" s="18" t="s">
        <v>460</v>
      </c>
      <c r="E128" s="8" t="s">
        <v>27</v>
      </c>
      <c r="F128" s="8" t="s">
        <v>461</v>
      </c>
      <c r="G128" s="14" cm="1" t="str">
        <f t="array" ref="G128">IF(F128="","",SUBSTITUTE(SUBSTITUTE(SUBSTITUTE(SUBSTITUTE(F128,"&lt;li&gt;",CHAR(10)),"&lt;/li&gt;",""),"&lt;br&gt;",CHAR(10)),"&lt;strong&gt;",""))</f>
        <v>&lt;p&gt;Relance effectuée par Romain Andrieu, contact en cours, aucune réponse détaillée du prospect à ce stade. Dernière activité le 20/03/2026, pas de retour sur l'intérêt ou les conclusions du prospect concernant les fonds présentés. Prochaine étape : suivi à prévoir, attente de réponse.&lt;/p&gt;</v>
      </c>
      <c r="H128" s="14" cm="1" t="str">
        <f t="array" ref="H128">IF(G128="","",SUBSTITUTE(SUBSTITUTE(SUBSTITUTE(SUBSTITUTE(SUBSTITUTE(G128,"&lt;p&gt;",""),"&lt;/p&gt;",""),"&lt;ul&gt;",""),"&lt;/ul&gt;",""),"&lt;/strong&gt;",""))</f>
        <v>Relance effectuée par Romain Andrieu, contact en cours, aucune réponse détaillée du prospect à ce stade. Dernière activité le 20/03/2026, pas de retour sur l'intérêt ou les conclusions du prospect concernant les fonds présentés. Prochaine étape : suivi à prévoir, attente de réponse.</v>
      </c>
      <c r="I128" s="15" cm="1" t="str">
        <f t="array" ref="I128">IF(C128="","",IF(OR(H128="",H128=0,H128=FALSE),"-",H128))</f>
        <v>Relance effectuée par Romain Andrieu, contact en cours, aucune réponse détaillée du prospect à ce stade. Dernière activité le 20/03/2026, pas de retour sur l'intérêt ou les conclusions du prospect concernant les fonds présentés. Prochaine étape : suivi à prévoir, attente de réponse.</v>
      </c>
      <c r="J128" s="8" t="s">
        <v>462</v>
      </c>
      <c r="K128" s="8" t="s">
        <v>40</v>
      </c>
      <c r="L128" s="9" cm="1" t="str">
        <f t="array" ref="L128">IF(C128="","",IF(K128="Mort / Plus rien à faire","KO","OK"))</f>
        <v>OK</v>
      </c>
      <c r="M128" s="19">
        <v>46087.77224537037</v>
      </c>
      <c r="N128" s="16" cm="1" t="n">
        <f t="array" ref="N128">IF(OR(C128="",M128="",M128=0),"",M128)</f>
        <v>46087.77224537037</v>
      </c>
      <c r="O128" s="19">
</c>
      <c r="P128" s="16" cm="1" t="str">
        <f t="array" ref="P128">IF(C128="","",IF(OR(O128="",O128=0),"-",O128))</f>
        <v>-</v>
      </c>
      <c r="Q128" s="20">
        <v>0</v>
      </c>
      <c r="R128" s="17" cm="1" t="str">
        <f t="array" ref="R128">IF(C128="","",ROUND(Q128/1000000,3)&amp;" M€")</f>
        <v>0 M€</v>
      </c>
      <c r="S128" s="18" t="s">
        <v>408</v>
      </c>
      <c r="T128" s="9" cm="1" t="str">
        <f t="array" ref="T128">IF(C128="","",SUBSTITUTE(S128,"","")&amp;"%")</f>
        <v>0%</v>
      </c>
      <c r="U128" s="15" cm="1" t="str">
        <f t="array" ref="U128">IF(($N128="")*($P128=""),"",IF(($N128&lt;&gt;"")*($N128&gt;TODAY()-9)*($N128&lt;TODAY()+1)*($P128&lt;&gt;"")*($P128&gt;=TODAY())*($P128&lt;=TODAY()+13),"Semaine passée &amp; à venir",IF(($N128&lt;&gt;"")*($N128&gt;TODAY()-9)*($N128&lt;TODAY()+1),"Semaine passée",IF(($P128&lt;&gt;"")*($P128&gt;=TODAY())*($P128&lt;=TODAY()+13),"À venir","Autre"))))</f>
        <v>Autre</v>
      </c>
      <c r="V128" s="8" cm="1" t="n">
        <f t="array" ref="V128">IF(C128&lt;&gt;"",1,0)</f>
        <v>1</v>
      </c>
      <c r="W128" s="8">
</c>
      <c r="X128" s="8">
</c>
      <c r="Y128" s="8">
</c>
      <c r="Z128" s="8">
</c>
      <c r="AA128" s="8">
</c>
      <c r="AB128" s="8">
</c>
      <c r="AC128" s="8">
</c>
      <c r="AD128" s="8">
</c>
      <c r="AE128" s="8">
</c>
      <c r="AF128" s="8">
</c>
      <c r="AG128" s="8">
</c>
      <c r="AH128" s="8">
</c>
      <c r="AI128" s="8">
</c>
      <c r="AJ128" s="8">
</c>
      <c r="AK128" s="8">
</c>
    </row>
    <row r="129" ht="76.5" customHeight="1">
      <c r="A129" s="8" t="s">
        <v>23</v>
      </c>
      <c r="B129" s="8" t="s">
        <v>32</v>
      </c>
      <c r="C129" s="12" t="s">
        <v>463</v>
      </c>
      <c r="D129" s="18" t="s">
        <v>464</v>
      </c>
      <c r="E129" s="8" t="s">
        <v>27</v>
      </c>
      <c r="F129" s="8" t="s">
        <v>465</v>
      </c>
      <c r="G129" s="14" cm="1" t="str">
        <f t="array" ref="G129">IF(F129="","",SUBSTITUTE(SUBSTITUTE(SUBSTITUTE(SUBSTITUTE(F129,"&lt;li&gt;",CHAR(10)),"&lt;/li&gt;",""),"&lt;br&gt;",CHAR(10)),"&lt;strong&gt;",""))</f>
        <v>&lt;p&gt;03/03 : Offre présentée à UNEO, instruction commune. Blocage Président Leclaire (déjà 5 offres, doute sur la démarche). Demande d'appui à JFC (pas de lien). Présence Marc Leclere/Marie Chabaud à soirée ULTRAOPS. Prochaine étape : lever blocage UNEO, suivi à prévoir d'ici 20/05.&lt;/p&gt;</v>
      </c>
      <c r="H129" s="14" cm="1" t="str">
        <f t="array" ref="H129">IF(G129="","",SUBSTITUTE(SUBSTITUTE(SUBSTITUTE(SUBSTITUTE(SUBSTITUTE(G129,"&lt;p&gt;",""),"&lt;/p&gt;",""),"&lt;ul&gt;",""),"&lt;/ul&gt;",""),"&lt;/strong&gt;",""))</f>
        <v>03/03 : Offre présentée à UNEO, instruction commune. Blocage Président Leclaire (déjà 5 offres, doute sur la démarche). Demande d'appui à JFC (pas de lien). Présence Marc Leclere/Marie Chabaud à soirée ULTRAOPS. Prochaine étape : lever blocage UNEO, suivi à prévoir d'ici 20/05.</v>
      </c>
      <c r="I129" s="15" cm="1" t="str">
        <f t="array" ref="I129">IF(C129="","",IF(OR(H129="",H129=0,H129=FALSE),"-",H129))</f>
        <v>03/03 : Offre présentée à UNEO, instruction commune. Blocage Président Leclaire (déjà 5 offres, doute sur la démarche). Demande d'appui à JFC (pas de lien). Présence Marc Leclere/Marie Chabaud à soirée ULTRAOPS. Prochaine étape : lever blocage UNEO, suivi à prévoir d'ici 20/05.</v>
      </c>
      <c r="J129" s="8" t="s">
        <v>466</v>
      </c>
      <c r="K129" s="8" t="s">
        <v>326</v>
      </c>
      <c r="L129" s="9" cm="1" t="str">
        <f t="array" ref="L129">IF(C129="","",IF(K129="Mort / Plus rien à faire","KO","OK"))</f>
        <v>OK</v>
      </c>
      <c r="M129" s="19">
        <v>46114.695543981485</v>
      </c>
      <c r="N129" s="16" cm="1" t="n">
        <f t="array" ref="N129">IF(OR(C129="",M129="",M129=0),"",M129)</f>
        <v>46114.695543981485</v>
      </c>
      <c r="O129" s="19">
        <v>46162.083333333336</v>
      </c>
      <c r="P129" s="16" cm="1" t="n">
        <f t="array" ref="P129">IF(C129="","",IF(OR(O129="",O129=0),"-",O129))</f>
        <v>46162.083333333336</v>
      </c>
      <c r="Q129" s="20">
        <v>0</v>
      </c>
      <c r="R129" s="17" cm="1" t="str">
        <f t="array" ref="R129">IF(C129="","",ROUND(Q129/1000000,3)&amp;" M€")</f>
        <v>0 M€</v>
      </c>
      <c r="S129" s="18" t="s">
        <v>408</v>
      </c>
      <c r="T129" s="9" cm="1" t="str">
        <f t="array" ref="T129">IF(C129="","",SUBSTITUTE(S129,"","")&amp;"%")</f>
        <v>0%</v>
      </c>
      <c r="U129" s="15" cm="1" t="str">
        <f t="array" ref="U129">IF(($N129="")*($P129=""),"",IF(($N129&lt;&gt;"")*($N129&gt;TODAY()-9)*($N129&lt;TODAY()+1)*($P129&lt;&gt;"")*($P129&gt;=TODAY())*($P129&lt;=TODAY()+13),"Semaine passée &amp; à venir",IF(($N129&lt;&gt;"")*($N129&gt;TODAY()-9)*($N129&lt;TODAY()+1),"Semaine passée",IF(($P129&lt;&gt;"")*($P129&gt;=TODAY())*($P129&lt;=TODAY()+13),"À venir","Autre"))))</f>
        <v>Semaine passée</v>
      </c>
      <c r="V129" s="8" cm="1" t="n">
        <f t="array" ref="V129">IF(C129&lt;&gt;"",1,0)</f>
        <v>1</v>
      </c>
      <c r="W129" s="8">
</c>
      <c r="X129" s="8">
</c>
      <c r="Y129" s="8">
</c>
      <c r="Z129" s="8">
</c>
      <c r="AA129" s="8">
</c>
      <c r="AB129" s="8">
</c>
      <c r="AC129" s="8">
</c>
      <c r="AD129" s="8">
</c>
      <c r="AE129" s="8">
</c>
      <c r="AF129" s="8">
</c>
      <c r="AG129" s="8">
</c>
      <c r="AH129" s="8">
</c>
      <c r="AI129" s="8">
</c>
      <c r="AJ129" s="8">
</c>
      <c r="AK129" s="8">
</c>
    </row>
    <row r="130" ht="76.5" customHeight="1">
      <c r="A130" s="8" t="s">
        <v>23</v>
      </c>
      <c r="B130" s="8" t="s">
        <v>32</v>
      </c>
      <c r="C130" s="12" t="s">
        <v>467</v>
      </c>
      <c r="D130" s="18" t="s">
        <v>468</v>
      </c>
      <c r="E130" s="8" t="s">
        <v>27</v>
      </c>
      <c r="F130" s="8" t="s">
        <v>469</v>
      </c>
      <c r="G130" s="14" cm="1" t="str">
        <f t="array" ref="G130">IF(F130="","",SUBSTITUTE(SUBSTITUTE(SUBSTITUTE(SUBSTITUTE(F130,"&lt;li&gt;",CHAR(10)),"&lt;/li&gt;",""),"&lt;br&gt;",CHAR(10)),"&lt;strong&gt;",""))</f>
        <v>&lt;p&gt;Multiples échanges ARKEA/AUDACIA, focus fonds de fonds, STRATON/SLP EXPANSION poussés. Rdv avec Sophie Coulon-Renouvel, Olivia Inizan impliquée, mandat Pierre-Emmanuel Boulic. ARKEA hérite du sujet fonds de fonds 2026. Prochaine étape : organiser un rdv, deadline 14/01/2026.&lt;/p&gt;</v>
      </c>
      <c r="H130" s="14" cm="1" t="str">
        <f t="array" ref="H130">IF(G130="","",SUBSTITUTE(SUBSTITUTE(SUBSTITUTE(SUBSTITUTE(SUBSTITUTE(G130,"&lt;p&gt;",""),"&lt;/p&gt;",""),"&lt;ul&gt;",""),"&lt;/ul&gt;",""),"&lt;/strong&gt;",""))</f>
        <v>Multiples échanges ARKEA/AUDACIA, focus fonds de fonds, STRATON/SLP EXPANSION poussés. Rdv avec Sophie Coulon-Renouvel, Olivia Inizan impliquée, mandat Pierre-Emmanuel Boulic. ARKEA hérite du sujet fonds de fonds 2026. Prochaine étape : organiser un rdv, deadline 14/01/2026.</v>
      </c>
      <c r="I130" s="15" cm="1" t="str">
        <f t="array" ref="I130">IF(C130="","",IF(OR(H130="",H130=0,H130=FALSE),"-",H130))</f>
        <v>Multiples échanges ARKEA/AUDACIA, focus fonds de fonds, STRATON/SLP EXPANSION poussés. Rdv avec Sophie Coulon-Renouvel, Olivia Inizan impliquée, mandat Pierre-Emmanuel Boulic. ARKEA hérite du sujet fonds de fonds 2026. Prochaine étape : organiser un rdv, deadline 14/01/2026.</v>
      </c>
      <c r="J130" s="8">
</c>
      <c r="K130" s="8" t="s">
        <v>407</v>
      </c>
      <c r="L130" s="9" cm="1" t="str">
        <f t="array" ref="L130">IF(C130="","",IF(K130="Mort / Plus rien à faire","KO","OK"))</f>
        <v>KO</v>
      </c>
      <c r="M130" s="19">
        <v>46094.45171296296</v>
      </c>
      <c r="N130" s="16" cm="1" t="n">
        <f t="array" ref="N130">IF(OR(C130="",M130="",M130=0),"",M130)</f>
        <v>46094.45171296296</v>
      </c>
      <c r="O130" s="19">
</c>
      <c r="P130" s="16" cm="1" t="str">
        <f t="array" ref="P130">IF(C130="","",IF(OR(O130="",O130=0),"-",O130))</f>
        <v>-</v>
      </c>
      <c r="Q130" s="20">
        <v>0</v>
      </c>
      <c r="R130" s="17" cm="1" t="str">
        <f t="array" ref="R130">IF(C130="","",ROUND(Q130/1000000,3)&amp;" M€")</f>
        <v>0 M€</v>
      </c>
      <c r="S130" s="18" t="s">
        <v>408</v>
      </c>
      <c r="T130" s="9" cm="1" t="str">
        <f t="array" ref="T130">IF(C130="","",SUBSTITUTE(S130,"","")&amp;"%")</f>
        <v>0%</v>
      </c>
      <c r="U130" s="15" cm="1" t="str">
        <f t="array" ref="U130">IF(($N130="")*($P130=""),"",IF(($N130&lt;&gt;"")*($N130&gt;TODAY()-9)*($N130&lt;TODAY()+1)*($P130&lt;&gt;"")*($P130&gt;=TODAY())*($P130&lt;=TODAY()+13),"Semaine passée &amp; à venir",IF(($N130&lt;&gt;"")*($N130&gt;TODAY()-9)*($N130&lt;TODAY()+1),"Semaine passée",IF(($P130&lt;&gt;"")*($P130&gt;=TODAY())*($P130&lt;=TODAY()+13),"À venir","Autre"))))</f>
        <v>Autre</v>
      </c>
      <c r="V130" s="8" cm="1" t="n">
        <f t="array" ref="V130">IF(C130&lt;&gt;"",1,0)</f>
        <v>1</v>
      </c>
      <c r="W130" s="8">
</c>
      <c r="X130" s="8">
</c>
      <c r="Y130" s="8">
</c>
      <c r="Z130" s="8">
</c>
      <c r="AA130" s="8">
</c>
      <c r="AB130" s="8">
</c>
      <c r="AC130" s="8">
</c>
      <c r="AD130" s="8">
</c>
      <c r="AE130" s="8">
</c>
      <c r="AF130" s="8">
</c>
      <c r="AG130" s="8">
</c>
      <c r="AH130" s="8">
</c>
      <c r="AI130" s="8">
</c>
      <c r="AJ130" s="8">
</c>
      <c r="AK130" s="8">
</c>
    </row>
    <row r="131" ht="76.5" customHeight="1">
      <c r="A131" s="8" t="s">
        <v>23</v>
      </c>
      <c r="B131" s="8" t="s">
        <v>57</v>
      </c>
      <c r="C131" s="12" t="s">
        <v>470</v>
      </c>
      <c r="D131" s="18" t="s">
        <v>471</v>
      </c>
      <c r="E131" s="8" t="s">
        <v>27</v>
      </c>
      <c r="F131" s="8" t="s">
        <v>472</v>
      </c>
      <c r="G131" s="14" cm="1" t="str">
        <f t="array" ref="G131">IF(F131="","",SUBSTITUTE(SUBSTITUTE(SUBSTITUTE(SUBSTITUTE(F131,"&lt;li&gt;",CHAR(10)),"&lt;/li&gt;",""),"&lt;br&gt;",CHAR(10)),"&lt;strong&gt;",""))</f>
        <v>&lt;p&gt;Aucune activité menée sur le prospect. ORPHEOPOLIS : acteur majeur protection enfance, gère établissements, accompagne enfants/familles en difficulté, forte implantation nationale, longue histoire. Pas d'interactions, ni retours, ni prochaines étapes identifiées à ce jour.&lt;/p&gt;</v>
      </c>
      <c r="H131" s="14" cm="1" t="str">
        <f t="array" ref="H131">IF(G131="","",SUBSTITUTE(SUBSTITUTE(SUBSTITUTE(SUBSTITUTE(SUBSTITUTE(G131,"&lt;p&gt;",""),"&lt;/p&gt;",""),"&lt;ul&gt;",""),"&lt;/ul&gt;",""),"&lt;/strong&gt;",""))</f>
        <v>Aucune activité menée sur le prospect. ORPHEOPOLIS : acteur majeur protection enfance, gère établissements, accompagne enfants/familles en difficulté, forte implantation nationale, longue histoire. Pas d'interactions, ni retours, ni prochaines étapes identifiées à ce jour.</v>
      </c>
      <c r="I131" s="15" cm="1" t="str">
        <f t="array" ref="I131">IF(C131="","",IF(OR(H131="",H131=0,H131=FALSE),"-",H131))</f>
        <v>Aucune activité menée sur le prospect. ORPHEOPOLIS : acteur majeur protection enfance, gère établissements, accompagne enfants/familles en difficulté, forte implantation nationale, longue histoire. Pas d'interactions, ni retours, ni prochaines étapes identifiées à ce jour.</v>
      </c>
      <c r="J131" s="8">
</c>
      <c r="K131" s="8" t="s">
        <v>40</v>
      </c>
      <c r="L131" s="9" cm="1" t="str">
        <f t="array" ref="L131">IF(C131="","",IF(K131="Mort / Plus rien à faire","KO","OK"))</f>
        <v>OK</v>
      </c>
      <c r="M131" s="19">
        <v>45992.51152777778</v>
      </c>
      <c r="N131" s="16" cm="1" t="n">
        <f t="array" ref="N131">IF(OR(C131="",M131="",M131=0),"",M131)</f>
        <v>45992.51152777778</v>
      </c>
      <c r="O131" s="19">
</c>
      <c r="P131" s="16" cm="1" t="str">
        <f t="array" ref="P131">IF(C131="","",IF(OR(O131="",O131=0),"-",O131))</f>
        <v>-</v>
      </c>
      <c r="Q131" s="20">
        <v>0</v>
      </c>
      <c r="R131" s="17" cm="1" t="str">
        <f t="array" ref="R131">IF(C131="","",ROUND(Q131/1000000,3)&amp;" M€")</f>
        <v>0 M€</v>
      </c>
      <c r="S131" s="18" t="s">
        <v>408</v>
      </c>
      <c r="T131" s="9" cm="1" t="str">
        <f t="array" ref="T131">IF(C131="","",SUBSTITUTE(S131,"","")&amp;"%")</f>
        <v>0%</v>
      </c>
      <c r="U131" s="15" cm="1" t="str">
        <f t="array" ref="U131">IF(($N131="")*($P131=""),"",IF(($N131&lt;&gt;"")*($N131&gt;TODAY()-9)*($N131&lt;TODAY()+1)*($P131&lt;&gt;"")*($P131&gt;=TODAY())*($P131&lt;=TODAY()+13),"Semaine passée &amp; à venir",IF(($N131&lt;&gt;"")*($N131&gt;TODAY()-9)*($N131&lt;TODAY()+1),"Semaine passée",IF(($P131&lt;&gt;"")*($P131&gt;=TODAY())*($P131&lt;=TODAY()+13),"À venir","Autre"))))</f>
        <v>Autre</v>
      </c>
      <c r="V131" s="8" cm="1" t="n">
        <f t="array" ref="V131">IF(C131&lt;&gt;"",1,0)</f>
        <v>1</v>
      </c>
      <c r="W131" s="8">
</c>
      <c r="X131" s="8">
</c>
      <c r="Y131" s="8">
</c>
      <c r="Z131" s="8">
</c>
      <c r="AA131" s="8">
</c>
      <c r="AB131" s="8">
</c>
      <c r="AC131" s="8">
</c>
      <c r="AD131" s="8">
</c>
      <c r="AE131" s="8">
</c>
      <c r="AF131" s="8">
</c>
      <c r="AG131" s="8">
</c>
      <c r="AH131" s="8">
</c>
      <c r="AI131" s="8">
</c>
      <c r="AJ131" s="8">
</c>
      <c r="AK131" s="8">
</c>
    </row>
    <row r="132" ht="76.5" customHeight="1">
      <c r="A132" s="8" t="s">
        <v>23</v>
      </c>
      <c r="B132" s="8" t="s">
        <v>244</v>
      </c>
      <c r="C132" s="12" t="s">
        <v>473</v>
      </c>
      <c r="D132" s="18" t="s">
        <v>474</v>
      </c>
      <c r="E132" s="8" t="s">
        <v>27</v>
      </c>
      <c r="F132" s="8" t="s">
        <v>475</v>
      </c>
      <c r="G132" s="14" cm="1" t="str">
        <f t="array" ref="G132">IF(F132="","",SUBSTITUTE(SUBSTITUTE(SUBSTITUTE(SUBSTITUTE(F132,"&lt;li&gt;",CHAR(10)),"&lt;/li&gt;",""),"&lt;br&gt;",CHAR(10)),"&lt;strong&gt;",""))</f>
        <v>&lt;p&gt;Aucune activité ou échange mené sur le prospect CRPCEN. Opportunité créée pour l'équipe Ventes. Prospect : CRPCEN, caisse de retraite/prévoyance dédiée aux clercs et employés de notaires, gère plus de 60 000 affiliés, acteur institutionnel historique du secteur protection sociale France.&lt;/p&gt;</v>
      </c>
      <c r="H132" s="14" cm="1" t="str">
        <f t="array" ref="H132">IF(G132="","",SUBSTITUTE(SUBSTITUTE(SUBSTITUTE(SUBSTITUTE(SUBSTITUTE(G132,"&lt;p&gt;",""),"&lt;/p&gt;",""),"&lt;ul&gt;",""),"&lt;/ul&gt;",""),"&lt;/strong&gt;",""))</f>
        <v>Aucune activité ou échange mené sur le prospect CRPCEN. Opportunité créée pour l'équipe Ventes. Prospect : CRPCEN, caisse de retraite/prévoyance dédiée aux clercs et employés de notaires, gère plus de 60 000 affiliés, acteur institutionnel historique du secteur protection sociale France.</v>
      </c>
      <c r="I132" s="15" cm="1" t="str">
        <f t="array" ref="I132">IF(C132="","",IF(OR(H132="",H132=0,H132=FALSE),"-",H132))</f>
        <v>Aucune activité ou échange mené sur le prospect CRPCEN. Opportunité créée pour l'équipe Ventes. Prospect : CRPCEN, caisse de retraite/prévoyance dédiée aux clercs et employés de notaires, gère plus de 60 000 affiliés, acteur institutionnel historique du secteur protection sociale France.</v>
      </c>
      <c r="J132" s="8">
</c>
      <c r="K132" s="8" t="s">
        <v>40</v>
      </c>
      <c r="L132" s="9" cm="1" t="str">
        <f t="array" ref="L132">IF(C132="","",IF(K132="Mort / Plus rien à faire","KO","OK"))</f>
        <v>OK</v>
      </c>
      <c r="M132" s="19">
        <v>45992.515023148146</v>
      </c>
      <c r="N132" s="16" cm="1" t="n">
        <f t="array" ref="N132">IF(OR(C132="",M132="",M132=0),"",M132)</f>
        <v>45992.515023148146</v>
      </c>
      <c r="O132" s="19">
</c>
      <c r="P132" s="16" cm="1" t="str">
        <f t="array" ref="P132">IF(C132="","",IF(OR(O132="",O132=0),"-",O132))</f>
        <v>-</v>
      </c>
      <c r="Q132" s="20">
        <v>0</v>
      </c>
      <c r="R132" s="17" cm="1" t="str">
        <f t="array" ref="R132">IF(C132="","",ROUND(Q132/1000000,3)&amp;" M€")</f>
        <v>0 M€</v>
      </c>
      <c r="S132" s="18" t="s">
        <v>408</v>
      </c>
      <c r="T132" s="9" cm="1" t="str">
        <f t="array" ref="T132">IF(C132="","",SUBSTITUTE(S132,"","")&amp;"%")</f>
        <v>0%</v>
      </c>
      <c r="U132" s="15" cm="1" t="str">
        <f t="array" ref="U132">IF(($N132="")*($P132=""),"",IF(($N132&lt;&gt;"")*($N132&gt;TODAY()-9)*($N132&lt;TODAY()+1)*($P132&lt;&gt;"")*($P132&gt;=TODAY())*($P132&lt;=TODAY()+13),"Semaine passée &amp; à venir",IF(($N132&lt;&gt;"")*($N132&gt;TODAY()-9)*($N132&lt;TODAY()+1),"Semaine passée",IF(($P132&lt;&gt;"")*($P132&gt;=TODAY())*($P132&lt;=TODAY()+13),"À venir","Autre"))))</f>
        <v>Autre</v>
      </c>
      <c r="V132" s="8" cm="1" t="n">
        <f t="array" ref="V132">IF(C132&lt;&gt;"",1,0)</f>
        <v>1</v>
      </c>
      <c r="W132" s="8">
</c>
      <c r="X132" s="8">
</c>
      <c r="Y132" s="8">
</c>
      <c r="Z132" s="8">
</c>
      <c r="AA132" s="8">
</c>
      <c r="AB132" s="8">
</c>
      <c r="AC132" s="8">
</c>
      <c r="AD132" s="8">
</c>
      <c r="AE132" s="8">
</c>
      <c r="AF132" s="8">
</c>
      <c r="AG132" s="8">
</c>
      <c r="AH132" s="8">
</c>
      <c r="AI132" s="8">
</c>
      <c r="AJ132" s="8">
</c>
      <c r="AK132" s="8">
</c>
    </row>
    <row r="133" ht="76.5" customHeight="1">
      <c r="A133" s="8" t="s">
        <v>23</v>
      </c>
      <c r="B133" s="8" t="s">
        <v>107</v>
      </c>
      <c r="C133" s="12" t="s">
        <v>476</v>
      </c>
      <c r="D133" s="18" t="s">
        <v>477</v>
      </c>
      <c r="E133" s="8" t="s">
        <v>27</v>
      </c>
      <c r="F133" s="8" t="s">
        <v>478</v>
      </c>
      <c r="G133" s="14" cm="1" t="str">
        <f t="array" ref="G133">IF(F133="","",SUBSTITUTE(SUBSTITUTE(SUBSTITUTE(SUBSTITUTE(F133,"&lt;li&gt;",CHAR(10)),"&lt;/li&gt;",""),"&lt;br&gt;",CHAR(10)),"&lt;strong&gt;",""))</f>
        <v>&lt;p&gt;16/02/2026 : RDV physique, CERA KO sur Straton, préfère soutenir autres initiatives défense, pas d'ouverture immédiate. 04/03/2026 : Suivi, secteur défense toujours à creuser, contact transmis pour immobilier. Prochaine étape : RDV requalification janvier 2027. Pas d'autre info sur création piste.&lt;/p&gt;</v>
      </c>
      <c r="H133" s="14" cm="1" t="str">
        <f t="array" ref="H133">IF(G133="","",SUBSTITUTE(SUBSTITUTE(SUBSTITUTE(SUBSTITUTE(SUBSTITUTE(G133,"&lt;p&gt;",""),"&lt;/p&gt;",""),"&lt;ul&gt;",""),"&lt;/ul&gt;",""),"&lt;/strong&gt;",""))</f>
        <v>16/02/2026 : RDV physique, CERA KO sur Straton, préfère soutenir autres initiatives défense, pas d'ouverture immédiate. 04/03/2026 : Suivi, secteur défense toujours à creuser, contact transmis pour immobilier. Prochaine étape : RDV requalification janvier 2027. Pas d'autre info sur création piste.</v>
      </c>
      <c r="I133" s="15" cm="1" t="str">
        <f t="array" ref="I133">IF(C133="","",IF(OR(H133="",H133=0,H133=FALSE),"-",H133))</f>
        <v>16/02/2026 : RDV physique, CERA KO sur Straton, préfère soutenir autres initiatives défense, pas d'ouverture immédiate. 04/03/2026 : Suivi, secteur défense toujours à creuser, contact transmis pour immobilier. Prochaine étape : RDV requalification janvier 2027. Pas d'autre info sur création piste.</v>
      </c>
      <c r="J133" s="8" t="s">
        <v>479</v>
      </c>
      <c r="K133" s="8" t="s">
        <v>407</v>
      </c>
      <c r="L133" s="9" cm="1" t="str">
        <f t="array" ref="L133">IF(C133="","",IF(K133="Mort / Plus rien à faire","KO","OK"))</f>
        <v>KO</v>
      </c>
      <c r="M133" s="19">
        <v>46085.627384259256</v>
      </c>
      <c r="N133" s="16" cm="1" t="n">
        <f t="array" ref="N133">IF(OR(C133="",M133="",M133=0),"",M133)</f>
        <v>46085.627384259256</v>
      </c>
      <c r="O133" s="19">
        <v>46391.041666666664</v>
      </c>
      <c r="P133" s="16" cm="1" t="n">
        <f t="array" ref="P133">IF(C133="","",IF(OR(O133="",O133=0),"-",O133))</f>
        <v>46391.041666666664</v>
      </c>
      <c r="Q133" s="20">
        <v>0</v>
      </c>
      <c r="R133" s="17" cm="1" t="str">
        <f t="array" ref="R133">IF(C133="","",ROUND(Q133/1000000,3)&amp;" M€")</f>
        <v>0 M€</v>
      </c>
      <c r="S133" s="18" t="s">
        <v>408</v>
      </c>
      <c r="T133" s="9" cm="1" t="str">
        <f t="array" ref="T133">IF(C133="","",SUBSTITUTE(S133,"","")&amp;"%")</f>
        <v>0%</v>
      </c>
      <c r="U133" s="15" cm="1" t="str">
        <f t="array" ref="U133">IF(($N133="")*($P133=""),"",IF(($N133&lt;&gt;"")*($N133&gt;TODAY()-9)*($N133&lt;TODAY()+1)*($P133&lt;&gt;"")*($P133&gt;=TODAY())*($P133&lt;=TODAY()+13),"Semaine passée &amp; à venir",IF(($N133&lt;&gt;"")*($N133&gt;TODAY()-9)*($N133&lt;TODAY()+1),"Semaine passée",IF(($P133&lt;&gt;"")*($P133&gt;=TODAY())*($P133&lt;=TODAY()+13),"À venir","Autre"))))</f>
        <v>Autre</v>
      </c>
      <c r="V133" s="8" cm="1" t="n">
        <f t="array" ref="V133">IF(C133&lt;&gt;"",1,0)</f>
        <v>1</v>
      </c>
      <c r="W133" s="8">
</c>
      <c r="X133" s="8">
</c>
      <c r="Y133" s="8">
</c>
      <c r="Z133" s="8">
</c>
      <c r="AA133" s="8">
</c>
      <c r="AB133" s="8">
</c>
      <c r="AC133" s="8">
</c>
      <c r="AD133" s="8">
</c>
      <c r="AE133" s="8">
</c>
      <c r="AF133" s="8">
</c>
      <c r="AG133" s="8">
</c>
      <c r="AH133" s="8">
</c>
      <c r="AI133" s="8">
</c>
      <c r="AJ133" s="8">
</c>
      <c r="AK133" s="8">
</c>
    </row>
    <row r="134" ht="76.5" customHeight="1">
      <c r="A134" s="8" t="s">
        <v>23</v>
      </c>
      <c r="B134" s="8" t="s">
        <v>57</v>
      </c>
      <c r="C134" s="12" t="s">
        <v>480</v>
      </c>
      <c r="D134" s="18" t="s">
        <v>481</v>
      </c>
      <c r="E134" s="8" t="s">
        <v>27</v>
      </c>
      <c r="F134" s="8" t="s">
        <v>482</v>
      </c>
      <c r="G134" s="14" cm="1" t="str">
        <f t="array" ref="G134">IF(F134="","",SUBSTITUTE(SUBSTITUTE(SUBSTITUTE(SUBSTITUTE(F134,"&lt;li&gt;",CHAR(10)),"&lt;/li&gt;",""),"&lt;br&gt;",CHAR(10)),"&lt;strong&gt;",""))</f>
        <v>&lt;p&gt;RDV physique UNEDIC &amp;lt;&amp;gt; IPEM le 06/02 : UNEDIC gère 60mds€ de dettes, focus liquidité, politiques d'investissement très monétaires, très peu d'intérêt pour PE, ouverture marginale sur fonds obligataires ESG. Pas d'activité ou de suivi supplémentaire identifié à ce jour.&lt;/p&gt;</v>
      </c>
      <c r="H134" s="14" cm="1" t="str">
        <f t="array" ref="H134">IF(G134="","",SUBSTITUTE(SUBSTITUTE(SUBSTITUTE(SUBSTITUTE(SUBSTITUTE(G134,"&lt;p&gt;",""),"&lt;/p&gt;",""),"&lt;ul&gt;",""),"&lt;/ul&gt;",""),"&lt;/strong&gt;",""))</f>
        <v>RDV physique UNEDIC &amp;lt;&amp;gt; IPEM le 06/02 : UNEDIC gère 60mds€ de dettes, focus liquidité, politiques d'investissement très monétaires, très peu d'intérêt pour PE, ouverture marginale sur fonds obligataires ESG. Pas d'activité ou de suivi supplémentaire identifié à ce jour.</v>
      </c>
      <c r="I134" s="15" cm="1" t="str">
        <f t="array" ref="I134">IF(C134="","",IF(OR(H134="",H134=0,H134=FALSE),"-",H134))</f>
        <v>RDV physique UNEDIC &amp;lt;&amp;gt; IPEM le 06/02 : UNEDIC gère 60mds€ de dettes, focus liquidité, politiques d'investissement très monétaires, très peu d'intérêt pour PE, ouverture marginale sur fonds obligataires ESG. Pas d'activité ou de suivi supplémentaire identifié à ce jour.</v>
      </c>
      <c r="J134" s="8">
</c>
      <c r="K134" s="8" t="s">
        <v>326</v>
      </c>
      <c r="L134" s="9" cm="1" t="str">
        <f t="array" ref="L134">IF(C134="","",IF(K134="Mort / Plus rien à faire","KO","OK"))</f>
        <v>OK</v>
      </c>
      <c r="M134" s="19">
        <v>46059.81091435185</v>
      </c>
      <c r="N134" s="16" cm="1" t="n">
        <f t="array" ref="N134">IF(OR(C134="",M134="",M134=0),"",M134)</f>
        <v>46059.81091435185</v>
      </c>
      <c r="O134" s="19">
</c>
      <c r="P134" s="16" cm="1" t="str">
        <f t="array" ref="P134">IF(C134="","",IF(OR(O134="",O134=0),"-",O134))</f>
        <v>-</v>
      </c>
      <c r="Q134" s="20">
        <v>0</v>
      </c>
      <c r="R134" s="17" cm="1" t="str">
        <f t="array" ref="R134">IF(C134="","",ROUND(Q134/1000000,3)&amp;" M€")</f>
        <v>0 M€</v>
      </c>
      <c r="S134" s="18" t="s">
        <v>408</v>
      </c>
      <c r="T134" s="9" cm="1" t="str">
        <f t="array" ref="T134">IF(C134="","",SUBSTITUTE(S134,"","")&amp;"%")</f>
        <v>0%</v>
      </c>
      <c r="U134" s="15" cm="1" t="str">
        <f t="array" ref="U134">IF(($N134="")*($P134=""),"",IF(($N134&lt;&gt;"")*($N134&gt;TODAY()-9)*($N134&lt;TODAY()+1)*($P134&lt;&gt;"")*($P134&gt;=TODAY())*($P134&lt;=TODAY()+13),"Semaine passée &amp; à venir",IF(($N134&lt;&gt;"")*($N134&gt;TODAY()-9)*($N134&lt;TODAY()+1),"Semaine passée",IF(($P134&lt;&gt;"")*($P134&gt;=TODAY())*($P134&lt;=TODAY()+13),"À venir","Autre"))))</f>
        <v>Autre</v>
      </c>
      <c r="V134" s="8" cm="1" t="n">
        <f t="array" ref="V134">IF(C134&lt;&gt;"",1,0)</f>
        <v>1</v>
      </c>
      <c r="W134" s="8">
</c>
      <c r="X134" s="8">
</c>
      <c r="Y134" s="8">
</c>
      <c r="Z134" s="8">
</c>
      <c r="AA134" s="8">
</c>
      <c r="AB134" s="8">
</c>
      <c r="AC134" s="8">
</c>
      <c r="AD134" s="8">
</c>
      <c r="AE134" s="8">
</c>
      <c r="AF134" s="8">
</c>
      <c r="AG134" s="8">
</c>
      <c r="AH134" s="8">
</c>
      <c r="AI134" s="8">
</c>
      <c r="AJ134" s="8">
</c>
      <c r="AK134" s="8">
</c>
    </row>
    <row r="135" ht="76.5" customHeight="1">
      <c r="A135" s="8">
</c>
      <c r="B135" s="8">
</c>
      <c r="C135" s="12">
</c>
      <c r="D135" s="8">
</c>
      <c r="E135" s="8">
</c>
      <c r="F135" s="8">
</c>
      <c r="G135" s="14" cm="1" t="str">
        <f t="array" ref="G135">IF(F135="","",SUBSTITUTE(SUBSTITUTE(SUBSTITUTE(SUBSTITUTE(F135,"&lt;li&gt;",CHAR(10)),"&lt;/li&gt;",""),"&lt;br&gt;",CHAR(10)),"&lt;strong&gt;",""))</f>
        <v/>
      </c>
      <c r="H135" s="14" cm="1" t="str">
        <f t="array" ref="H135">IF(G135="","",SUBSTITUTE(SUBSTITUTE(SUBSTITUTE(SUBSTITUTE(SUBSTITUTE(G135,"&lt;p&gt;",""),"&lt;/p&gt;",""),"&lt;ul&gt;",""),"&lt;/ul&gt;",""),"&lt;/strong&gt;",""))</f>
        <v/>
      </c>
      <c r="I135" s="15" cm="1" t="str">
        <f t="array" ref="I135">IF(C135="","",IF(OR(H135="",H135=0,H135=FALSE),"-",H135))</f>
        <v/>
      </c>
      <c r="J135" s="8">
</c>
      <c r="K135" s="8">
</c>
      <c r="L135" s="9" cm="1" t="str">
        <f t="array" ref="L135">IF(C135="","",IF(K135="Mort / Plus rien à faire","KO","OK"))</f>
        <v/>
      </c>
      <c r="M135" s="19">
</c>
      <c r="N135" s="16" cm="1" t="str">
        <f t="array" ref="N135">IF(OR(C135="",M135="",M135=0),"",M135)</f>
        <v/>
      </c>
      <c r="O135" s="19">
</c>
      <c r="P135" s="16" cm="1" t="str">
        <f t="array" ref="P135">IF(C135="","",IF(OR(O135="",O135=0),"-",O135))</f>
        <v/>
      </c>
      <c r="Q135" s="20">
</c>
      <c r="R135" s="17" cm="1" t="str">
        <f t="array" ref="R135">IF(C135="","",ROUND(Q135/1000000,3)&amp;" M€")</f>
        <v/>
      </c>
      <c r="S135" s="18">
</c>
      <c r="T135" s="9" cm="1" t="str">
        <f t="array" ref="T135">IF(C135="","",SUBSTITUTE(S135,"","")&amp;"%")</f>
        <v/>
      </c>
      <c r="U135" s="15" cm="1" t="str">
        <f t="array" ref="U135">IF(($N135="")*($P135=""),"",IF(($N135&lt;&gt;"")*($N135&gt;TODAY()-9)*($N135&lt;TODAY()+1)*($P135&lt;&gt;"")*($P135&gt;=TODAY())*($P135&lt;=TODAY()+13),"Semaine passée &amp; à venir",IF(($N135&lt;&gt;"")*($N135&gt;TODAY()-9)*($N135&lt;TODAY()+1),"Semaine passée",IF(($P135&lt;&gt;"")*($P135&gt;=TODAY())*($P135&lt;=TODAY()+13),"À venir","Autre"))))</f>
        <v/>
      </c>
      <c r="V135" s="8" cm="1" t="n">
        <f t="array" ref="V135">IF(C135&lt;&gt;"",1,0)</f>
        <v>0</v>
      </c>
      <c r="W135" s="8">
</c>
      <c r="X135" s="8">
</c>
      <c r="Y135" s="8">
</c>
      <c r="Z135" s="8">
</c>
      <c r="AA135" s="8">
</c>
      <c r="AB135" s="8">
</c>
      <c r="AC135" s="8">
</c>
      <c r="AD135" s="8">
</c>
      <c r="AE135" s="8">
</c>
      <c r="AF135" s="8">
</c>
      <c r="AG135" s="8">
</c>
      <c r="AH135" s="8">
</c>
      <c r="AI135" s="8">
</c>
      <c r="AJ135" s="8">
</c>
      <c r="AK135" s="8">
</c>
    </row>
    <row r="136" ht="76.5" customHeight="1">
      <c r="A136" s="8">
</c>
      <c r="B136" s="8">
</c>
      <c r="C136" s="12">
</c>
      <c r="D136" s="8">
</c>
      <c r="E136" s="8">
</c>
      <c r="F136" s="8">
</c>
      <c r="G136" s="14" cm="1" t="str">
        <f t="array" ref="G136">IF(F136="","",SUBSTITUTE(SUBSTITUTE(SUBSTITUTE(SUBSTITUTE(F136,"&lt;li&gt;",CHAR(10)),"&lt;/li&gt;",""),"&lt;br&gt;",CHAR(10)),"&lt;strong&gt;",""))</f>
        <v/>
      </c>
      <c r="H136" s="14" cm="1" t="str">
        <f t="array" ref="H136">IF(G136="","",SUBSTITUTE(SUBSTITUTE(SUBSTITUTE(SUBSTITUTE(SUBSTITUTE(G136,"&lt;p&gt;",""),"&lt;/p&gt;",""),"&lt;ul&gt;",""),"&lt;/ul&gt;",""),"&lt;/strong&gt;",""))</f>
        <v/>
      </c>
      <c r="I136" s="15" cm="1" t="str">
        <f t="array" ref="I136">IF(C136="","",IF(OR(H136="",H136=0,H136=FALSE),"-",H136))</f>
        <v/>
      </c>
      <c r="J136" s="8">
</c>
      <c r="K136" s="8">
</c>
      <c r="L136" s="9" cm="1" t="str">
        <f t="array" ref="L136">IF(C136="","",IF(K136="Mort / Plus rien à faire","KO","OK"))</f>
        <v/>
      </c>
      <c r="M136" s="19">
</c>
      <c r="N136" s="16" cm="1" t="str">
        <f t="array" ref="N136">IF(OR(C136="",M136="",M136=0),"",M136)</f>
        <v/>
      </c>
      <c r="O136" s="19">
</c>
      <c r="P136" s="16" cm="1" t="str">
        <f t="array" ref="P136">IF(C136="","",IF(OR(O136="",O136=0),"-",O136))</f>
        <v/>
      </c>
      <c r="Q136" s="20">
</c>
      <c r="R136" s="17" cm="1" t="str">
        <f t="array" ref="R136">IF(C136="","",ROUND(Q136/1000000,3)&amp;" M€")</f>
        <v/>
      </c>
      <c r="S136" s="18">
</c>
      <c r="T136" s="9" cm="1" t="str">
        <f t="array" ref="T136">IF(C136="","",SUBSTITUTE(S136,"","")&amp;"%")</f>
        <v/>
      </c>
      <c r="U136" s="15" cm="1" t="str">
        <f t="array" ref="U136">IF(($N136="")*($P136=""),"",IF(($N136&lt;&gt;"")*($N136&gt;TODAY()-9)*($N136&lt;TODAY()+1)*($P136&lt;&gt;"")*($P136&gt;=TODAY())*($P136&lt;=TODAY()+13),"Semaine passée &amp; à venir",IF(($N136&lt;&gt;"")*($N136&gt;TODAY()-9)*($N136&lt;TODAY()+1),"Semaine passée",IF(($P136&lt;&gt;"")*($P136&gt;=TODAY())*($P136&lt;=TODAY()+13),"À venir","Autre"))))</f>
        <v/>
      </c>
      <c r="V136" s="8" cm="1" t="n">
        <f t="array" ref="V136">IF(C136&lt;&gt;"",1,0)</f>
        <v>0</v>
      </c>
      <c r="W136" s="8">
</c>
      <c r="X136" s="8">
</c>
      <c r="Y136" s="8">
</c>
      <c r="Z136" s="8">
</c>
      <c r="AA136" s="8">
</c>
      <c r="AB136" s="8">
</c>
      <c r="AC136" s="8">
</c>
      <c r="AD136" s="8">
</c>
      <c r="AE136" s="8">
</c>
      <c r="AF136" s="8">
</c>
      <c r="AG136" s="8">
</c>
      <c r="AH136" s="8">
</c>
      <c r="AI136" s="8">
</c>
      <c r="AJ136" s="8">
</c>
      <c r="AK136" s="8">
</c>
    </row>
    <row r="137" ht="76.5" customHeight="1">
      <c r="A137" s="8">
</c>
      <c r="B137" s="8">
</c>
      <c r="C137" s="12">
</c>
      <c r="D137" s="8">
</c>
      <c r="E137" s="8">
</c>
      <c r="F137" s="8">
</c>
      <c r="G137" s="14" cm="1" t="str">
        <f t="array" ref="G137">IF(F137="","",SUBSTITUTE(SUBSTITUTE(SUBSTITUTE(SUBSTITUTE(F137,"&lt;li&gt;",CHAR(10)),"&lt;/li&gt;",""),"&lt;br&gt;",CHAR(10)),"&lt;strong&gt;",""))</f>
        <v/>
      </c>
      <c r="H137" s="14" cm="1" t="str">
        <f t="array" ref="H137">IF(G137="","",SUBSTITUTE(SUBSTITUTE(SUBSTITUTE(SUBSTITUTE(SUBSTITUTE(G137,"&lt;p&gt;",""),"&lt;/p&gt;",""),"&lt;ul&gt;",""),"&lt;/ul&gt;",""),"&lt;/strong&gt;",""))</f>
        <v/>
      </c>
      <c r="I137" s="15" cm="1" t="str">
        <f t="array" ref="I137">IF(C137="","",IF(OR(H137="",H137=0,H137=FALSE),"-",H137))</f>
        <v/>
      </c>
      <c r="J137" s="8">
</c>
      <c r="K137" s="8">
</c>
      <c r="L137" s="9" cm="1" t="str">
        <f t="array" ref="L137">IF(C137="","",IF(K137="Mort / Plus rien à faire","KO","OK"))</f>
        <v/>
      </c>
      <c r="M137" s="19">
</c>
      <c r="N137" s="16" cm="1" t="str">
        <f t="array" ref="N137">IF(OR(C137="",M137="",M137=0),"",M137)</f>
        <v/>
      </c>
      <c r="O137" s="19">
</c>
      <c r="P137" s="16" cm="1" t="str">
        <f t="array" ref="P137">IF(C137="","",IF(OR(O137="",O137=0),"-",O137))</f>
        <v/>
      </c>
      <c r="Q137" s="20">
</c>
      <c r="R137" s="17" cm="1" t="str">
        <f t="array" ref="R137">IF(C137="","",ROUND(Q137/1000000,3)&amp;" M€")</f>
        <v/>
      </c>
      <c r="S137" s="18">
</c>
      <c r="T137" s="9" cm="1" t="str">
        <f t="array" ref="T137">IF(C137="","",SUBSTITUTE(S137,"","")&amp;"%")</f>
        <v/>
      </c>
      <c r="U137" s="15" cm="1" t="str">
        <f t="array" ref="U137">IF(($N137="")*($P137=""),"",IF(($N137&lt;&gt;"")*($N137&gt;TODAY()-9)*($N137&lt;TODAY()+1)*($P137&lt;&gt;"")*($P137&gt;=TODAY())*($P137&lt;=TODAY()+13),"Semaine passée &amp; à venir",IF(($N137&lt;&gt;"")*($N137&gt;TODAY()-9)*($N137&lt;TODAY()+1),"Semaine passée",IF(($P137&lt;&gt;"")*($P137&gt;=TODAY())*($P137&lt;=TODAY()+13),"À venir","Autre"))))</f>
        <v/>
      </c>
      <c r="V137" s="8" cm="1" t="n">
        <f t="array" ref="V137">IF(C137&lt;&gt;"",1,0)</f>
        <v>0</v>
      </c>
      <c r="W137" s="8">
</c>
      <c r="X137" s="8">
</c>
      <c r="Y137" s="8">
</c>
      <c r="Z137" s="8">
</c>
      <c r="AA137" s="8">
</c>
      <c r="AB137" s="8">
</c>
      <c r="AC137" s="8">
</c>
      <c r="AD137" s="8">
</c>
      <c r="AE137" s="8">
</c>
      <c r="AF137" s="8">
</c>
      <c r="AG137" s="8">
</c>
      <c r="AH137" s="8">
</c>
      <c r="AI137" s="8">
</c>
      <c r="AJ137" s="8">
</c>
      <c r="AK137" s="8">
</c>
    </row>
    <row r="138" ht="76.5" customHeight="1">
      <c r="A138" s="8">
</c>
      <c r="B138" s="8">
</c>
      <c r="C138" s="12">
</c>
      <c r="D138" s="8">
</c>
      <c r="E138" s="8">
</c>
      <c r="F138" s="8">
</c>
      <c r="G138" s="14" cm="1" t="str">
        <f t="array" ref="G138">IF(F138="","",SUBSTITUTE(SUBSTITUTE(SUBSTITUTE(SUBSTITUTE(F138,"&lt;li&gt;",CHAR(10)),"&lt;/li&gt;",""),"&lt;br&gt;",CHAR(10)),"&lt;strong&gt;",""))</f>
        <v/>
      </c>
      <c r="H138" s="14" cm="1" t="str">
        <f t="array" ref="H138">IF(G138="","",SUBSTITUTE(SUBSTITUTE(SUBSTITUTE(SUBSTITUTE(SUBSTITUTE(G138,"&lt;p&gt;",""),"&lt;/p&gt;",""),"&lt;ul&gt;",""),"&lt;/ul&gt;",""),"&lt;/strong&gt;",""))</f>
        <v/>
      </c>
      <c r="I138" s="15" cm="1" t="str">
        <f t="array" ref="I138">IF(C138="","",IF(OR(H138="",H138=0,H138=FALSE),"-",H138))</f>
        <v/>
      </c>
      <c r="J138" s="8">
</c>
      <c r="K138" s="8">
</c>
      <c r="L138" s="9" cm="1" t="str">
        <f t="array" ref="L138">IF(C138="","",IF(K138="Mort / Plus rien à faire","KO","OK"))</f>
        <v/>
      </c>
      <c r="M138" s="19">
</c>
      <c r="N138" s="16" cm="1" t="str">
        <f t="array" ref="N138">IF(OR(C138="",M138="",M138=0),"",M138)</f>
        <v/>
      </c>
      <c r="O138" s="19">
</c>
      <c r="P138" s="16" cm="1" t="str">
        <f t="array" ref="P138">IF(C138="","",IF(OR(O138="",O138=0),"-",O138))</f>
        <v/>
      </c>
      <c r="Q138" s="20">
</c>
      <c r="R138" s="17" cm="1" t="str">
        <f t="array" ref="R138">IF(C138="","",ROUND(Q138/1000000,3)&amp;" M€")</f>
        <v/>
      </c>
      <c r="S138" s="18">
</c>
      <c r="T138" s="9" cm="1" t="str">
        <f t="array" ref="T138">IF(C138="","",SUBSTITUTE(S138,"","")&amp;"%")</f>
        <v/>
      </c>
      <c r="U138" s="15" cm="1" t="str">
        <f t="array" ref="U138">IF(($N138="")*($P138=""),"",IF(($N138&lt;&gt;"")*($N138&gt;TODAY()-9)*($N138&lt;TODAY()+1)*($P138&lt;&gt;"")*($P138&gt;=TODAY())*($P138&lt;=TODAY()+13),"Semaine passée &amp; à venir",IF(($N138&lt;&gt;"")*($N138&gt;TODAY()-9)*($N138&lt;TODAY()+1),"Semaine passée",IF(($P138&lt;&gt;"")*($P138&gt;=TODAY())*($P138&lt;=TODAY()+13),"À venir","Autre"))))</f>
        <v/>
      </c>
      <c r="V138" s="8" cm="1" t="n">
        <f t="array" ref="V138">IF(C138&lt;&gt;"",1,0)</f>
        <v>0</v>
      </c>
      <c r="W138" s="8">
</c>
      <c r="X138" s="8">
</c>
      <c r="Y138" s="8">
</c>
      <c r="Z138" s="8">
</c>
      <c r="AA138" s="8">
</c>
      <c r="AB138" s="8">
</c>
      <c r="AC138" s="8">
</c>
      <c r="AD138" s="8">
</c>
      <c r="AE138" s="8">
</c>
      <c r="AF138" s="8">
</c>
      <c r="AG138" s="8">
</c>
      <c r="AH138" s="8">
</c>
      <c r="AI138" s="8">
</c>
      <c r="AJ138" s="8">
</c>
      <c r="AK138" s="8">
</c>
    </row>
    <row r="139" ht="76.5" customHeight="1">
      <c r="A139" s="8">
</c>
      <c r="B139" s="8">
</c>
      <c r="C139" s="12">
</c>
      <c r="D139" s="8">
</c>
      <c r="E139" s="8">
</c>
      <c r="F139" s="8">
</c>
      <c r="G139" s="14" cm="1" t="str">
        <f t="array" ref="G139">IF(F139="","",SUBSTITUTE(SUBSTITUTE(SUBSTITUTE(SUBSTITUTE(F139,"&lt;li&gt;",CHAR(10)),"&lt;/li&gt;",""),"&lt;br&gt;",CHAR(10)),"&lt;strong&gt;",""))</f>
        <v/>
      </c>
      <c r="H139" s="14" cm="1" t="str">
        <f t="array" ref="H139">IF(G139="","",SUBSTITUTE(SUBSTITUTE(SUBSTITUTE(SUBSTITUTE(SUBSTITUTE(G139,"&lt;p&gt;",""),"&lt;/p&gt;",""),"&lt;ul&gt;",""),"&lt;/ul&gt;",""),"&lt;/strong&gt;",""))</f>
        <v/>
      </c>
      <c r="I139" s="15" cm="1" t="str">
        <f t="array" ref="I139">IF(C139="","",IF(OR(H139="",H139=0,H139=FALSE),"-",H139))</f>
        <v/>
      </c>
      <c r="J139" s="8">
</c>
      <c r="K139" s="8">
</c>
      <c r="L139" s="9" cm="1" t="str">
        <f t="array" ref="L139">IF(C139="","",IF(K139="Mort / Plus rien à faire","KO","OK"))</f>
        <v/>
      </c>
      <c r="M139" s="19">
</c>
      <c r="N139" s="16" cm="1" t="str">
        <f t="array" ref="N139">IF(OR(C139="",M139="",M139=0),"",M139)</f>
        <v/>
      </c>
      <c r="O139" s="19">
</c>
      <c r="P139" s="16" cm="1" t="str">
        <f t="array" ref="P139">IF(C139="","",IF(OR(O139="",O139=0),"-",O139))</f>
        <v/>
      </c>
      <c r="Q139" s="20">
</c>
      <c r="R139" s="17" cm="1" t="str">
        <f t="array" ref="R139">IF(C139="","",ROUND(Q139/1000000,3)&amp;" M€")</f>
        <v/>
      </c>
      <c r="S139" s="18">
</c>
      <c r="T139" s="9" cm="1" t="str">
        <f t="array" ref="T139">IF(C139="","",SUBSTITUTE(S139,"","")&amp;"%")</f>
        <v/>
      </c>
      <c r="U139" s="15" cm="1" t="str">
        <f t="array" ref="U139">IF(($N139="")*($P139=""),"",IF(($N139&lt;&gt;"")*($N139&gt;TODAY()-9)*($N139&lt;TODAY()+1)*($P139&lt;&gt;"")*($P139&gt;=TODAY())*($P139&lt;=TODAY()+13),"Semaine passée &amp; à venir",IF(($N139&lt;&gt;"")*($N139&gt;TODAY()-9)*($N139&lt;TODAY()+1),"Semaine passée",IF(($P139&lt;&gt;"")*($P139&gt;=TODAY())*($P139&lt;=TODAY()+13),"À venir","Autre"))))</f>
        <v/>
      </c>
      <c r="V139" s="8" cm="1" t="n">
        <f t="array" ref="V139">IF(C139&lt;&gt;"",1,0)</f>
        <v>0</v>
      </c>
      <c r="W139" s="8">
</c>
      <c r="X139" s="8">
</c>
      <c r="Y139" s="8">
</c>
      <c r="Z139" s="8">
</c>
      <c r="AA139" s="8">
</c>
      <c r="AB139" s="8">
</c>
      <c r="AC139" s="8">
</c>
      <c r="AD139" s="8">
</c>
      <c r="AE139" s="8">
</c>
      <c r="AF139" s="8">
</c>
      <c r="AG139" s="8">
</c>
      <c r="AH139" s="8">
</c>
      <c r="AI139" s="8">
</c>
      <c r="AJ139" s="8">
</c>
      <c r="AK139" s="8">
</c>
    </row>
    <row r="140" ht="76.5" customHeight="1">
      <c r="A140" s="8">
</c>
      <c r="B140" s="8">
</c>
      <c r="C140" s="12">
</c>
      <c r="D140" s="8">
</c>
      <c r="E140" s="8">
</c>
      <c r="F140" s="8">
</c>
      <c r="G140" s="14" cm="1" t="str">
        <f t="array" ref="G140">IF(F140="","",SUBSTITUTE(SUBSTITUTE(SUBSTITUTE(SUBSTITUTE(F140,"&lt;li&gt;",CHAR(10)),"&lt;/li&gt;",""),"&lt;br&gt;",CHAR(10)),"&lt;strong&gt;",""))</f>
        <v/>
      </c>
      <c r="H140" s="14" cm="1" t="str">
        <f t="array" ref="H140">IF(G140="","",SUBSTITUTE(SUBSTITUTE(SUBSTITUTE(SUBSTITUTE(SUBSTITUTE(G140,"&lt;p&gt;",""),"&lt;/p&gt;",""),"&lt;ul&gt;",""),"&lt;/ul&gt;",""),"&lt;/strong&gt;",""))</f>
        <v/>
      </c>
      <c r="I140" s="15" cm="1" t="str">
        <f t="array" ref="I140">IF(C140="","",IF(OR(H140="",H140=0,H140=FALSE),"-",H140))</f>
        <v/>
      </c>
      <c r="J140" s="8">
</c>
      <c r="K140" s="8">
</c>
      <c r="L140" s="9" cm="1" t="str">
        <f t="array" ref="L140">IF(C140="","",IF(K140="Mort / Plus rien à faire","KO","OK"))</f>
        <v/>
      </c>
      <c r="M140" s="19">
</c>
      <c r="N140" s="16" cm="1" t="str">
        <f t="array" ref="N140">IF(OR(C140="",M140="",M140=0),"",M140)</f>
        <v/>
      </c>
      <c r="O140" s="19">
</c>
      <c r="P140" s="16" cm="1" t="str">
        <f t="array" ref="P140">IF(C140="","",IF(OR(O140="",O140=0),"-",O140))</f>
        <v/>
      </c>
      <c r="Q140" s="20">
</c>
      <c r="R140" s="17" cm="1" t="str">
        <f t="array" ref="R140">IF(C140="","",ROUND(Q140/1000000,3)&amp;" M€")</f>
        <v/>
      </c>
      <c r="S140" s="18">
</c>
      <c r="T140" s="9" cm="1" t="str">
        <f t="array" ref="T140">IF(C140="","",SUBSTITUTE(S140,"","")&amp;"%")</f>
        <v/>
      </c>
      <c r="U140" s="15" cm="1" t="str">
        <f t="array" ref="U140">IF(($N140="")*($P140=""),"",IF(($N140&lt;&gt;"")*($N140&gt;TODAY()-9)*($N140&lt;TODAY()+1)*($P140&lt;&gt;"")*($P140&gt;=TODAY())*($P140&lt;=TODAY()+13),"Semaine passée &amp; à venir",IF(($N140&lt;&gt;"")*($N140&gt;TODAY()-9)*($N140&lt;TODAY()+1),"Semaine passée",IF(($P140&lt;&gt;"")*($P140&gt;=TODAY())*($P140&lt;=TODAY()+13),"À venir","Autre"))))</f>
        <v/>
      </c>
      <c r="V140" s="8" cm="1" t="n">
        <f t="array" ref="V140">IF(C140&lt;&gt;"",1,0)</f>
        <v>0</v>
      </c>
      <c r="W140" s="8">
</c>
      <c r="X140" s="8">
</c>
      <c r="Y140" s="8">
</c>
      <c r="Z140" s="8">
</c>
      <c r="AA140" s="8">
</c>
      <c r="AB140" s="8">
</c>
      <c r="AC140" s="8">
</c>
      <c r="AD140" s="8">
</c>
      <c r="AE140" s="8">
</c>
      <c r="AF140" s="8">
</c>
      <c r="AG140" s="8">
</c>
      <c r="AH140" s="8">
</c>
      <c r="AI140" s="8">
</c>
      <c r="AJ140" s="8">
</c>
      <c r="AK140" s="8">
</c>
    </row>
    <row r="141" ht="76.5" customHeight="1">
      <c r="A141" s="8">
</c>
      <c r="B141" s="8">
</c>
      <c r="C141" s="12">
</c>
      <c r="D141" s="8">
</c>
      <c r="E141" s="8">
</c>
      <c r="F141" s="8">
</c>
      <c r="G141" s="14" cm="1" t="str">
        <f t="array" ref="G141">IF(F141="","",SUBSTITUTE(SUBSTITUTE(SUBSTITUTE(SUBSTITUTE(F141,"&lt;li&gt;",CHAR(10)),"&lt;/li&gt;",""),"&lt;br&gt;",CHAR(10)),"&lt;strong&gt;",""))</f>
        <v/>
      </c>
      <c r="H141" s="14" cm="1" t="str">
        <f t="array" ref="H141">IF(G141="","",SUBSTITUTE(SUBSTITUTE(SUBSTITUTE(SUBSTITUTE(SUBSTITUTE(G141,"&lt;p&gt;",""),"&lt;/p&gt;",""),"&lt;ul&gt;",""),"&lt;/ul&gt;",""),"&lt;/strong&gt;",""))</f>
        <v/>
      </c>
      <c r="I141" s="15" cm="1" t="str">
        <f t="array" ref="I141">IF(C141="","",IF(OR(H141="",H141=0,H141=FALSE),"-",H141))</f>
        <v/>
      </c>
      <c r="J141" s="8">
</c>
      <c r="K141" s="8">
</c>
      <c r="L141" s="9" cm="1" t="str">
        <f t="array" ref="L141">IF(C141="","",IF(K141="Mort / Plus rien à faire","KO","OK"))</f>
        <v/>
      </c>
      <c r="M141" s="19">
</c>
      <c r="N141" s="16" cm="1" t="str">
        <f t="array" ref="N141">IF(OR(C141="",M141="",M141=0),"",M141)</f>
        <v/>
      </c>
      <c r="O141" s="19">
</c>
      <c r="P141" s="16" cm="1" t="str">
        <f t="array" ref="P141">IF(C141="","",IF(OR(O141="",O141=0),"-",O141))</f>
        <v/>
      </c>
      <c r="Q141" s="20">
</c>
      <c r="R141" s="17" cm="1" t="str">
        <f t="array" ref="R141">IF(C141="","",ROUND(Q141/1000000,3)&amp;" M€")</f>
        <v/>
      </c>
      <c r="S141" s="18">
</c>
      <c r="T141" s="9" cm="1" t="str">
        <f t="array" ref="T141">IF(C141="","",SUBSTITUTE(S141,"","")&amp;"%")</f>
        <v/>
      </c>
      <c r="U141" s="15" cm="1" t="str">
        <f t="array" ref="U141">IF(($N141="")*($P141=""),"",IF(($N141&lt;&gt;"")*($N141&gt;TODAY()-9)*($N141&lt;TODAY()+1)*($P141&lt;&gt;"")*($P141&gt;=TODAY())*($P141&lt;=TODAY()+13),"Semaine passée &amp; à venir",IF(($N141&lt;&gt;"")*($N141&gt;TODAY()-9)*($N141&lt;TODAY()+1),"Semaine passée",IF(($P141&lt;&gt;"")*($P141&gt;=TODAY())*($P141&lt;=TODAY()+13),"À venir","Autre"))))</f>
        <v/>
      </c>
      <c r="V141" s="8" cm="1" t="n">
        <f t="array" ref="V141">IF(C141&lt;&gt;"",1,0)</f>
        <v>0</v>
      </c>
      <c r="W141" s="8">
</c>
      <c r="X141" s="8">
</c>
      <c r="Y141" s="8">
</c>
      <c r="Z141" s="8">
</c>
      <c r="AA141" s="8">
</c>
      <c r="AB141" s="8">
</c>
      <c r="AC141" s="8">
</c>
      <c r="AD141" s="8">
</c>
      <c r="AE141" s="8">
</c>
      <c r="AF141" s="8">
</c>
      <c r="AG141" s="8">
</c>
      <c r="AH141" s="8">
</c>
      <c r="AI141" s="8">
</c>
      <c r="AJ141" s="8">
</c>
      <c r="AK141" s="8">
</c>
    </row>
    <row r="142" ht="76.5" customHeight="1">
      <c r="A142" s="8">
</c>
      <c r="B142" s="8">
</c>
      <c r="C142" s="12">
</c>
      <c r="D142" s="8">
</c>
      <c r="E142" s="8">
</c>
      <c r="F142" s="8">
</c>
      <c r="G142" s="14" cm="1" t="str">
        <f t="array" ref="G142">IF(F142="","",SUBSTITUTE(SUBSTITUTE(SUBSTITUTE(SUBSTITUTE(F142,"&lt;li&gt;",CHAR(10)),"&lt;/li&gt;",""),"&lt;br&gt;",CHAR(10)),"&lt;strong&gt;",""))</f>
        <v/>
      </c>
      <c r="H142" s="14" cm="1" t="str">
        <f t="array" ref="H142">IF(G142="","",SUBSTITUTE(SUBSTITUTE(SUBSTITUTE(SUBSTITUTE(SUBSTITUTE(G142,"&lt;p&gt;",""),"&lt;/p&gt;",""),"&lt;ul&gt;",""),"&lt;/ul&gt;",""),"&lt;/strong&gt;",""))</f>
        <v/>
      </c>
      <c r="I142" s="15" cm="1" t="str">
        <f t="array" ref="I142">IF(C142="","",IF(OR(H142="",H142=0,H142=FALSE),"-",H142))</f>
        <v/>
      </c>
      <c r="J142" s="8">
</c>
      <c r="K142" s="8">
</c>
      <c r="L142" s="9" cm="1" t="str">
        <f t="array" ref="L142">IF(C142="","",IF(K142="Mort / Plus rien à faire","KO","OK"))</f>
        <v/>
      </c>
      <c r="M142" s="19">
</c>
      <c r="N142" s="16" cm="1" t="str">
        <f t="array" ref="N142">IF(OR(C142="",M142="",M142=0),"",M142)</f>
        <v/>
      </c>
      <c r="O142" s="19">
</c>
      <c r="P142" s="16" cm="1" t="str">
        <f t="array" ref="P142">IF(C142="","",IF(OR(O142="",O142=0),"-",O142))</f>
        <v/>
      </c>
      <c r="Q142" s="20">
</c>
      <c r="R142" s="17" cm="1" t="str">
        <f t="array" ref="R142">IF(C142="","",ROUND(Q142/1000000,3)&amp;" M€")</f>
        <v/>
      </c>
      <c r="S142" s="18">
</c>
      <c r="T142" s="9" cm="1" t="str">
        <f t="array" ref="T142">IF(C142="","",SUBSTITUTE(S142,"","")&amp;"%")</f>
        <v/>
      </c>
      <c r="U142" s="15" cm="1" t="str">
        <f t="array" ref="U142">IF(($N142="")*($P142=""),"",IF(($N142&lt;&gt;"")*($N142&gt;TODAY()-9)*($N142&lt;TODAY()+1)*($P142&lt;&gt;"")*($P142&gt;=TODAY())*($P142&lt;=TODAY()+13),"Semaine passée &amp; à venir",IF(($N142&lt;&gt;"")*($N142&gt;TODAY()-9)*($N142&lt;TODAY()+1),"Semaine passée",IF(($P142&lt;&gt;"")*($P142&gt;=TODAY())*($P142&lt;=TODAY()+13),"À venir","Autre"))))</f>
        <v/>
      </c>
      <c r="V142" s="8" cm="1" t="n">
        <f t="array" ref="V142">IF(C142&lt;&gt;"",1,0)</f>
        <v>0</v>
      </c>
      <c r="W142" s="8">
</c>
      <c r="X142" s="8">
</c>
      <c r="Y142" s="8">
</c>
      <c r="Z142" s="8">
</c>
      <c r="AA142" s="8">
</c>
      <c r="AB142" s="8">
</c>
      <c r="AC142" s="8">
</c>
      <c r="AD142" s="8">
</c>
      <c r="AE142" s="8">
</c>
      <c r="AF142" s="8">
</c>
      <c r="AG142" s="8">
</c>
      <c r="AH142" s="8">
</c>
      <c r="AI142" s="8">
</c>
      <c r="AJ142" s="8">
</c>
      <c r="AK142" s="8">
</c>
    </row>
    <row r="143" ht="76.5" customHeight="1">
      <c r="A143" s="8">
</c>
      <c r="B143" s="8">
</c>
      <c r="C143" s="12">
</c>
      <c r="D143" s="8">
</c>
      <c r="E143" s="8">
</c>
      <c r="F143" s="8">
</c>
      <c r="G143" s="14" cm="1" t="str">
        <f t="array" ref="G143">IF(F143="","",SUBSTITUTE(SUBSTITUTE(SUBSTITUTE(SUBSTITUTE(F143,"&lt;li&gt;",CHAR(10)),"&lt;/li&gt;",""),"&lt;br&gt;",CHAR(10)),"&lt;strong&gt;",""))</f>
        <v/>
      </c>
      <c r="H143" s="14" cm="1" t="str">
        <f t="array" ref="H143">IF(G143="","",SUBSTITUTE(SUBSTITUTE(SUBSTITUTE(SUBSTITUTE(SUBSTITUTE(G143,"&lt;p&gt;",""),"&lt;/p&gt;",""),"&lt;ul&gt;",""),"&lt;/ul&gt;",""),"&lt;/strong&gt;",""))</f>
        <v/>
      </c>
      <c r="I143" s="15" cm="1" t="str">
        <f t="array" ref="I143">IF(C143="","",IF(OR(H143="",H143=0,H143=FALSE),"-",H143))</f>
        <v/>
      </c>
      <c r="J143" s="8">
</c>
      <c r="K143" s="8">
</c>
      <c r="L143" s="9" cm="1" t="str">
        <f t="array" ref="L143">IF(C143="","",IF(K143="Mort / Plus rien à faire","KO","OK"))</f>
        <v/>
      </c>
      <c r="M143" s="19">
</c>
      <c r="N143" s="16" cm="1" t="str">
        <f t="array" ref="N143">IF(OR(C143="",M143="",M143=0),"",M143)</f>
        <v/>
      </c>
      <c r="O143" s="19">
</c>
      <c r="P143" s="16" cm="1" t="str">
        <f t="array" ref="P143">IF(C143="","",IF(OR(O143="",O143=0),"-",O143))</f>
        <v/>
      </c>
      <c r="Q143" s="20">
</c>
      <c r="R143" s="17" cm="1" t="str">
        <f t="array" ref="R143">IF(C143="","",ROUND(Q143/1000000,3)&amp;" M€")</f>
        <v/>
      </c>
      <c r="S143" s="18">
</c>
      <c r="T143" s="9" cm="1" t="str">
        <f t="array" ref="T143">IF(C143="","",SUBSTITUTE(S143,"","")&amp;"%")</f>
        <v/>
      </c>
      <c r="U143" s="15" cm="1" t="str">
        <f t="array" ref="U143">IF(($N143="")*($P143=""),"",IF(($N143&lt;&gt;"")*($N143&gt;TODAY()-9)*($N143&lt;TODAY()+1)*($P143&lt;&gt;"")*($P143&gt;=TODAY())*($P143&lt;=TODAY()+13),"Semaine passée &amp; à venir",IF(($N143&lt;&gt;"")*($N143&gt;TODAY()-9)*($N143&lt;TODAY()+1),"Semaine passée",IF(($P143&lt;&gt;"")*($P143&gt;=TODAY())*($P143&lt;=TODAY()+13),"À venir","Autre"))))</f>
        <v/>
      </c>
      <c r="V143" s="8" cm="1" t="n">
        <f t="array" ref="V143">IF(C143&lt;&gt;"",1,0)</f>
        <v>0</v>
      </c>
      <c r="W143" s="8">
</c>
      <c r="X143" s="8">
</c>
      <c r="Y143" s="8">
</c>
      <c r="Z143" s="8">
</c>
      <c r="AA143" s="8">
</c>
      <c r="AB143" s="8">
</c>
      <c r="AC143" s="8">
</c>
      <c r="AD143" s="8">
</c>
      <c r="AE143" s="8">
</c>
      <c r="AF143" s="8">
</c>
      <c r="AG143" s="8">
</c>
      <c r="AH143" s="8">
</c>
      <c r="AI143" s="8">
</c>
      <c r="AJ143" s="8">
</c>
      <c r="AK143" s="8">
</c>
    </row>
    <row r="144" ht="76.5" customHeight="1">
      <c r="A144" s="8">
</c>
      <c r="B144" s="8">
</c>
      <c r="C144" s="12">
</c>
      <c r="D144" s="8">
</c>
      <c r="E144" s="8">
</c>
      <c r="F144" s="8">
</c>
      <c r="G144" s="14" cm="1" t="str">
        <f t="array" ref="G144">IF(F144="","",SUBSTITUTE(SUBSTITUTE(SUBSTITUTE(SUBSTITUTE(F144,"&lt;li&gt;",CHAR(10)),"&lt;/li&gt;",""),"&lt;br&gt;",CHAR(10)),"&lt;strong&gt;",""))</f>
        <v/>
      </c>
      <c r="H144" s="14" cm="1" t="str">
        <f t="array" ref="H144">IF(G144="","",SUBSTITUTE(SUBSTITUTE(SUBSTITUTE(SUBSTITUTE(SUBSTITUTE(G144,"&lt;p&gt;",""),"&lt;/p&gt;",""),"&lt;ul&gt;",""),"&lt;/ul&gt;",""),"&lt;/strong&gt;",""))</f>
        <v/>
      </c>
      <c r="I144" s="15" cm="1" t="str">
        <f t="array" ref="I144">IF(C144="","",IF(OR(H144="",H144=0,H144=FALSE),"-",H144))</f>
        <v/>
      </c>
      <c r="J144" s="8">
</c>
      <c r="K144" s="8">
</c>
      <c r="L144" s="9" cm="1" t="str">
        <f t="array" ref="L144">IF(C144="","",IF(K144="Mort / Plus rien à faire","KO","OK"))</f>
        <v/>
      </c>
      <c r="M144" s="19">
</c>
      <c r="N144" s="16" cm="1" t="str">
        <f t="array" ref="N144">IF(OR(C144="",M144="",M144=0),"",M144)</f>
        <v/>
      </c>
      <c r="O144" s="19">
</c>
      <c r="P144" s="16" cm="1" t="str">
        <f t="array" ref="P144">IF(C144="","",IF(OR(O144="",O144=0),"-",O144))</f>
        <v/>
      </c>
      <c r="Q144" s="20">
</c>
      <c r="R144" s="17" cm="1" t="str">
        <f t="array" ref="R144">IF(C144="","",ROUND(Q144/1000000,3)&amp;" M€")</f>
        <v/>
      </c>
      <c r="S144" s="18">
</c>
      <c r="T144" s="9" cm="1" t="str">
        <f t="array" ref="T144">IF(C144="","",SUBSTITUTE(S144,"","")&amp;"%")</f>
        <v/>
      </c>
      <c r="U144" s="15" cm="1" t="str">
        <f t="array" ref="U144">IF(($N144="")*($P144=""),"",IF(($N144&lt;&gt;"")*($N144&gt;TODAY()-9)*($N144&lt;TODAY()+1)*($P144&lt;&gt;"")*($P144&gt;=TODAY())*($P144&lt;=TODAY()+13),"Semaine passée &amp; à venir",IF(($N144&lt;&gt;"")*($N144&gt;TODAY()-9)*($N144&lt;TODAY()+1),"Semaine passée",IF(($P144&lt;&gt;"")*($P144&gt;=TODAY())*($P144&lt;=TODAY()+13),"À venir","Autre"))))</f>
        <v/>
      </c>
      <c r="V144" s="8" cm="1" t="n">
        <f t="array" ref="V144">IF(C144&lt;&gt;"",1,0)</f>
        <v>0</v>
      </c>
      <c r="W144" s="8">
</c>
      <c r="X144" s="8">
</c>
      <c r="Y144" s="8">
</c>
      <c r="Z144" s="8">
</c>
      <c r="AA144" s="8">
</c>
      <c r="AB144" s="8">
</c>
      <c r="AC144" s="8">
</c>
      <c r="AD144" s="8">
</c>
      <c r="AE144" s="8">
</c>
      <c r="AF144" s="8">
</c>
      <c r="AG144" s="8">
</c>
      <c r="AH144" s="8">
</c>
      <c r="AI144" s="8">
</c>
      <c r="AJ144" s="8">
</c>
      <c r="AK144" s="8">
</c>
    </row>
    <row r="145" ht="76.5" customHeight="1">
      <c r="A145" s="8">
</c>
      <c r="B145" s="8">
</c>
      <c r="C145" s="12">
</c>
      <c r="D145" s="8">
</c>
      <c r="E145" s="8">
</c>
      <c r="F145" s="8">
</c>
      <c r="G145" s="14" cm="1" t="str">
        <f t="array" ref="G145">IF(F145="","",SUBSTITUTE(SUBSTITUTE(SUBSTITUTE(SUBSTITUTE(F145,"&lt;li&gt;",CHAR(10)),"&lt;/li&gt;",""),"&lt;br&gt;",CHAR(10)),"&lt;strong&gt;",""))</f>
        <v/>
      </c>
      <c r="H145" s="14" cm="1" t="str">
        <f t="array" ref="H145">IF(G145="","",SUBSTITUTE(SUBSTITUTE(SUBSTITUTE(SUBSTITUTE(SUBSTITUTE(G145,"&lt;p&gt;",""),"&lt;/p&gt;",""),"&lt;ul&gt;",""),"&lt;/ul&gt;",""),"&lt;/strong&gt;",""))</f>
        <v/>
      </c>
      <c r="I145" s="15" cm="1" t="str">
        <f t="array" ref="I145">IF(C145="","",IF(OR(H145="",H145=0,H145=FALSE),"-",H145))</f>
        <v/>
      </c>
      <c r="J145" s="8">
</c>
      <c r="K145" s="8">
</c>
      <c r="L145" s="9" cm="1" t="str">
        <f t="array" ref="L145">IF(C145="","",IF(K145="Mort / Plus rien à faire","KO","OK"))</f>
        <v/>
      </c>
      <c r="M145" s="19">
</c>
      <c r="N145" s="16" cm="1" t="str">
        <f t="array" ref="N145">IF(OR(C145="",M145="",M145=0),"",M145)</f>
        <v/>
      </c>
      <c r="O145" s="19">
</c>
      <c r="P145" s="16" cm="1" t="str">
        <f t="array" ref="P145">IF(C145="","",IF(OR(O145="",O145=0),"-",O145))</f>
        <v/>
      </c>
      <c r="Q145" s="20">
</c>
      <c r="R145" s="17" cm="1" t="str">
        <f t="array" ref="R145">IF(C145="","",ROUND(Q145/1000000,3)&amp;" M€")</f>
        <v/>
      </c>
      <c r="S145" s="18">
</c>
      <c r="T145" s="9" cm="1" t="str">
        <f t="array" ref="T145">IF(C145="","",SUBSTITUTE(S145,"","")&amp;"%")</f>
        <v/>
      </c>
      <c r="U145" s="15" cm="1" t="str">
        <f t="array" ref="U145">IF(($N145="")*($P145=""),"",IF(($N145&lt;&gt;"")*($N145&gt;TODAY()-9)*($N145&lt;TODAY()+1)*($P145&lt;&gt;"")*($P145&gt;=TODAY())*($P145&lt;=TODAY()+13),"Semaine passée &amp; à venir",IF(($N145&lt;&gt;"")*($N145&gt;TODAY()-9)*($N145&lt;TODAY()+1),"Semaine passée",IF(($P145&lt;&gt;"")*($P145&gt;=TODAY())*($P145&lt;=TODAY()+13),"À venir","Autre"))))</f>
        <v/>
      </c>
      <c r="V145" s="8" cm="1" t="n">
        <f t="array" ref="V145">IF(C145&lt;&gt;"",1,0)</f>
        <v>0</v>
      </c>
      <c r="W145" s="8">
</c>
      <c r="X145" s="8">
</c>
      <c r="Y145" s="8">
</c>
      <c r="Z145" s="8">
</c>
      <c r="AA145" s="8">
</c>
      <c r="AB145" s="8">
</c>
      <c r="AC145" s="8">
</c>
      <c r="AD145" s="8">
</c>
      <c r="AE145" s="8">
</c>
      <c r="AF145" s="8">
</c>
      <c r="AG145" s="8">
</c>
      <c r="AH145" s="8">
</c>
      <c r="AI145" s="8">
</c>
      <c r="AJ145" s="8">
</c>
      <c r="AK145" s="8">
</c>
    </row>
    <row r="146" ht="76.5" customHeight="1">
      <c r="A146" s="8">
</c>
      <c r="B146" s="8">
</c>
      <c r="C146" s="12">
</c>
      <c r="D146" s="8">
</c>
      <c r="E146" s="8">
</c>
      <c r="F146" s="8">
</c>
      <c r="G146" s="14" cm="1" t="str">
        <f t="array" ref="G146">IF(F146="","",SUBSTITUTE(SUBSTITUTE(SUBSTITUTE(SUBSTITUTE(F146,"&lt;li&gt;",CHAR(10)),"&lt;/li&gt;",""),"&lt;br&gt;",CHAR(10)),"&lt;strong&gt;",""))</f>
        <v/>
      </c>
      <c r="H146" s="14" cm="1" t="str">
        <f t="array" ref="H146">IF(G146="","",SUBSTITUTE(SUBSTITUTE(SUBSTITUTE(SUBSTITUTE(SUBSTITUTE(G146,"&lt;p&gt;",""),"&lt;/p&gt;",""),"&lt;ul&gt;",""),"&lt;/ul&gt;",""),"&lt;/strong&gt;",""))</f>
        <v/>
      </c>
      <c r="I146" s="15" cm="1" t="str">
        <f t="array" ref="I146">IF(C146="","",IF(OR(H146="",H146=0,H146=FALSE),"-",H146))</f>
        <v/>
      </c>
      <c r="J146" s="8">
</c>
      <c r="K146" s="8">
</c>
      <c r="L146" s="9" cm="1" t="str">
        <f t="array" ref="L146">IF(C146="","",IF(K146="Mort / Plus rien à faire","KO","OK"))</f>
        <v/>
      </c>
      <c r="M146" s="19">
</c>
      <c r="N146" s="16" cm="1" t="str">
        <f t="array" ref="N146">IF(OR(C146="",M146="",M146=0),"",M146)</f>
        <v/>
      </c>
      <c r="O146" s="19">
</c>
      <c r="P146" s="16" cm="1" t="str">
        <f t="array" ref="P146">IF(C146="","",IF(OR(O146="",O146=0),"-",O146))</f>
        <v/>
      </c>
      <c r="Q146" s="20">
</c>
      <c r="R146" s="17" cm="1" t="str">
        <f t="array" ref="R146">IF(C146="","",ROUND(Q146/1000000,3)&amp;" M€")</f>
        <v/>
      </c>
      <c r="S146" s="18">
</c>
      <c r="T146" s="9" cm="1" t="str">
        <f t="array" ref="T146">IF(C146="","",SUBSTITUTE(S146,"","")&amp;"%")</f>
        <v/>
      </c>
      <c r="U146" s="15" cm="1" t="str">
        <f t="array" ref="U146">IF(($N146="")*($P146=""),"",IF(($N146&lt;&gt;"")*($N146&gt;TODAY()-9)*($N146&lt;TODAY()+1)*($P146&lt;&gt;"")*($P146&gt;=TODAY())*($P146&lt;=TODAY()+13),"Semaine passée &amp; à venir",IF(($N146&lt;&gt;"")*($N146&gt;TODAY()-9)*($N146&lt;TODAY()+1),"Semaine passée",IF(($P146&lt;&gt;"")*($P146&gt;=TODAY())*($P146&lt;=TODAY()+13),"À venir","Autre"))))</f>
        <v/>
      </c>
      <c r="V146" s="8" cm="1" t="n">
        <f t="array" ref="V146">IF(C146&lt;&gt;"",1,0)</f>
        <v>0</v>
      </c>
      <c r="W146" s="8">
</c>
      <c r="X146" s="8">
</c>
      <c r="Y146" s="8">
</c>
      <c r="Z146" s="8">
</c>
      <c r="AA146" s="8">
</c>
      <c r="AB146" s="8">
</c>
      <c r="AC146" s="8">
</c>
      <c r="AD146" s="8">
</c>
      <c r="AE146" s="8">
</c>
      <c r="AF146" s="8">
</c>
      <c r="AG146" s="8">
</c>
      <c r="AH146" s="8">
</c>
      <c r="AI146" s="8">
</c>
      <c r="AJ146" s="8">
</c>
      <c r="AK146" s="8">
</c>
    </row>
    <row r="147" ht="76.5" customHeight="1">
      <c r="A147" s="8">
</c>
      <c r="B147" s="8">
</c>
      <c r="C147" s="12">
</c>
      <c r="D147" s="8">
</c>
      <c r="E147" s="8">
</c>
      <c r="F147" s="8">
</c>
      <c r="G147" s="14" cm="1" t="str">
        <f t="array" ref="G147">IF(F147="","",SUBSTITUTE(SUBSTITUTE(SUBSTITUTE(SUBSTITUTE(F147,"&lt;li&gt;",CHAR(10)),"&lt;/li&gt;",""),"&lt;br&gt;",CHAR(10)),"&lt;strong&gt;",""))</f>
        <v/>
      </c>
      <c r="H147" s="14" cm="1" t="str">
        <f t="array" ref="H147">IF(G147="","",SUBSTITUTE(SUBSTITUTE(SUBSTITUTE(SUBSTITUTE(SUBSTITUTE(G147,"&lt;p&gt;",""),"&lt;/p&gt;",""),"&lt;ul&gt;",""),"&lt;/ul&gt;",""),"&lt;/strong&gt;",""))</f>
        <v/>
      </c>
      <c r="I147" s="15" cm="1" t="str">
        <f t="array" ref="I147">IF(C147="","",IF(OR(H147="",H147=0,H147=FALSE),"-",H147))</f>
        <v/>
      </c>
      <c r="J147" s="8">
</c>
      <c r="K147" s="8">
</c>
      <c r="L147" s="9" cm="1" t="str">
        <f t="array" ref="L147">IF(C147="","",IF(K147="Mort / Plus rien à faire","KO","OK"))</f>
        <v/>
      </c>
      <c r="M147" s="19">
</c>
      <c r="N147" s="16" cm="1" t="str">
        <f t="array" ref="N147">IF(OR(C147="",M147="",M147=0),"",M147)</f>
        <v/>
      </c>
      <c r="O147" s="19">
</c>
      <c r="P147" s="16" cm="1" t="str">
        <f t="array" ref="P147">IF(C147="","",IF(OR(O147="",O147=0),"-",O147))</f>
        <v/>
      </c>
      <c r="Q147" s="20">
</c>
      <c r="R147" s="17" cm="1" t="str">
        <f t="array" ref="R147">IF(C147="","",ROUND(Q147/1000000,3)&amp;" M€")</f>
        <v/>
      </c>
      <c r="S147" s="18">
</c>
      <c r="T147" s="9" cm="1" t="str">
        <f t="array" ref="T147">IF(C147="","",SUBSTITUTE(S147,"","")&amp;"%")</f>
        <v/>
      </c>
      <c r="U147" s="15" cm="1" t="str">
        <f t="array" ref="U147">IF(($N147="")*($P147=""),"",IF(($N147&lt;&gt;"")*($N147&gt;TODAY()-9)*($N147&lt;TODAY()+1)*($P147&lt;&gt;"")*($P147&gt;=TODAY())*($P147&lt;=TODAY()+13),"Semaine passée &amp; à venir",IF(($N147&lt;&gt;"")*($N147&gt;TODAY()-9)*($N147&lt;TODAY()+1),"Semaine passée",IF(($P147&lt;&gt;"")*($P147&gt;=TODAY())*($P147&lt;=TODAY()+13),"À venir","Autre"))))</f>
        <v/>
      </c>
      <c r="V147" s="8" cm="1" t="n">
        <f t="array" ref="V147">IF(C147&lt;&gt;"",1,0)</f>
        <v>0</v>
      </c>
      <c r="W147" s="8">
</c>
      <c r="X147" s="8">
</c>
      <c r="Y147" s="8">
</c>
      <c r="Z147" s="8">
</c>
      <c r="AA147" s="8">
</c>
      <c r="AB147" s="8">
</c>
      <c r="AC147" s="8">
</c>
      <c r="AD147" s="8">
</c>
      <c r="AE147" s="8">
</c>
      <c r="AF147" s="8">
</c>
      <c r="AG147" s="8">
</c>
      <c r="AH147" s="8">
</c>
      <c r="AI147" s="8">
</c>
      <c r="AJ147" s="8">
</c>
      <c r="AK147" s="8">
</c>
    </row>
    <row r="148" ht="76.5" customHeight="1">
      <c r="A148" s="8">
</c>
      <c r="B148" s="8">
</c>
      <c r="C148" s="12">
</c>
      <c r="D148" s="8">
</c>
      <c r="E148" s="8">
</c>
      <c r="F148" s="8">
</c>
      <c r="G148" s="14" cm="1" t="str">
        <f t="array" ref="G148">IF(F148="","",SUBSTITUTE(SUBSTITUTE(SUBSTITUTE(SUBSTITUTE(F148,"&lt;li&gt;",CHAR(10)),"&lt;/li&gt;",""),"&lt;br&gt;",CHAR(10)),"&lt;strong&gt;",""))</f>
        <v/>
      </c>
      <c r="H148" s="14" cm="1" t="str">
        <f t="array" ref="H148">IF(G148="","",SUBSTITUTE(SUBSTITUTE(SUBSTITUTE(SUBSTITUTE(SUBSTITUTE(G148,"&lt;p&gt;",""),"&lt;/p&gt;",""),"&lt;ul&gt;",""),"&lt;/ul&gt;",""),"&lt;/strong&gt;",""))</f>
        <v/>
      </c>
      <c r="I148" s="15" cm="1" t="str">
        <f t="array" ref="I148">IF(C148="","",IF(OR(H148="",H148=0,H148=FALSE),"-",H148))</f>
        <v/>
      </c>
      <c r="J148" s="8">
</c>
      <c r="K148" s="8">
</c>
      <c r="L148" s="9" cm="1" t="str">
        <f t="array" ref="L148">IF(C148="","",IF(K148="Mort / Plus rien à faire","KO","OK"))</f>
        <v/>
      </c>
      <c r="M148" s="19">
</c>
      <c r="N148" s="16" cm="1" t="str">
        <f t="array" ref="N148">IF(OR(C148="",M148="",M148=0),"",M148)</f>
        <v/>
      </c>
      <c r="O148" s="19">
</c>
      <c r="P148" s="16" cm="1" t="str">
        <f t="array" ref="P148">IF(C148="","",IF(OR(O148="",O148=0),"-",O148))</f>
        <v/>
      </c>
      <c r="Q148" s="20">
</c>
      <c r="R148" s="17" cm="1" t="str">
        <f t="array" ref="R148">IF(C148="","",ROUND(Q148/1000000,3)&amp;" M€")</f>
        <v/>
      </c>
      <c r="S148" s="18">
</c>
      <c r="T148" s="9" cm="1" t="str">
        <f t="array" ref="T148">IF(C148="","",SUBSTITUTE(S148,"","")&amp;"%")</f>
        <v/>
      </c>
      <c r="U148" s="15" cm="1" t="str">
        <f t="array" ref="U148">IF(($N148="")*($P148=""),"",IF(($N148&lt;&gt;"")*($N148&gt;TODAY()-9)*($N148&lt;TODAY()+1)*($P148&lt;&gt;"")*($P148&gt;=TODAY())*($P148&lt;=TODAY()+13),"Semaine passée &amp; à venir",IF(($N148&lt;&gt;"")*($N148&gt;TODAY()-9)*($N148&lt;TODAY()+1),"Semaine passée",IF(($P148&lt;&gt;"")*($P148&gt;=TODAY())*($P148&lt;=TODAY()+13),"À venir","Autre"))))</f>
        <v/>
      </c>
      <c r="V148" s="8" cm="1" t="n">
        <f t="array" ref="V148">IF(C148&lt;&gt;"",1,0)</f>
        <v>0</v>
      </c>
      <c r="W148" s="8">
</c>
      <c r="X148" s="8">
</c>
      <c r="Y148" s="8">
</c>
      <c r="Z148" s="8">
</c>
      <c r="AA148" s="8">
</c>
      <c r="AB148" s="8">
</c>
      <c r="AC148" s="8">
</c>
      <c r="AD148" s="8">
</c>
      <c r="AE148" s="8">
</c>
      <c r="AF148" s="8">
</c>
      <c r="AG148" s="8">
</c>
      <c r="AH148" s="8">
</c>
      <c r="AI148" s="8">
</c>
      <c r="AJ148" s="8">
</c>
      <c r="AK148" s="8">
</c>
    </row>
    <row r="149" ht="76.5" customHeight="1">
      <c r="A149" s="8">
</c>
      <c r="B149" s="8">
</c>
      <c r="C149" s="12">
</c>
      <c r="D149" s="8">
</c>
      <c r="E149" s="8">
</c>
      <c r="F149" s="8">
</c>
      <c r="G149" s="14" cm="1" t="str">
        <f t="array" ref="G149">IF(F149="","",SUBSTITUTE(SUBSTITUTE(SUBSTITUTE(SUBSTITUTE(F149,"&lt;li&gt;",CHAR(10)),"&lt;/li&gt;",""),"&lt;br&gt;",CHAR(10)),"&lt;strong&gt;",""))</f>
        <v/>
      </c>
      <c r="H149" s="14" cm="1" t="str">
        <f t="array" ref="H149">IF(G149="","",SUBSTITUTE(SUBSTITUTE(SUBSTITUTE(SUBSTITUTE(SUBSTITUTE(G149,"&lt;p&gt;",""),"&lt;/p&gt;",""),"&lt;ul&gt;",""),"&lt;/ul&gt;",""),"&lt;/strong&gt;",""))</f>
        <v/>
      </c>
      <c r="I149" s="15" cm="1" t="str">
        <f t="array" ref="I149">IF(C149="","",IF(OR(H149="",H149=0,H149=FALSE),"-",H149))</f>
        <v/>
      </c>
      <c r="J149" s="8">
</c>
      <c r="K149" s="8">
</c>
      <c r="L149" s="9" cm="1" t="str">
        <f t="array" ref="L149">IF(C149="","",IF(K149="Mort / Plus rien à faire","KO","OK"))</f>
        <v/>
      </c>
      <c r="M149" s="19">
</c>
      <c r="N149" s="16" cm="1" t="str">
        <f t="array" ref="N149">IF(OR(C149="",M149="",M149=0),"",M149)</f>
        <v/>
      </c>
      <c r="O149" s="19">
</c>
      <c r="P149" s="16" cm="1" t="str">
        <f t="array" ref="P149">IF(C149="","",IF(OR(O149="",O149=0),"-",O149))</f>
        <v/>
      </c>
      <c r="Q149" s="20">
</c>
      <c r="R149" s="17" cm="1" t="str">
        <f t="array" ref="R149">IF(C149="","",ROUND(Q149/1000000,3)&amp;" M€")</f>
        <v/>
      </c>
      <c r="S149" s="18">
</c>
      <c r="T149" s="9" cm="1" t="str">
        <f t="array" ref="T149">IF(C149="","",SUBSTITUTE(S149,"","")&amp;"%")</f>
        <v/>
      </c>
      <c r="U149" s="15" cm="1" t="str">
        <f t="array" ref="U149">IF(($N149="")*($P149=""),"",IF(($N149&lt;&gt;"")*($N149&gt;TODAY()-9)*($N149&lt;TODAY()+1)*($P149&lt;&gt;"")*($P149&gt;=TODAY())*($P149&lt;=TODAY()+13),"Semaine passée &amp; à venir",IF(($N149&lt;&gt;"")*($N149&gt;TODAY()-9)*($N149&lt;TODAY()+1),"Semaine passée",IF(($P149&lt;&gt;"")*($P149&gt;=TODAY())*($P149&lt;=TODAY()+13),"À venir","Autre"))))</f>
        <v/>
      </c>
      <c r="V149" s="8" cm="1" t="n">
        <f t="array" ref="V149">IF(C149&lt;&gt;"",1,0)</f>
        <v>0</v>
      </c>
      <c r="W149" s="8">
</c>
      <c r="X149" s="8">
</c>
      <c r="Y149" s="8">
</c>
      <c r="Z149" s="8">
</c>
      <c r="AA149" s="8">
</c>
      <c r="AB149" s="8">
</c>
      <c r="AC149" s="8">
</c>
      <c r="AD149" s="8">
</c>
      <c r="AE149" s="8">
</c>
      <c r="AF149" s="8">
</c>
      <c r="AG149" s="8">
</c>
      <c r="AH149" s="8">
</c>
      <c r="AI149" s="8">
</c>
      <c r="AJ149" s="8">
</c>
      <c r="AK149" s="8">
</c>
    </row>
    <row r="150" ht="76.5" customHeight="1">
      <c r="A150" s="8">
</c>
      <c r="B150" s="8">
</c>
      <c r="C150" s="12">
</c>
      <c r="D150" s="8">
</c>
      <c r="E150" s="8">
</c>
      <c r="F150" s="8">
</c>
      <c r="G150" s="14" cm="1" t="str">
        <f t="array" ref="G150">IF(F150="","",SUBSTITUTE(SUBSTITUTE(SUBSTITUTE(SUBSTITUTE(F150,"&lt;li&gt;",CHAR(10)),"&lt;/li&gt;",""),"&lt;br&gt;",CHAR(10)),"&lt;strong&gt;",""))</f>
        <v/>
      </c>
      <c r="H150" s="14" cm="1" t="str">
        <f t="array" ref="H150">IF(G150="","",SUBSTITUTE(SUBSTITUTE(SUBSTITUTE(SUBSTITUTE(SUBSTITUTE(G150,"&lt;p&gt;",""),"&lt;/p&gt;",""),"&lt;ul&gt;",""),"&lt;/ul&gt;",""),"&lt;/strong&gt;",""))</f>
        <v/>
      </c>
      <c r="I150" s="15" cm="1" t="str">
        <f t="array" ref="I150">IF(C150="","",IF(OR(H150="",H150=0,H150=FALSE),"-",H150))</f>
        <v/>
      </c>
      <c r="J150" s="8">
</c>
      <c r="K150" s="8">
</c>
      <c r="L150" s="9" cm="1" t="str">
        <f t="array" ref="L150">IF(C150="","",IF(K150="Mort / Plus rien à faire","KO","OK"))</f>
        <v/>
      </c>
      <c r="M150" s="19">
</c>
      <c r="N150" s="16" cm="1" t="str">
        <f t="array" ref="N150">IF(OR(C150="",M150="",M150=0),"",M150)</f>
        <v/>
      </c>
      <c r="O150" s="19">
</c>
      <c r="P150" s="16" cm="1" t="str">
        <f t="array" ref="P150">IF(C150="","",IF(OR(O150="",O150=0),"-",O150))</f>
        <v/>
      </c>
      <c r="Q150" s="20">
</c>
      <c r="R150" s="17" cm="1" t="str">
        <f t="array" ref="R150">IF(C150="","",ROUND(Q150/1000000,3)&amp;" M€")</f>
        <v/>
      </c>
      <c r="S150" s="18">
</c>
      <c r="T150" s="9" cm="1" t="str">
        <f t="array" ref="T150">IF(C150="","",SUBSTITUTE(S150,"","")&amp;"%")</f>
        <v/>
      </c>
      <c r="U150" s="15" cm="1" t="str">
        <f t="array" ref="U150">IF(($N150="")*($P150=""),"",IF(($N150&lt;&gt;"")*($N150&gt;TODAY()-9)*($N150&lt;TODAY()+1)*($P150&lt;&gt;"")*($P150&gt;=TODAY())*($P150&lt;=TODAY()+13),"Semaine passée &amp; à venir",IF(($N150&lt;&gt;"")*($N150&gt;TODAY()-9)*($N150&lt;TODAY()+1),"Semaine passée",IF(($P150&lt;&gt;"")*($P150&gt;=TODAY())*($P150&lt;=TODAY()+13),"À venir","Autre"))))</f>
        <v/>
      </c>
      <c r="V150" s="8" cm="1" t="n">
        <f t="array" ref="V150">IF(C150&lt;&gt;"",1,0)</f>
        <v>0</v>
      </c>
      <c r="W150" s="8">
</c>
      <c r="X150" s="8">
</c>
      <c r="Y150" s="8">
</c>
      <c r="Z150" s="8">
</c>
      <c r="AA150" s="8">
</c>
      <c r="AB150" s="8">
</c>
      <c r="AC150" s="8">
</c>
      <c r="AD150" s="8">
</c>
      <c r="AE150" s="8">
</c>
      <c r="AF150" s="8">
</c>
      <c r="AG150" s="8">
</c>
      <c r="AH150" s="8">
</c>
      <c r="AI150" s="8">
</c>
      <c r="AJ150" s="8">
</c>
      <c r="AK150" s="8">
</c>
    </row>
    <row r="151" ht="76.5" customHeight="1">
      <c r="A151" s="8">
</c>
      <c r="B151" s="8">
</c>
      <c r="C151" s="12">
</c>
      <c r="D151" s="8">
</c>
      <c r="E151" s="8">
</c>
      <c r="F151" s="8">
</c>
      <c r="G151" s="14" cm="1" t="str">
        <f t="array" ref="G151">IF(F151="","",SUBSTITUTE(SUBSTITUTE(SUBSTITUTE(SUBSTITUTE(F151,"&lt;li&gt;",CHAR(10)),"&lt;/li&gt;",""),"&lt;br&gt;",CHAR(10)),"&lt;strong&gt;",""))</f>
        <v/>
      </c>
      <c r="H151" s="14" cm="1" t="str">
        <f t="array" ref="H151">IF(G151="","",SUBSTITUTE(SUBSTITUTE(SUBSTITUTE(SUBSTITUTE(SUBSTITUTE(G151,"&lt;p&gt;",""),"&lt;/p&gt;",""),"&lt;ul&gt;",""),"&lt;/ul&gt;",""),"&lt;/strong&gt;",""))</f>
        <v/>
      </c>
      <c r="I151" s="15" cm="1" t="str">
        <f t="array" ref="I151">IF(C151="","",IF(OR(H151="",H151=0,H151=FALSE),"-",H151))</f>
        <v/>
      </c>
      <c r="J151" s="8">
</c>
      <c r="K151" s="8">
</c>
      <c r="L151" s="9" cm="1" t="str">
        <f t="array" ref="L151">IF(C151="","",IF(K151="Mort / Plus rien à faire","KO","OK"))</f>
        <v/>
      </c>
      <c r="M151" s="19">
</c>
      <c r="N151" s="16" cm="1" t="str">
        <f t="array" ref="N151">IF(OR(C151="",M151="",M151=0),"",M151)</f>
        <v/>
      </c>
      <c r="O151" s="19">
</c>
      <c r="P151" s="16" cm="1" t="str">
        <f t="array" ref="P151">IF(C151="","",IF(OR(O151="",O151=0),"-",O151))</f>
        <v/>
      </c>
      <c r="Q151" s="20">
</c>
      <c r="R151" s="17" cm="1" t="str">
        <f t="array" ref="R151">IF(C151="","",ROUND(Q151/1000000,3)&amp;" M€")</f>
        <v/>
      </c>
      <c r="S151" s="18">
</c>
      <c r="T151" s="9" cm="1" t="str">
        <f t="array" ref="T151">IF(C151="","",SUBSTITUTE(S151,"","")&amp;"%")</f>
        <v/>
      </c>
      <c r="U151" s="15" cm="1" t="str">
        <f t="array" ref="U151">IF(($N151="")*($P151=""),"",IF(($N151&lt;&gt;"")*($N151&gt;TODAY()-9)*($N151&lt;TODAY()+1)*($P151&lt;&gt;"")*($P151&gt;=TODAY())*($P151&lt;=TODAY()+13),"Semaine passée &amp; à venir",IF(($N151&lt;&gt;"")*($N151&gt;TODAY()-9)*($N151&lt;TODAY()+1),"Semaine passée",IF(($P151&lt;&gt;"")*($P151&gt;=TODAY())*($P151&lt;=TODAY()+13),"À venir","Autre"))))</f>
        <v/>
      </c>
      <c r="V151" s="8" cm="1" t="n">
        <f t="array" ref="V151">IF(C151&lt;&gt;"",1,0)</f>
        <v>0</v>
      </c>
      <c r="W151" s="8">
</c>
      <c r="X151" s="8">
</c>
      <c r="Y151" s="8">
</c>
      <c r="Z151" s="8">
</c>
      <c r="AA151" s="8">
</c>
      <c r="AB151" s="8">
</c>
      <c r="AC151" s="8">
</c>
      <c r="AD151" s="8">
</c>
      <c r="AE151" s="8">
</c>
      <c r="AF151" s="8">
</c>
      <c r="AG151" s="8">
</c>
      <c r="AH151" s="8">
</c>
      <c r="AI151" s="8">
</c>
      <c r="AJ151" s="8">
</c>
      <c r="AK151" s="8">
</c>
    </row>
    <row r="152" ht="76.5" customHeight="1">
      <c r="A152" s="8">
</c>
      <c r="B152" s="8">
</c>
      <c r="C152" s="12">
</c>
      <c r="D152" s="8">
</c>
      <c r="E152" s="8">
</c>
      <c r="F152" s="8">
</c>
      <c r="G152" s="14" cm="1" t="str">
        <f t="array" ref="G152">IF(F152="","",SUBSTITUTE(SUBSTITUTE(SUBSTITUTE(SUBSTITUTE(F152,"&lt;li&gt;",CHAR(10)),"&lt;/li&gt;",""),"&lt;br&gt;",CHAR(10)),"&lt;strong&gt;",""))</f>
        <v/>
      </c>
      <c r="H152" s="14" cm="1" t="str">
        <f t="array" ref="H152">IF(G152="","",SUBSTITUTE(SUBSTITUTE(SUBSTITUTE(SUBSTITUTE(SUBSTITUTE(G152,"&lt;p&gt;",""),"&lt;/p&gt;",""),"&lt;ul&gt;",""),"&lt;/ul&gt;",""),"&lt;/strong&gt;",""))</f>
        <v/>
      </c>
      <c r="I152" s="15" cm="1" t="str">
        <f t="array" ref="I152">IF(C152="","",IF(OR(H152="",H152=0,H152=FALSE),"-",H152))</f>
        <v/>
      </c>
      <c r="J152" s="8">
</c>
      <c r="K152" s="8">
</c>
      <c r="L152" s="9" cm="1" t="str">
        <f t="array" ref="L152">IF(C152="","",IF(K152="Mort / Plus rien à faire","KO","OK"))</f>
        <v/>
      </c>
      <c r="M152" s="19">
</c>
      <c r="N152" s="16" cm="1" t="str">
        <f t="array" ref="N152">IF(OR(C152="",M152="",M152=0),"",M152)</f>
        <v/>
      </c>
      <c r="O152" s="19">
</c>
      <c r="P152" s="16" cm="1" t="str">
        <f t="array" ref="P152">IF(C152="","",IF(OR(O152="",O152=0),"-",O152))</f>
        <v/>
      </c>
      <c r="Q152" s="20">
</c>
      <c r="R152" s="17" cm="1" t="str">
        <f t="array" ref="R152">IF(C152="","",ROUND(Q152/1000000,3)&amp;" M€")</f>
        <v/>
      </c>
      <c r="S152" s="18">
</c>
      <c r="T152" s="9" cm="1" t="str">
        <f t="array" ref="T152">IF(C152="","",SUBSTITUTE(S152,"","")&amp;"%")</f>
        <v/>
      </c>
      <c r="U152" s="15" cm="1" t="str">
        <f t="array" ref="U152">IF(($N152="")*($P152=""),"",IF(($N152&lt;&gt;"")*($N152&gt;TODAY()-9)*($N152&lt;TODAY()+1)*($P152&lt;&gt;"")*($P152&gt;=TODAY())*($P152&lt;=TODAY()+13),"Semaine passée &amp; à venir",IF(($N152&lt;&gt;"")*($N152&gt;TODAY()-9)*($N152&lt;TODAY()+1),"Semaine passée",IF(($P152&lt;&gt;"")*($P152&gt;=TODAY())*($P152&lt;=TODAY()+13),"À venir","Autre"))))</f>
        <v/>
      </c>
      <c r="V152" s="8" cm="1" t="n">
        <f t="array" ref="V152">IF(C152&lt;&gt;"",1,0)</f>
        <v>0</v>
      </c>
      <c r="W152" s="8">
</c>
      <c r="X152" s="8">
</c>
      <c r="Y152" s="8">
</c>
      <c r="Z152" s="8">
</c>
      <c r="AA152" s="8">
</c>
      <c r="AB152" s="8">
</c>
      <c r="AC152" s="8">
</c>
      <c r="AD152" s="8">
</c>
      <c r="AE152" s="8">
</c>
      <c r="AF152" s="8">
</c>
      <c r="AG152" s="8">
</c>
      <c r="AH152" s="8">
</c>
      <c r="AI152" s="8">
</c>
      <c r="AJ152" s="8">
</c>
      <c r="AK152" s="8">
</c>
    </row>
    <row r="153" ht="76.5" customHeight="1">
      <c r="A153" s="8">
</c>
      <c r="B153" s="8">
</c>
      <c r="C153" s="12">
</c>
      <c r="D153" s="8">
</c>
      <c r="E153" s="8">
</c>
      <c r="F153" s="8">
</c>
      <c r="G153" s="14" cm="1" t="str">
        <f t="array" ref="G153">IF(F153="","",SUBSTITUTE(SUBSTITUTE(SUBSTITUTE(SUBSTITUTE(F153,"&lt;li&gt;",CHAR(10)),"&lt;/li&gt;",""),"&lt;br&gt;",CHAR(10)),"&lt;strong&gt;",""))</f>
        <v/>
      </c>
      <c r="H153" s="14" cm="1" t="str">
        <f t="array" ref="H153">IF(G153="","",SUBSTITUTE(SUBSTITUTE(SUBSTITUTE(SUBSTITUTE(SUBSTITUTE(G153,"&lt;p&gt;",""),"&lt;/p&gt;",""),"&lt;ul&gt;",""),"&lt;/ul&gt;",""),"&lt;/strong&gt;",""))</f>
        <v/>
      </c>
      <c r="I153" s="15" cm="1" t="str">
        <f t="array" ref="I153">IF(C153="","",IF(OR(H153="",H153=0,H153=FALSE),"-",H153))</f>
        <v/>
      </c>
      <c r="J153" s="8">
</c>
      <c r="K153" s="8">
</c>
      <c r="L153" s="9" cm="1" t="str">
        <f t="array" ref="L153">IF(C153="","",IF(K153="Mort / Plus rien à faire","KO","OK"))</f>
        <v/>
      </c>
      <c r="M153" s="19">
</c>
      <c r="N153" s="16" cm="1" t="str">
        <f t="array" ref="N153">IF(OR(C153="",M153="",M153=0),"",M153)</f>
        <v/>
      </c>
      <c r="O153" s="19">
</c>
      <c r="P153" s="16" cm="1" t="str">
        <f t="array" ref="P153">IF(C153="","",IF(OR(O153="",O153=0),"-",O153))</f>
        <v/>
      </c>
      <c r="Q153" s="20">
</c>
      <c r="R153" s="17" cm="1" t="str">
        <f t="array" ref="R153">IF(C153="","",ROUND(Q153/1000000,3)&amp;" M€")</f>
        <v/>
      </c>
      <c r="S153" s="18">
</c>
      <c r="T153" s="9" cm="1" t="str">
        <f t="array" ref="T153">IF(C153="","",SUBSTITUTE(S153,"","")&amp;"%")</f>
        <v/>
      </c>
      <c r="U153" s="15" cm="1" t="str">
        <f t="array" ref="U153">IF(($N153="")*($P153=""),"",IF(($N153&lt;&gt;"")*($N153&gt;TODAY()-9)*($N153&lt;TODAY()+1)*($P153&lt;&gt;"")*($P153&gt;=TODAY())*($P153&lt;=TODAY()+13),"Semaine passée &amp; à venir",IF(($N153&lt;&gt;"")*($N153&gt;TODAY()-9)*($N153&lt;TODAY()+1),"Semaine passée",IF(($P153&lt;&gt;"")*($P153&gt;=TODAY())*($P153&lt;=TODAY()+13),"À venir","Autre"))))</f>
        <v/>
      </c>
      <c r="V153" s="8" cm="1" t="n">
        <f t="array" ref="V153">IF(C153&lt;&gt;"",1,0)</f>
        <v>0</v>
      </c>
      <c r="W153" s="8">
</c>
      <c r="X153" s="8">
</c>
      <c r="Y153" s="8">
</c>
      <c r="Z153" s="8">
</c>
      <c r="AA153" s="8">
</c>
      <c r="AB153" s="8">
</c>
      <c r="AC153" s="8">
</c>
      <c r="AD153" s="8">
</c>
      <c r="AE153" s="8">
</c>
      <c r="AF153" s="8">
</c>
      <c r="AG153" s="8">
</c>
      <c r="AH153" s="8">
</c>
      <c r="AI153" s="8">
</c>
      <c r="AJ153" s="8">
</c>
      <c r="AK153" s="8">
</c>
    </row>
    <row r="154" ht="76.5" customHeight="1">
      <c r="A154" s="8">
</c>
      <c r="B154" s="8">
</c>
      <c r="C154" s="12">
</c>
      <c r="D154" s="8">
</c>
      <c r="E154" s="8">
</c>
      <c r="F154" s="8">
</c>
      <c r="G154" s="14" cm="1" t="str">
        <f t="array" ref="G154">IF(F154="","",SUBSTITUTE(SUBSTITUTE(SUBSTITUTE(SUBSTITUTE(F154,"&lt;li&gt;",CHAR(10)),"&lt;/li&gt;",""),"&lt;br&gt;",CHAR(10)),"&lt;strong&gt;",""))</f>
        <v/>
      </c>
      <c r="H154" s="14" cm="1" t="str">
        <f t="array" ref="H154">IF(G154="","",SUBSTITUTE(SUBSTITUTE(SUBSTITUTE(SUBSTITUTE(SUBSTITUTE(G154,"&lt;p&gt;",""),"&lt;/p&gt;",""),"&lt;ul&gt;",""),"&lt;/ul&gt;",""),"&lt;/strong&gt;",""))</f>
        <v/>
      </c>
      <c r="I154" s="15" cm="1" t="str">
        <f t="array" ref="I154">IF(C154="","",IF(OR(H154="",H154=0,H154=FALSE),"-",H154))</f>
        <v/>
      </c>
      <c r="J154" s="8">
</c>
      <c r="K154" s="8">
</c>
      <c r="L154" s="9" cm="1" t="str">
        <f t="array" ref="L154">IF(C154="","",IF(K154="Mort / Plus rien à faire","KO","OK"))</f>
        <v/>
      </c>
      <c r="M154" s="19">
</c>
      <c r="N154" s="16" cm="1" t="str">
        <f t="array" ref="N154">IF(OR(C154="",M154="",M154=0),"",M154)</f>
        <v/>
      </c>
      <c r="O154" s="19">
</c>
      <c r="P154" s="16" cm="1" t="str">
        <f t="array" ref="P154">IF(C154="","",IF(OR(O154="",O154=0),"-",O154))</f>
        <v/>
      </c>
      <c r="Q154" s="20">
</c>
      <c r="R154" s="17" cm="1" t="str">
        <f t="array" ref="R154">IF(C154="","",ROUND(Q154/1000000,3)&amp;" M€")</f>
        <v/>
      </c>
      <c r="S154" s="18">
</c>
      <c r="T154" s="9" cm="1" t="str">
        <f t="array" ref="T154">IF(C154="","",SUBSTITUTE(S154,"","")&amp;"%")</f>
        <v/>
      </c>
      <c r="U154" s="15" cm="1" t="str">
        <f t="array" ref="U154">IF(($N154="")*($P154=""),"",IF(($N154&lt;&gt;"")*($N154&gt;TODAY()-9)*($N154&lt;TODAY()+1)*($P154&lt;&gt;"")*($P154&gt;=TODAY())*($P154&lt;=TODAY()+13),"Semaine passée &amp; à venir",IF(($N154&lt;&gt;"")*($N154&gt;TODAY()-9)*($N154&lt;TODAY()+1),"Semaine passée",IF(($P154&lt;&gt;"")*($P154&gt;=TODAY())*($P154&lt;=TODAY()+13),"À venir","Autre"))))</f>
        <v/>
      </c>
      <c r="V154" s="8" cm="1" t="n">
        <f t="array" ref="V154">IF(C154&lt;&gt;"",1,0)</f>
        <v>0</v>
      </c>
      <c r="W154" s="8">
</c>
      <c r="X154" s="8">
</c>
      <c r="Y154" s="8">
</c>
      <c r="Z154" s="8">
</c>
      <c r="AA154" s="8">
</c>
      <c r="AB154" s="8">
</c>
      <c r="AC154" s="8">
</c>
      <c r="AD154" s="8">
</c>
      <c r="AE154" s="8">
</c>
      <c r="AF154" s="8">
</c>
      <c r="AG154" s="8">
</c>
      <c r="AH154" s="8">
</c>
      <c r="AI154" s="8">
</c>
      <c r="AJ154" s="8">
</c>
      <c r="AK154" s="8">
</c>
    </row>
    <row r="155" ht="76.5" customHeight="1">
      <c r="A155" s="8">
</c>
      <c r="B155" s="8">
</c>
      <c r="C155" s="12">
</c>
      <c r="D155" s="8">
</c>
      <c r="E155" s="8">
</c>
      <c r="F155" s="8">
</c>
      <c r="G155" s="14" cm="1" t="str">
        <f t="array" ref="G155">IF(F155="","",SUBSTITUTE(SUBSTITUTE(SUBSTITUTE(SUBSTITUTE(F155,"&lt;li&gt;",CHAR(10)),"&lt;/li&gt;",""),"&lt;br&gt;",CHAR(10)),"&lt;strong&gt;",""))</f>
        <v/>
      </c>
      <c r="H155" s="14" cm="1" t="str">
        <f t="array" ref="H155">IF(G155="","",SUBSTITUTE(SUBSTITUTE(SUBSTITUTE(SUBSTITUTE(SUBSTITUTE(G155,"&lt;p&gt;",""),"&lt;/p&gt;",""),"&lt;ul&gt;",""),"&lt;/ul&gt;",""),"&lt;/strong&gt;",""))</f>
        <v/>
      </c>
      <c r="I155" s="15" cm="1" t="str">
        <f t="array" ref="I155">IF(C155="","",IF(OR(H155="",H155=0,H155=FALSE),"-",H155))</f>
        <v/>
      </c>
      <c r="J155" s="8">
</c>
      <c r="K155" s="8">
</c>
      <c r="L155" s="9" cm="1" t="str">
        <f t="array" ref="L155">IF(C155="","",IF(K155="Mort / Plus rien à faire","KO","OK"))</f>
        <v/>
      </c>
      <c r="M155" s="19">
</c>
      <c r="N155" s="16" cm="1" t="str">
        <f t="array" ref="N155">IF(OR(C155="",M155="",M155=0),"",M155)</f>
        <v/>
      </c>
      <c r="O155" s="19">
</c>
      <c r="P155" s="16" cm="1" t="str">
        <f t="array" ref="P155">IF(C155="","",IF(OR(O155="",O155=0),"-",O155))</f>
        <v/>
      </c>
      <c r="Q155" s="20">
</c>
      <c r="R155" s="17" cm="1" t="str">
        <f t="array" ref="R155">IF(C155="","",ROUND(Q155/1000000,3)&amp;" M€")</f>
        <v/>
      </c>
      <c r="S155" s="18">
</c>
      <c r="T155" s="9" cm="1" t="str">
        <f t="array" ref="T155">IF(C155="","",SUBSTITUTE(S155,"","")&amp;"%")</f>
        <v/>
      </c>
      <c r="U155" s="15" cm="1" t="str">
        <f t="array" ref="U155">IF(($N155="")*($P155=""),"",IF(($N155&lt;&gt;"")*($N155&gt;TODAY()-9)*($N155&lt;TODAY()+1)*($P155&lt;&gt;"")*($P155&gt;=TODAY())*($P155&lt;=TODAY()+13),"Semaine passée &amp; à venir",IF(($N155&lt;&gt;"")*($N155&gt;TODAY()-9)*($N155&lt;TODAY()+1),"Semaine passée",IF(($P155&lt;&gt;"")*($P155&gt;=TODAY())*($P155&lt;=TODAY()+13),"À venir","Autre"))))</f>
        <v/>
      </c>
      <c r="V155" s="8" cm="1" t="n">
        <f t="array" ref="V155">IF(C155&lt;&gt;"",1,0)</f>
        <v>0</v>
      </c>
      <c r="W155" s="8">
</c>
      <c r="X155" s="8">
</c>
      <c r="Y155" s="8">
</c>
      <c r="Z155" s="8">
</c>
      <c r="AA155" s="8">
</c>
      <c r="AB155" s="8">
</c>
      <c r="AC155" s="8">
</c>
      <c r="AD155" s="8">
</c>
      <c r="AE155" s="8">
</c>
      <c r="AF155" s="8">
</c>
      <c r="AG155" s="8">
</c>
      <c r="AH155" s="8">
</c>
      <c r="AI155" s="8">
</c>
      <c r="AJ155" s="8">
</c>
      <c r="AK155" s="8">
</c>
    </row>
    <row r="156" ht="76.5" customHeight="1">
      <c r="A156" s="8">
</c>
      <c r="B156" s="8">
</c>
      <c r="C156" s="12">
</c>
      <c r="D156" s="8">
</c>
      <c r="E156" s="8">
</c>
      <c r="F156" s="8">
</c>
      <c r="G156" s="14" cm="1" t="str">
        <f t="array" ref="G156">IF(F156="","",SUBSTITUTE(SUBSTITUTE(SUBSTITUTE(SUBSTITUTE(F156,"&lt;li&gt;",CHAR(10)),"&lt;/li&gt;",""),"&lt;br&gt;",CHAR(10)),"&lt;strong&gt;",""))</f>
        <v/>
      </c>
      <c r="H156" s="14" cm="1" t="str">
        <f t="array" ref="H156">IF(G156="","",SUBSTITUTE(SUBSTITUTE(SUBSTITUTE(SUBSTITUTE(SUBSTITUTE(G156,"&lt;p&gt;",""),"&lt;/p&gt;",""),"&lt;ul&gt;",""),"&lt;/ul&gt;",""),"&lt;/strong&gt;",""))</f>
        <v/>
      </c>
      <c r="I156" s="15" cm="1" t="str">
        <f t="array" ref="I156">IF(C156="","",IF(OR(H156="",H156=0,H156=FALSE),"-",H156))</f>
        <v/>
      </c>
      <c r="J156" s="8">
</c>
      <c r="K156" s="8">
</c>
      <c r="L156" s="9" cm="1" t="str">
        <f t="array" ref="L156">IF(C156="","",IF(K156="Mort / Plus rien à faire","KO","OK"))</f>
        <v/>
      </c>
      <c r="M156" s="19">
</c>
      <c r="N156" s="16" cm="1" t="str">
        <f t="array" ref="N156">IF(OR(C156="",M156="",M156=0),"",M156)</f>
        <v/>
      </c>
      <c r="O156" s="19">
</c>
      <c r="P156" s="16" cm="1" t="str">
        <f t="array" ref="P156">IF(C156="","",IF(OR(O156="",O156=0),"-",O156))</f>
        <v/>
      </c>
      <c r="Q156" s="20">
</c>
      <c r="R156" s="17" cm="1" t="str">
        <f t="array" ref="R156">IF(C156="","",ROUND(Q156/1000000,3)&amp;" M€")</f>
        <v/>
      </c>
      <c r="S156" s="18">
</c>
      <c r="T156" s="9" cm="1" t="str">
        <f t="array" ref="T156">IF(C156="","",SUBSTITUTE(S156,"","")&amp;"%")</f>
        <v/>
      </c>
      <c r="U156" s="15" cm="1" t="str">
        <f t="array" ref="U156">IF(($N156="")*($P156=""),"",IF(($N156&lt;&gt;"")*($N156&gt;TODAY()-9)*($N156&lt;TODAY()+1)*($P156&lt;&gt;"")*($P156&gt;=TODAY())*($P156&lt;=TODAY()+13),"Semaine passée &amp; à venir",IF(($N156&lt;&gt;"")*($N156&gt;TODAY()-9)*($N156&lt;TODAY()+1),"Semaine passée",IF(($P156&lt;&gt;"")*($P156&gt;=TODAY())*($P156&lt;=TODAY()+13),"À venir","Autre"))))</f>
        <v/>
      </c>
      <c r="V156" s="8" cm="1" t="n">
        <f t="array" ref="V156">IF(C156&lt;&gt;"",1,0)</f>
        <v>0</v>
      </c>
      <c r="W156" s="8">
</c>
      <c r="X156" s="8">
</c>
      <c r="Y156" s="8">
</c>
      <c r="Z156" s="8">
</c>
      <c r="AA156" s="8">
</c>
      <c r="AB156" s="8">
</c>
      <c r="AC156" s="8">
</c>
      <c r="AD156" s="8">
</c>
      <c r="AE156" s="8">
</c>
      <c r="AF156" s="8">
</c>
      <c r="AG156" s="8">
</c>
      <c r="AH156" s="8">
</c>
      <c r="AI156" s="8">
</c>
      <c r="AJ156" s="8">
</c>
      <c r="AK156" s="8">
</c>
    </row>
    <row r="157" ht="76.5" customHeight="1">
      <c r="A157" s="8">
</c>
      <c r="B157" s="8">
</c>
      <c r="C157" s="12">
</c>
      <c r="D157" s="8">
</c>
      <c r="E157" s="8">
</c>
      <c r="F157" s="8">
</c>
      <c r="G157" s="14" cm="1" t="str">
        <f t="array" ref="G157">IF(F157="","",SUBSTITUTE(SUBSTITUTE(SUBSTITUTE(SUBSTITUTE(F157,"&lt;li&gt;",CHAR(10)),"&lt;/li&gt;",""),"&lt;br&gt;",CHAR(10)),"&lt;strong&gt;",""))</f>
        <v/>
      </c>
      <c r="H157" s="14" cm="1" t="str">
        <f t="array" ref="H157">IF(G157="","",SUBSTITUTE(SUBSTITUTE(SUBSTITUTE(SUBSTITUTE(SUBSTITUTE(G157,"&lt;p&gt;",""),"&lt;/p&gt;",""),"&lt;ul&gt;",""),"&lt;/ul&gt;",""),"&lt;/strong&gt;",""))</f>
        <v/>
      </c>
      <c r="I157" s="15" cm="1" t="str">
        <f t="array" ref="I157">IF(C157="","",IF(OR(H157="",H157=0,H157=FALSE),"-",H157))</f>
        <v/>
      </c>
      <c r="J157" s="8">
</c>
      <c r="K157" s="8">
</c>
      <c r="L157" s="9" cm="1" t="str">
        <f t="array" ref="L157">IF(C157="","",IF(K157="Mort / Plus rien à faire","KO","OK"))</f>
        <v/>
      </c>
      <c r="M157" s="19">
</c>
      <c r="N157" s="16" cm="1" t="str">
        <f t="array" ref="N157">IF(OR(C157="",M157="",M157=0),"",M157)</f>
        <v/>
      </c>
      <c r="O157" s="19">
</c>
      <c r="P157" s="16" cm="1" t="str">
        <f t="array" ref="P157">IF(C157="","",IF(OR(O157="",O157=0),"-",O157))</f>
        <v/>
      </c>
      <c r="Q157" s="20">
</c>
      <c r="R157" s="17" cm="1" t="str">
        <f t="array" ref="R157">IF(C157="","",ROUND(Q157/1000000,3)&amp;" M€")</f>
        <v/>
      </c>
      <c r="S157" s="18">
</c>
      <c r="T157" s="9" cm="1" t="str">
        <f t="array" ref="T157">IF(C157="","",SUBSTITUTE(S157,"","")&amp;"%")</f>
        <v/>
      </c>
      <c r="U157" s="15" cm="1" t="str">
        <f t="array" ref="U157">IF(($N157="")*($P157=""),"",IF(($N157&lt;&gt;"")*($N157&gt;TODAY()-9)*($N157&lt;TODAY()+1)*($P157&lt;&gt;"")*($P157&gt;=TODAY())*($P157&lt;=TODAY()+13),"Semaine passée &amp; à venir",IF(($N157&lt;&gt;"")*($N157&gt;TODAY()-9)*($N157&lt;TODAY()+1),"Semaine passée",IF(($P157&lt;&gt;"")*($P157&gt;=TODAY())*($P157&lt;=TODAY()+13),"À venir","Autre"))))</f>
        <v/>
      </c>
      <c r="V157" s="8" cm="1" t="n">
        <f t="array" ref="V157">IF(C157&lt;&gt;"",1,0)</f>
        <v>0</v>
      </c>
      <c r="W157" s="8">
</c>
      <c r="X157" s="8">
</c>
      <c r="Y157" s="8">
</c>
      <c r="Z157" s="8">
</c>
      <c r="AA157" s="8">
</c>
      <c r="AB157" s="8">
</c>
      <c r="AC157" s="8">
</c>
      <c r="AD157" s="8">
</c>
      <c r="AE157" s="8">
</c>
      <c r="AF157" s="8">
</c>
      <c r="AG157" s="8">
</c>
      <c r="AH157" s="8">
</c>
      <c r="AI157" s="8">
</c>
      <c r="AJ157" s="8">
</c>
      <c r="AK157" s="8">
</c>
    </row>
    <row r="158" ht="76.5" customHeight="1">
      <c r="A158" s="8">
</c>
      <c r="B158" s="8">
</c>
      <c r="C158" s="12">
</c>
      <c r="D158" s="8">
</c>
      <c r="E158" s="8">
</c>
      <c r="F158" s="8">
</c>
      <c r="G158" s="14" cm="1" t="str">
        <f t="array" ref="G158">IF(F158="","",SUBSTITUTE(SUBSTITUTE(SUBSTITUTE(SUBSTITUTE(F158,"&lt;li&gt;",CHAR(10)),"&lt;/li&gt;",""),"&lt;br&gt;",CHAR(10)),"&lt;strong&gt;",""))</f>
        <v/>
      </c>
      <c r="H158" s="14" cm="1" t="str">
        <f t="array" ref="H158">IF(G158="","",SUBSTITUTE(SUBSTITUTE(SUBSTITUTE(SUBSTITUTE(SUBSTITUTE(G158,"&lt;p&gt;",""),"&lt;/p&gt;",""),"&lt;ul&gt;",""),"&lt;/ul&gt;",""),"&lt;/strong&gt;",""))</f>
        <v/>
      </c>
      <c r="I158" s="15" cm="1" t="str">
        <f t="array" ref="I158">IF(C158="","",IF(OR(H158="",H158=0,H158=FALSE),"-",H158))</f>
        <v/>
      </c>
      <c r="J158" s="8">
</c>
      <c r="K158" s="8">
</c>
      <c r="L158" s="9" cm="1" t="str">
        <f t="array" ref="L158">IF(C158="","",IF(K158="Mort / Plus rien à faire","KO","OK"))</f>
        <v/>
      </c>
      <c r="M158" s="19">
</c>
      <c r="N158" s="16" cm="1" t="str">
        <f t="array" ref="N158">IF(OR(C158="",M158="",M158=0),"",M158)</f>
        <v/>
      </c>
      <c r="O158" s="19">
</c>
      <c r="P158" s="16" cm="1" t="str">
        <f t="array" ref="P158">IF(C158="","",IF(OR(O158="",O158=0),"-",O158))</f>
        <v/>
      </c>
      <c r="Q158" s="20">
</c>
      <c r="R158" s="17" cm="1" t="str">
        <f t="array" ref="R158">IF(C158="","",ROUND(Q158/1000000,3)&amp;" M€")</f>
        <v/>
      </c>
      <c r="S158" s="18">
</c>
      <c r="T158" s="9" cm="1" t="str">
        <f t="array" ref="T158">IF(C158="","",SUBSTITUTE(S158,"","")&amp;"%")</f>
        <v/>
      </c>
      <c r="U158" s="15" cm="1" t="str">
        <f t="array" ref="U158">IF(($N158="")*($P158=""),"",IF(($N158&lt;&gt;"")*($N158&gt;TODAY()-9)*($N158&lt;TODAY()+1)*($P158&lt;&gt;"")*($P158&gt;=TODAY())*($P158&lt;=TODAY()+13),"Semaine passée &amp; à venir",IF(($N158&lt;&gt;"")*($N158&gt;TODAY()-9)*($N158&lt;TODAY()+1),"Semaine passée",IF(($P158&lt;&gt;"")*($P158&gt;=TODAY())*($P158&lt;=TODAY()+13),"À venir","Autre"))))</f>
        <v/>
      </c>
      <c r="V158" s="8" cm="1" t="n">
        <f t="array" ref="V158">IF(C158&lt;&gt;"",1,0)</f>
        <v>0</v>
      </c>
      <c r="W158" s="8">
</c>
      <c r="X158" s="8">
</c>
      <c r="Y158" s="8">
</c>
      <c r="Z158" s="8">
</c>
      <c r="AA158" s="8">
</c>
      <c r="AB158" s="8">
</c>
      <c r="AC158" s="8">
</c>
      <c r="AD158" s="8">
</c>
      <c r="AE158" s="8">
</c>
      <c r="AF158" s="8">
</c>
      <c r="AG158" s="8">
</c>
      <c r="AH158" s="8">
</c>
      <c r="AI158" s="8">
</c>
      <c r="AJ158" s="8">
</c>
      <c r="AK158" s="8">
</c>
    </row>
    <row r="159" ht="76.5" customHeight="1">
      <c r="A159" s="8">
</c>
      <c r="B159" s="8">
</c>
      <c r="C159" s="12">
</c>
      <c r="D159" s="8">
</c>
      <c r="E159" s="8">
</c>
      <c r="F159" s="8">
</c>
      <c r="G159" s="14" cm="1" t="str">
        <f t="array" ref="G159">IF(F159="","",SUBSTITUTE(SUBSTITUTE(SUBSTITUTE(SUBSTITUTE(F159,"&lt;li&gt;",CHAR(10)),"&lt;/li&gt;",""),"&lt;br&gt;",CHAR(10)),"&lt;strong&gt;",""))</f>
        <v/>
      </c>
      <c r="H159" s="14" cm="1" t="str">
        <f t="array" ref="H159">IF(G159="","",SUBSTITUTE(SUBSTITUTE(SUBSTITUTE(SUBSTITUTE(SUBSTITUTE(G159,"&lt;p&gt;",""),"&lt;/p&gt;",""),"&lt;ul&gt;",""),"&lt;/ul&gt;",""),"&lt;/strong&gt;",""))</f>
        <v/>
      </c>
      <c r="I159" s="15" cm="1" t="str">
        <f t="array" ref="I159">IF(C159="","",IF(OR(H159="",H159=0,H159=FALSE),"-",H159))</f>
        <v/>
      </c>
      <c r="J159" s="8">
</c>
      <c r="K159" s="8">
</c>
      <c r="L159" s="9" cm="1" t="str">
        <f t="array" ref="L159">IF(C159="","",IF(K159="Mort / Plus rien à faire","KO","OK"))</f>
        <v/>
      </c>
      <c r="M159" s="19">
</c>
      <c r="N159" s="16" cm="1" t="str">
        <f t="array" ref="N159">IF(OR(C159="",M159="",M159=0),"",M159)</f>
        <v/>
      </c>
      <c r="O159" s="19">
</c>
      <c r="P159" s="16" cm="1" t="str">
        <f t="array" ref="P159">IF(C159="","",IF(OR(O159="",O159=0),"-",O159))</f>
        <v/>
      </c>
      <c r="Q159" s="20">
</c>
      <c r="R159" s="17" cm="1" t="str">
        <f t="array" ref="R159">IF(C159="","",ROUND(Q159/1000000,3)&amp;" M€")</f>
        <v/>
      </c>
      <c r="S159" s="18">
</c>
      <c r="T159" s="9" cm="1" t="str">
        <f t="array" ref="T159">IF(C159="","",SUBSTITUTE(S159,"","")&amp;"%")</f>
        <v/>
      </c>
      <c r="U159" s="15" cm="1" t="str">
        <f t="array" ref="U159">IF(($N159="")*($P159=""),"",IF(($N159&lt;&gt;"")*($N159&gt;TODAY()-9)*($N159&lt;TODAY()+1)*($P159&lt;&gt;"")*($P159&gt;=TODAY())*($P159&lt;=TODAY()+13),"Semaine passée &amp; à venir",IF(($N159&lt;&gt;"")*($N159&gt;TODAY()-9)*($N159&lt;TODAY()+1),"Semaine passée",IF(($P159&lt;&gt;"")*($P159&gt;=TODAY())*($P159&lt;=TODAY()+13),"À venir","Autre"))))</f>
        <v/>
      </c>
      <c r="V159" s="8" cm="1" t="n">
        <f t="array" ref="V159">IF(C159&lt;&gt;"",1,0)</f>
        <v>0</v>
      </c>
      <c r="W159" s="8">
</c>
      <c r="X159" s="8">
</c>
      <c r="Y159" s="8">
</c>
      <c r="Z159" s="8">
</c>
      <c r="AA159" s="8">
</c>
      <c r="AB159" s="8">
</c>
      <c r="AC159" s="8">
</c>
      <c r="AD159" s="8">
</c>
      <c r="AE159" s="8">
</c>
      <c r="AF159" s="8">
</c>
      <c r="AG159" s="8">
</c>
      <c r="AH159" s="8">
</c>
      <c r="AI159" s="8">
</c>
      <c r="AJ159" s="8">
</c>
      <c r="AK159" s="8">
</c>
    </row>
    <row r="160" ht="76.5" customHeight="1">
      <c r="A160" s="8">
</c>
      <c r="B160" s="8">
</c>
      <c r="C160" s="12">
</c>
      <c r="D160" s="8">
</c>
      <c r="E160" s="8">
</c>
      <c r="F160" s="8">
</c>
      <c r="G160" s="14" cm="1" t="str">
        <f t="array" ref="G160">IF(F160="","",SUBSTITUTE(SUBSTITUTE(SUBSTITUTE(SUBSTITUTE(F160,"&lt;li&gt;",CHAR(10)),"&lt;/li&gt;",""),"&lt;br&gt;",CHAR(10)),"&lt;strong&gt;",""))</f>
        <v/>
      </c>
      <c r="H160" s="14" cm="1" t="str">
        <f t="array" ref="H160">IF(G160="","",SUBSTITUTE(SUBSTITUTE(SUBSTITUTE(SUBSTITUTE(SUBSTITUTE(G160,"&lt;p&gt;",""),"&lt;/p&gt;",""),"&lt;ul&gt;",""),"&lt;/ul&gt;",""),"&lt;/strong&gt;",""))</f>
        <v/>
      </c>
      <c r="I160" s="15" cm="1" t="str">
        <f t="array" ref="I160">IF(C160="","",IF(OR(H160="",H160=0,H160=FALSE),"-",H160))</f>
        <v/>
      </c>
      <c r="J160" s="8">
</c>
      <c r="K160" s="8">
</c>
      <c r="L160" s="9" cm="1" t="str">
        <f t="array" ref="L160">IF(C160="","",IF(K160="Mort / Plus rien à faire","KO","OK"))</f>
        <v/>
      </c>
      <c r="M160" s="19">
</c>
      <c r="N160" s="16" cm="1" t="str">
        <f t="array" ref="N160">IF(OR(C160="",M160="",M160=0),"",M160)</f>
        <v/>
      </c>
      <c r="O160" s="19">
</c>
      <c r="P160" s="16" cm="1" t="str">
        <f t="array" ref="P160">IF(C160="","",IF(OR(O160="",O160=0),"-",O160))</f>
        <v/>
      </c>
      <c r="Q160" s="20">
</c>
      <c r="R160" s="17" cm="1" t="str">
        <f t="array" ref="R160">IF(C160="","",ROUND(Q160/1000000,3)&amp;" M€")</f>
        <v/>
      </c>
      <c r="S160" s="18">
</c>
      <c r="T160" s="9" cm="1" t="str">
        <f t="array" ref="T160">IF(C160="","",SUBSTITUTE(S160,"","")&amp;"%")</f>
        <v/>
      </c>
      <c r="U160" s="15" cm="1" t="str">
        <f t="array" ref="U160">IF(($N160="")*($P160=""),"",IF(($N160&lt;&gt;"")*($N160&gt;TODAY()-9)*($N160&lt;TODAY()+1)*($P160&lt;&gt;"")*($P160&gt;=TODAY())*($P160&lt;=TODAY()+13),"Semaine passée &amp; à venir",IF(($N160&lt;&gt;"")*($N160&gt;TODAY()-9)*($N160&lt;TODAY()+1),"Semaine passée",IF(($P160&lt;&gt;"")*($P160&gt;=TODAY())*($P160&lt;=TODAY()+13),"À venir","Autre"))))</f>
        <v/>
      </c>
      <c r="V160" s="8" cm="1" t="n">
        <f t="array" ref="V160">IF(C160&lt;&gt;"",1,0)</f>
        <v>0</v>
      </c>
      <c r="W160" s="8">
</c>
      <c r="X160" s="8">
</c>
      <c r="Y160" s="8">
</c>
      <c r="Z160" s="8">
</c>
      <c r="AA160" s="8">
</c>
      <c r="AB160" s="8">
</c>
      <c r="AC160" s="8">
</c>
      <c r="AD160" s="8">
</c>
      <c r="AE160" s="8">
</c>
      <c r="AF160" s="8">
</c>
      <c r="AG160" s="8">
</c>
      <c r="AH160" s="8">
</c>
      <c r="AI160" s="8">
</c>
      <c r="AJ160" s="8">
</c>
      <c r="AK160" s="8">
</c>
    </row>
    <row r="161" ht="76.5" customHeight="1">
      <c r="A161" s="8">
</c>
      <c r="B161" s="8">
</c>
      <c r="C161" s="12">
</c>
      <c r="D161" s="8">
</c>
      <c r="E161" s="8">
</c>
      <c r="F161" s="8">
</c>
      <c r="G161" s="14" cm="1" t="str">
        <f t="array" ref="G161">IF(F161="","",SUBSTITUTE(SUBSTITUTE(SUBSTITUTE(SUBSTITUTE(F161,"&lt;li&gt;",CHAR(10)),"&lt;/li&gt;",""),"&lt;br&gt;",CHAR(10)),"&lt;strong&gt;",""))</f>
        <v/>
      </c>
      <c r="H161" s="14" cm="1" t="str">
        <f t="array" ref="H161">IF(G161="","",SUBSTITUTE(SUBSTITUTE(SUBSTITUTE(SUBSTITUTE(SUBSTITUTE(G161,"&lt;p&gt;",""),"&lt;/p&gt;",""),"&lt;ul&gt;",""),"&lt;/ul&gt;",""),"&lt;/strong&gt;",""))</f>
        <v/>
      </c>
      <c r="I161" s="15" cm="1" t="str">
        <f t="array" ref="I161">IF(C161="","",IF(OR(H161="",H161=0,H161=FALSE),"-",H161))</f>
        <v/>
      </c>
      <c r="J161" s="8">
</c>
      <c r="K161" s="8">
</c>
      <c r="L161" s="9" cm="1" t="str">
        <f t="array" ref="L161">IF(C161="","",IF(K161="Mort / Plus rien à faire","KO","OK"))</f>
        <v/>
      </c>
      <c r="M161" s="19">
</c>
      <c r="N161" s="16" cm="1" t="str">
        <f t="array" ref="N161">IF(OR(C161="",M161="",M161=0),"",M161)</f>
        <v/>
      </c>
      <c r="O161" s="19">
</c>
      <c r="P161" s="16" cm="1" t="str">
        <f t="array" ref="P161">IF(C161="","",IF(OR(O161="",O161=0),"-",O161))</f>
        <v/>
      </c>
      <c r="Q161" s="20">
</c>
      <c r="R161" s="17" cm="1" t="str">
        <f t="array" ref="R161">IF(C161="","",ROUND(Q161/1000000,3)&amp;" M€")</f>
        <v/>
      </c>
      <c r="S161" s="18">
</c>
      <c r="T161" s="9" cm="1" t="str">
        <f t="array" ref="T161">IF(C161="","",SUBSTITUTE(S161,"","")&amp;"%")</f>
        <v/>
      </c>
      <c r="U161" s="15" cm="1" t="str">
        <f t="array" ref="U161">IF(($N161="")*($P161=""),"",IF(($N161&lt;&gt;"")*($N161&gt;TODAY()-9)*($N161&lt;TODAY()+1)*($P161&lt;&gt;"")*($P161&gt;=TODAY())*($P161&lt;=TODAY()+13),"Semaine passée &amp; à venir",IF(($N161&lt;&gt;"")*($N161&gt;TODAY()-9)*($N161&lt;TODAY()+1),"Semaine passée",IF(($P161&lt;&gt;"")*($P161&gt;=TODAY())*($P161&lt;=TODAY()+13),"À venir","Autre"))))</f>
        <v/>
      </c>
      <c r="V161" s="8" cm="1" t="n">
        <f t="array" ref="V161">IF(C161&lt;&gt;"",1,0)</f>
        <v>0</v>
      </c>
      <c r="W161" s="8">
</c>
      <c r="X161" s="8">
</c>
      <c r="Y161" s="8">
</c>
      <c r="Z161" s="8">
</c>
      <c r="AA161" s="8">
</c>
      <c r="AB161" s="8">
</c>
      <c r="AC161" s="8">
</c>
      <c r="AD161" s="8">
</c>
      <c r="AE161" s="8">
</c>
      <c r="AF161" s="8">
</c>
      <c r="AG161" s="8">
</c>
      <c r="AH161" s="8">
</c>
      <c r="AI161" s="8">
</c>
      <c r="AJ161" s="8">
</c>
      <c r="AK161" s="8">
</c>
    </row>
    <row r="162" ht="76.5" customHeight="1">
      <c r="A162" s="8">
</c>
      <c r="B162" s="8">
</c>
      <c r="C162" s="12">
</c>
      <c r="D162" s="8">
</c>
      <c r="E162" s="8">
</c>
      <c r="F162" s="8">
</c>
      <c r="G162" s="14" cm="1" t="str">
        <f t="array" ref="G162">IF(F162="","",SUBSTITUTE(SUBSTITUTE(SUBSTITUTE(SUBSTITUTE(F162,"&lt;li&gt;",CHAR(10)),"&lt;/li&gt;",""),"&lt;br&gt;",CHAR(10)),"&lt;strong&gt;",""))</f>
        <v/>
      </c>
      <c r="H162" s="14" cm="1" t="str">
        <f t="array" ref="H162">IF(G162="","",SUBSTITUTE(SUBSTITUTE(SUBSTITUTE(SUBSTITUTE(SUBSTITUTE(G162,"&lt;p&gt;",""),"&lt;/p&gt;",""),"&lt;ul&gt;",""),"&lt;/ul&gt;",""),"&lt;/strong&gt;",""))</f>
        <v/>
      </c>
      <c r="I162" s="15" cm="1" t="str">
        <f t="array" ref="I162">IF(C162="","",IF(OR(H162="",H162=0,H162=FALSE),"-",H162))</f>
        <v/>
      </c>
      <c r="J162" s="8">
</c>
      <c r="K162" s="8">
</c>
      <c r="L162" s="9" cm="1" t="str">
        <f t="array" ref="L162">IF(C162="","",IF(K162="Mort / Plus rien à faire","KO","OK"))</f>
        <v/>
      </c>
      <c r="M162" s="19">
</c>
      <c r="N162" s="16" cm="1" t="str">
        <f t="array" ref="N162">IF(OR(C162="",M162="",M162=0),"",M162)</f>
        <v/>
      </c>
      <c r="O162" s="19">
</c>
      <c r="P162" s="16" cm="1" t="str">
        <f t="array" ref="P162">IF(C162="","",IF(OR(O162="",O162=0),"-",O162))</f>
        <v/>
      </c>
      <c r="Q162" s="20">
</c>
      <c r="R162" s="17" cm="1" t="str">
        <f t="array" ref="R162">IF(C162="","",ROUND(Q162/1000000,3)&amp;" M€")</f>
        <v/>
      </c>
      <c r="S162" s="18">
</c>
      <c r="T162" s="9" cm="1" t="str">
        <f t="array" ref="T162">IF(C162="","",SUBSTITUTE(S162,"","")&amp;"%")</f>
        <v/>
      </c>
      <c r="U162" s="15" cm="1" t="str">
        <f t="array" ref="U162">IF(($N162="")*($P162=""),"",IF(($N162&lt;&gt;"")*($N162&gt;TODAY()-9)*($N162&lt;TODAY()+1)*($P162&lt;&gt;"")*($P162&gt;=TODAY())*($P162&lt;=TODAY()+13),"Semaine passée &amp; à venir",IF(($N162&lt;&gt;"")*($N162&gt;TODAY()-9)*($N162&lt;TODAY()+1),"Semaine passée",IF(($P162&lt;&gt;"")*($P162&gt;=TODAY())*($P162&lt;=TODAY()+13),"À venir","Autre"))))</f>
        <v/>
      </c>
      <c r="V162" s="8" cm="1" t="n">
        <f t="array" ref="V162">IF(C162&lt;&gt;"",1,0)</f>
        <v>0</v>
      </c>
      <c r="W162" s="8">
</c>
      <c r="X162" s="8">
</c>
      <c r="Y162" s="8">
</c>
      <c r="Z162" s="8">
</c>
      <c r="AA162" s="8">
</c>
      <c r="AB162" s="8">
</c>
      <c r="AC162" s="8">
</c>
      <c r="AD162" s="8">
</c>
      <c r="AE162" s="8">
</c>
      <c r="AF162" s="8">
</c>
      <c r="AG162" s="8">
</c>
      <c r="AH162" s="8">
</c>
      <c r="AI162" s="8">
</c>
      <c r="AJ162" s="8">
</c>
      <c r="AK162" s="8">
</c>
    </row>
    <row r="163" ht="76.5" customHeight="1">
      <c r="A163" s="8">
</c>
      <c r="B163" s="8">
</c>
      <c r="C163" s="12">
</c>
      <c r="D163" s="8">
</c>
      <c r="E163" s="8">
</c>
      <c r="F163" s="8">
</c>
      <c r="G163" s="14" cm="1" t="str">
        <f t="array" ref="G163">IF(F163="","",SUBSTITUTE(SUBSTITUTE(SUBSTITUTE(SUBSTITUTE(F163,"&lt;li&gt;",CHAR(10)),"&lt;/li&gt;",""),"&lt;br&gt;",CHAR(10)),"&lt;strong&gt;",""))</f>
        <v/>
      </c>
      <c r="H163" s="14" cm="1" t="str">
        <f t="array" ref="H163">IF(G163="","",SUBSTITUTE(SUBSTITUTE(SUBSTITUTE(SUBSTITUTE(SUBSTITUTE(G163,"&lt;p&gt;",""),"&lt;/p&gt;",""),"&lt;ul&gt;",""),"&lt;/ul&gt;",""),"&lt;/strong&gt;",""))</f>
        <v/>
      </c>
      <c r="I163" s="15" cm="1" t="str">
        <f t="array" ref="I163">IF(C163="","",IF(OR(H163="",H163=0,H163=FALSE),"-",H163))</f>
        <v/>
      </c>
      <c r="J163" s="8">
</c>
      <c r="K163" s="8">
</c>
      <c r="L163" s="9" cm="1" t="str">
        <f t="array" ref="L163">IF(C163="","",IF(K163="Mort / Plus rien à faire","KO","OK"))</f>
        <v/>
      </c>
      <c r="M163" s="19">
</c>
      <c r="N163" s="16" cm="1" t="str">
        <f t="array" ref="N163">IF(OR(C163="",M163="",M163=0),"",M163)</f>
        <v/>
      </c>
      <c r="O163" s="19">
</c>
      <c r="P163" s="16" cm="1" t="str">
        <f t="array" ref="P163">IF(C163="","",IF(OR(O163="",O163=0),"-",O163))</f>
        <v/>
      </c>
      <c r="Q163" s="20">
</c>
      <c r="R163" s="17" cm="1" t="str">
        <f t="array" ref="R163">IF(C163="","",ROUND(Q163/1000000,3)&amp;" M€")</f>
        <v/>
      </c>
      <c r="S163" s="18">
</c>
      <c r="T163" s="9" cm="1" t="str">
        <f t="array" ref="T163">IF(C163="","",SUBSTITUTE(S163,"","")&amp;"%")</f>
        <v/>
      </c>
      <c r="U163" s="15" cm="1" t="str">
        <f t="array" ref="U163">IF(($N163="")*($P163=""),"",IF(($N163&lt;&gt;"")*($N163&gt;TODAY()-9)*($N163&lt;TODAY()+1)*($P163&lt;&gt;"")*($P163&gt;=TODAY())*($P163&lt;=TODAY()+13),"Semaine passée &amp; à venir",IF(($N163&lt;&gt;"")*($N163&gt;TODAY()-9)*($N163&lt;TODAY()+1),"Semaine passée",IF(($P163&lt;&gt;"")*($P163&gt;=TODAY())*($P163&lt;=TODAY()+13),"À venir","Autre"))))</f>
        <v/>
      </c>
      <c r="V163" s="8" cm="1" t="n">
        <f t="array" ref="V163">IF(C163&lt;&gt;"",1,0)</f>
        <v>0</v>
      </c>
      <c r="W163" s="8">
</c>
      <c r="X163" s="8">
</c>
      <c r="Y163" s="8">
</c>
      <c r="Z163" s="8">
</c>
      <c r="AA163" s="8">
</c>
      <c r="AB163" s="8">
</c>
      <c r="AC163" s="8">
</c>
      <c r="AD163" s="8">
</c>
      <c r="AE163" s="8">
</c>
      <c r="AF163" s="8">
</c>
      <c r="AG163" s="8">
</c>
      <c r="AH163" s="8">
</c>
      <c r="AI163" s="8">
</c>
      <c r="AJ163" s="8">
</c>
      <c r="AK163" s="8">
</c>
    </row>
    <row r="164" ht="76.5" customHeight="1">
      <c r="A164" s="8">
</c>
      <c r="B164" s="8">
</c>
      <c r="C164" s="12">
</c>
      <c r="D164" s="8">
</c>
      <c r="E164" s="8">
</c>
      <c r="F164" s="8">
</c>
      <c r="G164" s="14" cm="1" t="str">
        <f t="array" ref="G164">IF(F164="","",SUBSTITUTE(SUBSTITUTE(SUBSTITUTE(SUBSTITUTE(F164,"&lt;li&gt;",CHAR(10)),"&lt;/li&gt;",""),"&lt;br&gt;",CHAR(10)),"&lt;strong&gt;",""))</f>
        <v/>
      </c>
      <c r="H164" s="14" cm="1" t="str">
        <f t="array" ref="H164">IF(G164="","",SUBSTITUTE(SUBSTITUTE(SUBSTITUTE(SUBSTITUTE(SUBSTITUTE(G164,"&lt;p&gt;",""),"&lt;/p&gt;",""),"&lt;ul&gt;",""),"&lt;/ul&gt;",""),"&lt;/strong&gt;",""))</f>
        <v/>
      </c>
      <c r="I164" s="15" cm="1" t="str">
        <f t="array" ref="I164">IF(C164="","",IF(OR(H164="",H164=0,H164=FALSE),"-",H164))</f>
        <v/>
      </c>
      <c r="J164" s="8">
</c>
      <c r="K164" s="8">
</c>
      <c r="L164" s="9" cm="1" t="str">
        <f t="array" ref="L164">IF(C164="","",IF(K164="Mort / Plus rien à faire","KO","OK"))</f>
        <v/>
      </c>
      <c r="M164" s="19">
</c>
      <c r="N164" s="16" cm="1" t="str">
        <f t="array" ref="N164">IF(OR(C164="",M164="",M164=0),"",M164)</f>
        <v/>
      </c>
      <c r="O164" s="19">
</c>
      <c r="P164" s="16" cm="1" t="str">
        <f t="array" ref="P164">IF(C164="","",IF(OR(O164="",O164=0),"-",O164))</f>
        <v/>
      </c>
      <c r="Q164" s="20">
</c>
      <c r="R164" s="17" cm="1" t="str">
        <f t="array" ref="R164">IF(C164="","",ROUND(Q164/1000000,3)&amp;" M€")</f>
        <v/>
      </c>
      <c r="S164" s="18">
</c>
      <c r="T164" s="9" cm="1" t="str">
        <f t="array" ref="T164">IF(C164="","",SUBSTITUTE(S164,"","")&amp;"%")</f>
        <v/>
      </c>
      <c r="U164" s="15" cm="1" t="str">
        <f t="array" ref="U164">IF(($N164="")*($P164=""),"",IF(($N164&lt;&gt;"")*($N164&gt;TODAY()-9)*($N164&lt;TODAY()+1)*($P164&lt;&gt;"")*($P164&gt;=TODAY())*($P164&lt;=TODAY()+13),"Semaine passée &amp; à venir",IF(($N164&lt;&gt;"")*($N164&gt;TODAY()-9)*($N164&lt;TODAY()+1),"Semaine passée",IF(($P164&lt;&gt;"")*($P164&gt;=TODAY())*($P164&lt;=TODAY()+13),"À venir","Autre"))))</f>
        <v/>
      </c>
      <c r="V164" s="8" cm="1" t="n">
        <f t="array" ref="V164">IF(C164&lt;&gt;"",1,0)</f>
        <v>0</v>
      </c>
      <c r="W164" s="8">
</c>
      <c r="X164" s="8">
</c>
      <c r="Y164" s="8">
</c>
      <c r="Z164" s="8">
</c>
      <c r="AA164" s="8">
</c>
      <c r="AB164" s="8">
</c>
      <c r="AC164" s="8">
</c>
      <c r="AD164" s="8">
</c>
      <c r="AE164" s="8">
</c>
      <c r="AF164" s="8">
</c>
      <c r="AG164" s="8">
</c>
      <c r="AH164" s="8">
</c>
      <c r="AI164" s="8">
</c>
      <c r="AJ164" s="8">
</c>
      <c r="AK164" s="8">
</c>
    </row>
    <row r="165" ht="76.5" customHeight="1">
      <c r="A165" s="8">
</c>
      <c r="B165" s="8">
</c>
      <c r="C165" s="12">
</c>
      <c r="D165" s="8">
</c>
      <c r="E165" s="8">
</c>
      <c r="F165" s="8">
</c>
      <c r="G165" s="14" cm="1" t="str">
        <f t="array" ref="G165">IF(F165="","",SUBSTITUTE(SUBSTITUTE(SUBSTITUTE(SUBSTITUTE(F165,"&lt;li&gt;",CHAR(10)),"&lt;/li&gt;",""),"&lt;br&gt;",CHAR(10)),"&lt;strong&gt;",""))</f>
        <v/>
      </c>
      <c r="H165" s="14" cm="1" t="str">
        <f t="array" ref="H165">IF(G165="","",SUBSTITUTE(SUBSTITUTE(SUBSTITUTE(SUBSTITUTE(SUBSTITUTE(G165,"&lt;p&gt;",""),"&lt;/p&gt;",""),"&lt;ul&gt;",""),"&lt;/ul&gt;",""),"&lt;/strong&gt;",""))</f>
        <v/>
      </c>
      <c r="I165" s="15" cm="1" t="str">
        <f t="array" ref="I165">IF(C165="","",IF(OR(H165="",H165=0,H165=FALSE),"-",H165))</f>
        <v/>
      </c>
      <c r="J165" s="8">
</c>
      <c r="K165" s="8">
</c>
      <c r="L165" s="9" cm="1" t="str">
        <f t="array" ref="L165">IF(C165="","",IF(K165="Mort / Plus rien à faire","KO","OK"))</f>
        <v/>
      </c>
      <c r="M165" s="19">
</c>
      <c r="N165" s="16" cm="1" t="str">
        <f t="array" ref="N165">IF(OR(C165="",M165="",M165=0),"",M165)</f>
        <v/>
      </c>
      <c r="O165" s="19">
</c>
      <c r="P165" s="16" cm="1" t="str">
        <f t="array" ref="P165">IF(C165="","",IF(OR(O165="",O165=0),"-",O165))</f>
        <v/>
      </c>
      <c r="Q165" s="20">
</c>
      <c r="R165" s="17" cm="1" t="str">
        <f t="array" ref="R165">IF(C165="","",ROUND(Q165/1000000,3)&amp;" M€")</f>
        <v/>
      </c>
      <c r="S165" s="18">
</c>
      <c r="T165" s="9" cm="1" t="str">
        <f t="array" ref="T165">IF(C165="","",SUBSTITUTE(S165,"","")&amp;"%")</f>
        <v/>
      </c>
      <c r="U165" s="15" cm="1" t="str">
        <f t="array" ref="U165">IF(($N165="")*($P165=""),"",IF(($N165&lt;&gt;"")*($N165&gt;TODAY()-9)*($N165&lt;TODAY()+1)*($P165&lt;&gt;"")*($P165&gt;=TODAY())*($P165&lt;=TODAY()+13),"Semaine passée &amp; à venir",IF(($N165&lt;&gt;"")*($N165&gt;TODAY()-9)*($N165&lt;TODAY()+1),"Semaine passée",IF(($P165&lt;&gt;"")*($P165&gt;=TODAY())*($P165&lt;=TODAY()+13),"À venir","Autre"))))</f>
        <v/>
      </c>
      <c r="V165" s="8" cm="1" t="n">
        <f t="array" ref="V165">IF(C165&lt;&gt;"",1,0)</f>
        <v>0</v>
      </c>
      <c r="W165" s="8">
</c>
      <c r="X165" s="8">
</c>
      <c r="Y165" s="8">
</c>
      <c r="Z165" s="8">
</c>
      <c r="AA165" s="8">
</c>
      <c r="AB165" s="8">
</c>
      <c r="AC165" s="8">
</c>
      <c r="AD165" s="8">
</c>
      <c r="AE165" s="8">
</c>
      <c r="AF165" s="8">
</c>
      <c r="AG165" s="8">
</c>
      <c r="AH165" s="8">
</c>
      <c r="AI165" s="8">
</c>
      <c r="AJ165" s="8">
</c>
      <c r="AK165" s="8">
</c>
    </row>
    <row r="166" ht="76.5" customHeight="1">
      <c r="A166" s="8">
</c>
      <c r="B166" s="8">
</c>
      <c r="C166" s="12">
</c>
      <c r="D166" s="8">
</c>
      <c r="E166" s="8">
</c>
      <c r="F166" s="8">
</c>
      <c r="G166" s="14" cm="1" t="str">
        <f t="array" ref="G166">IF(F166="","",SUBSTITUTE(SUBSTITUTE(SUBSTITUTE(SUBSTITUTE(F166,"&lt;li&gt;",CHAR(10)),"&lt;/li&gt;",""),"&lt;br&gt;",CHAR(10)),"&lt;strong&gt;",""))</f>
        <v/>
      </c>
      <c r="H166" s="14" cm="1" t="str">
        <f t="array" ref="H166">IF(G166="","",SUBSTITUTE(SUBSTITUTE(SUBSTITUTE(SUBSTITUTE(SUBSTITUTE(G166,"&lt;p&gt;",""),"&lt;/p&gt;",""),"&lt;ul&gt;",""),"&lt;/ul&gt;",""),"&lt;/strong&gt;",""))</f>
        <v/>
      </c>
      <c r="I166" s="15" cm="1" t="str">
        <f t="array" ref="I166">IF(C166="","",IF(OR(H166="",H166=0,H166=FALSE),"-",H166))</f>
        <v/>
      </c>
      <c r="J166" s="8">
</c>
      <c r="K166" s="8">
</c>
      <c r="L166" s="9" cm="1" t="str">
        <f t="array" ref="L166">IF(C166="","",IF(K166="Mort / Plus rien à faire","KO","OK"))</f>
        <v/>
      </c>
      <c r="M166" s="19">
</c>
      <c r="N166" s="16" cm="1" t="str">
        <f t="array" ref="N166">IF(OR(C166="",M166="",M166=0),"",M166)</f>
        <v/>
      </c>
      <c r="O166" s="19">
</c>
      <c r="P166" s="16" cm="1" t="str">
        <f t="array" ref="P166">IF(C166="","",IF(OR(O166="",O166=0),"-",O166))</f>
        <v/>
      </c>
      <c r="Q166" s="20">
</c>
      <c r="R166" s="17" cm="1" t="str">
        <f t="array" ref="R166">IF(C166="","",ROUND(Q166/1000000,3)&amp;" M€")</f>
        <v/>
      </c>
      <c r="S166" s="18">
</c>
      <c r="T166" s="9" cm="1" t="str">
        <f t="array" ref="T166">IF(C166="","",SUBSTITUTE(S166,"","")&amp;"%")</f>
        <v/>
      </c>
      <c r="U166" s="15" cm="1" t="str">
        <f t="array" ref="U166">IF(($N166="")*($P166=""),"",IF(($N166&lt;&gt;"")*($N166&gt;TODAY()-9)*($N166&lt;TODAY()+1)*($P166&lt;&gt;"")*($P166&gt;=TODAY())*($P166&lt;=TODAY()+13),"Semaine passée &amp; à venir",IF(($N166&lt;&gt;"")*($N166&gt;TODAY()-9)*($N166&lt;TODAY()+1),"Semaine passée",IF(($P166&lt;&gt;"")*($P166&gt;=TODAY())*($P166&lt;=TODAY()+13),"À venir","Autre"))))</f>
        <v/>
      </c>
      <c r="V166" s="8" cm="1" t="n">
        <f t="array" ref="V166">IF(C166&lt;&gt;"",1,0)</f>
        <v>0</v>
      </c>
      <c r="W166" s="8">
</c>
      <c r="X166" s="8">
</c>
      <c r="Y166" s="8">
</c>
      <c r="Z166" s="8">
</c>
      <c r="AA166" s="8">
</c>
      <c r="AB166" s="8">
</c>
      <c r="AC166" s="8">
</c>
      <c r="AD166" s="8">
</c>
      <c r="AE166" s="8">
</c>
      <c r="AF166" s="8">
</c>
      <c r="AG166" s="8">
</c>
      <c r="AH166" s="8">
</c>
      <c r="AI166" s="8">
</c>
      <c r="AJ166" s="8">
</c>
      <c r="AK166" s="8">
</c>
    </row>
    <row r="167" ht="76.5" customHeight="1">
      <c r="A167" s="8">
</c>
      <c r="B167" s="8">
</c>
      <c r="C167" s="12">
</c>
      <c r="D167" s="8">
</c>
      <c r="E167" s="8">
</c>
      <c r="F167" s="8">
</c>
      <c r="G167" s="14" cm="1" t="str">
        <f t="array" ref="G167">IF(F167="","",SUBSTITUTE(SUBSTITUTE(SUBSTITUTE(SUBSTITUTE(F167,"&lt;li&gt;",CHAR(10)),"&lt;/li&gt;",""),"&lt;br&gt;",CHAR(10)),"&lt;strong&gt;",""))</f>
        <v/>
      </c>
      <c r="H167" s="14" cm="1" t="str">
        <f t="array" ref="H167">IF(G167="","",SUBSTITUTE(SUBSTITUTE(SUBSTITUTE(SUBSTITUTE(SUBSTITUTE(G167,"&lt;p&gt;",""),"&lt;/p&gt;",""),"&lt;ul&gt;",""),"&lt;/ul&gt;",""),"&lt;/strong&gt;",""))</f>
        <v/>
      </c>
      <c r="I167" s="15" cm="1" t="str">
        <f t="array" ref="I167">IF(C167="","",IF(OR(H167="",H167=0,H167=FALSE),"-",H167))</f>
        <v/>
      </c>
      <c r="J167" s="8">
</c>
      <c r="K167" s="8">
</c>
      <c r="L167" s="9" cm="1" t="str">
        <f t="array" ref="L167">IF(C167="","",IF(K167="Mort / Plus rien à faire","KO","OK"))</f>
        <v/>
      </c>
      <c r="M167" s="19">
</c>
      <c r="N167" s="16" cm="1" t="str">
        <f t="array" ref="N167">IF(OR(C167="",M167="",M167=0),"",M167)</f>
        <v/>
      </c>
      <c r="O167" s="19">
</c>
      <c r="P167" s="16" cm="1" t="str">
        <f t="array" ref="P167">IF(C167="","",IF(OR(O167="",O167=0),"-",O167))</f>
        <v/>
      </c>
      <c r="Q167" s="20">
</c>
      <c r="R167" s="17" cm="1" t="str">
        <f t="array" ref="R167">IF(C167="","",ROUND(Q167/1000000,3)&amp;" M€")</f>
        <v/>
      </c>
      <c r="S167" s="18">
</c>
      <c r="T167" s="9" cm="1" t="str">
        <f t="array" ref="T167">IF(C167="","",SUBSTITUTE(S167,"","")&amp;"%")</f>
        <v/>
      </c>
      <c r="U167" s="15" cm="1" t="str">
        <f t="array" ref="U167">IF(($N167="")*($P167=""),"",IF(($N167&lt;&gt;"")*($N167&gt;TODAY()-9)*($N167&lt;TODAY()+1)*($P167&lt;&gt;"")*($P167&gt;=TODAY())*($P167&lt;=TODAY()+13),"Semaine passée &amp; à venir",IF(($N167&lt;&gt;"")*($N167&gt;TODAY()-9)*($N167&lt;TODAY()+1),"Semaine passée",IF(($P167&lt;&gt;"")*($P167&gt;=TODAY())*($P167&lt;=TODAY()+13),"À venir","Autre"))))</f>
        <v/>
      </c>
      <c r="V167" s="8" cm="1" t="n">
        <f t="array" ref="V167">IF(C167&lt;&gt;"",1,0)</f>
        <v>0</v>
      </c>
      <c r="W167" s="8">
</c>
      <c r="X167" s="8">
</c>
      <c r="Y167" s="8">
</c>
      <c r="Z167" s="8">
</c>
      <c r="AA167" s="8">
</c>
      <c r="AB167" s="8">
</c>
      <c r="AC167" s="8">
</c>
      <c r="AD167" s="8">
</c>
      <c r="AE167" s="8">
</c>
      <c r="AF167" s="8">
</c>
      <c r="AG167" s="8">
</c>
      <c r="AH167" s="8">
</c>
      <c r="AI167" s="8">
</c>
      <c r="AJ167" s="8">
</c>
      <c r="AK167" s="8">
</c>
    </row>
    <row r="168" ht="76.5" customHeight="1">
      <c r="A168" s="8">
</c>
      <c r="B168" s="8">
</c>
      <c r="C168" s="12">
</c>
      <c r="D168" s="8">
</c>
      <c r="E168" s="8">
</c>
      <c r="F168" s="8">
</c>
      <c r="G168" s="14" cm="1" t="str">
        <f t="array" ref="G168">IF(F168="","",SUBSTITUTE(SUBSTITUTE(SUBSTITUTE(SUBSTITUTE(F168,"&lt;li&gt;",CHAR(10)),"&lt;/li&gt;",""),"&lt;br&gt;",CHAR(10)),"&lt;strong&gt;",""))</f>
        <v/>
      </c>
      <c r="H168" s="14" cm="1" t="str">
        <f t="array" ref="H168">IF(G168="","",SUBSTITUTE(SUBSTITUTE(SUBSTITUTE(SUBSTITUTE(SUBSTITUTE(G168,"&lt;p&gt;",""),"&lt;/p&gt;",""),"&lt;ul&gt;",""),"&lt;/ul&gt;",""),"&lt;/strong&gt;",""))</f>
        <v/>
      </c>
      <c r="I168" s="15" cm="1" t="str">
        <f t="array" ref="I168">IF(C168="","",IF(OR(H168="",H168=0,H168=FALSE),"-",H168))</f>
        <v/>
      </c>
      <c r="J168" s="8">
</c>
      <c r="K168" s="8">
</c>
      <c r="L168" s="9" cm="1" t="str">
        <f t="array" ref="L168">IF(C168="","",IF(K168="Mort / Plus rien à faire","KO","OK"))</f>
        <v/>
      </c>
      <c r="M168" s="19">
</c>
      <c r="N168" s="16" cm="1" t="str">
        <f t="array" ref="N168">IF(OR(C168="",M168="",M168=0),"",M168)</f>
        <v/>
      </c>
      <c r="O168" s="19">
</c>
      <c r="P168" s="16" cm="1" t="str">
        <f t="array" ref="P168">IF(C168="","",IF(OR(O168="",O168=0),"-",O168))</f>
        <v/>
      </c>
      <c r="Q168" s="20">
</c>
      <c r="R168" s="17" cm="1" t="str">
        <f t="array" ref="R168">IF(C168="","",ROUND(Q168/1000000,3)&amp;" M€")</f>
        <v/>
      </c>
      <c r="S168" s="18">
</c>
      <c r="T168" s="9" cm="1" t="str">
        <f t="array" ref="T168">IF(C168="","",SUBSTITUTE(S168,"","")&amp;"%")</f>
        <v/>
      </c>
      <c r="U168" s="15" cm="1" t="str">
        <f t="array" ref="U168">IF(($N168="")*($P168=""),"",IF(($N168&lt;&gt;"")*($N168&gt;TODAY()-9)*($N168&lt;TODAY()+1)*($P168&lt;&gt;"")*($P168&gt;=TODAY())*($P168&lt;=TODAY()+13),"Semaine passée &amp; à venir",IF(($N168&lt;&gt;"")*($N168&gt;TODAY()-9)*($N168&lt;TODAY()+1),"Semaine passée",IF(($P168&lt;&gt;"")*($P168&gt;=TODAY())*($P168&lt;=TODAY()+13),"À venir","Autre"))))</f>
        <v/>
      </c>
      <c r="V168" s="8" cm="1" t="n">
        <f t="array" ref="V168">IF(C168&lt;&gt;"",1,0)</f>
        <v>0</v>
      </c>
      <c r="W168" s="8">
</c>
      <c r="X168" s="8">
</c>
      <c r="Y168" s="8">
</c>
      <c r="Z168" s="8">
</c>
      <c r="AA168" s="8">
</c>
      <c r="AB168" s="8">
</c>
      <c r="AC168" s="8">
</c>
      <c r="AD168" s="8">
</c>
      <c r="AE168" s="8">
</c>
      <c r="AF168" s="8">
</c>
      <c r="AG168" s="8">
</c>
      <c r="AH168" s="8">
</c>
      <c r="AI168" s="8">
</c>
      <c r="AJ168" s="8">
</c>
      <c r="AK168" s="8">
</c>
    </row>
    <row r="169" ht="76.5" customHeight="1">
      <c r="A169" s="8">
</c>
      <c r="B169" s="8">
</c>
      <c r="C169" s="12">
</c>
      <c r="D169" s="8">
</c>
      <c r="E169" s="8">
</c>
      <c r="F169" s="8">
</c>
      <c r="G169" s="14" cm="1" t="str">
        <f t="array" ref="G169">IF(F169="","",SUBSTITUTE(SUBSTITUTE(SUBSTITUTE(SUBSTITUTE(F169,"&lt;li&gt;",CHAR(10)),"&lt;/li&gt;",""),"&lt;br&gt;",CHAR(10)),"&lt;strong&gt;",""))</f>
        <v/>
      </c>
      <c r="H169" s="14" cm="1" t="str">
        <f t="array" ref="H169">IF(G169="","",SUBSTITUTE(SUBSTITUTE(SUBSTITUTE(SUBSTITUTE(SUBSTITUTE(G169,"&lt;p&gt;",""),"&lt;/p&gt;",""),"&lt;ul&gt;",""),"&lt;/ul&gt;",""),"&lt;/strong&gt;",""))</f>
        <v/>
      </c>
      <c r="I169" s="15" cm="1" t="str">
        <f t="array" ref="I169">IF(C169="","",IF(OR(H169="",H169=0,H169=FALSE),"-",H169))</f>
        <v/>
      </c>
      <c r="J169" s="8">
</c>
      <c r="K169" s="8">
</c>
      <c r="L169" s="9" cm="1" t="str">
        <f t="array" ref="L169">IF(C169="","",IF(K169="Mort / Plus rien à faire","KO","OK"))</f>
        <v/>
      </c>
      <c r="M169" s="19">
</c>
      <c r="N169" s="16" cm="1" t="str">
        <f t="array" ref="N169">IF(OR(C169="",M169="",M169=0),"",M169)</f>
        <v/>
      </c>
      <c r="O169" s="19">
</c>
      <c r="P169" s="16" cm="1" t="str">
        <f t="array" ref="P169">IF(C169="","",IF(OR(O169="",O169=0),"-",O169))</f>
        <v/>
      </c>
      <c r="Q169" s="20">
</c>
      <c r="R169" s="17" cm="1" t="str">
        <f t="array" ref="R169">IF(C169="","",ROUND(Q169/1000000,3)&amp;" M€")</f>
        <v/>
      </c>
      <c r="S169" s="18">
</c>
      <c r="T169" s="9" cm="1" t="str">
        <f t="array" ref="T169">IF(C169="","",SUBSTITUTE(S169,"","")&amp;"%")</f>
        <v/>
      </c>
      <c r="U169" s="15" cm="1" t="str">
        <f t="array" ref="U169">IF(($N169="")*($P169=""),"",IF(($N169&lt;&gt;"")*($N169&gt;TODAY()-9)*($N169&lt;TODAY()+1)*($P169&lt;&gt;"")*($P169&gt;=TODAY())*($P169&lt;=TODAY()+13),"Semaine passée &amp; à venir",IF(($N169&lt;&gt;"")*($N169&gt;TODAY()-9)*($N169&lt;TODAY()+1),"Semaine passée",IF(($P169&lt;&gt;"")*($P169&gt;=TODAY())*($P169&lt;=TODAY()+13),"À venir","Autre"))))</f>
        <v/>
      </c>
      <c r="V169" s="8" cm="1" t="n">
        <f t="array" ref="V169">IF(C169&lt;&gt;"",1,0)</f>
        <v>0</v>
      </c>
      <c r="W169" s="8">
</c>
      <c r="X169" s="8">
</c>
      <c r="Y169" s="8">
</c>
      <c r="Z169" s="8">
</c>
      <c r="AA169" s="8">
</c>
      <c r="AB169" s="8">
</c>
      <c r="AC169" s="8">
</c>
      <c r="AD169" s="8">
</c>
      <c r="AE169" s="8">
</c>
      <c r="AF169" s="8">
</c>
      <c r="AG169" s="8">
</c>
      <c r="AH169" s="8">
</c>
      <c r="AI169" s="8">
</c>
      <c r="AJ169" s="8">
</c>
      <c r="AK169" s="8">
</c>
    </row>
    <row r="170" ht="76.5" customHeight="1">
      <c r="A170" s="8">
</c>
      <c r="B170" s="8">
</c>
      <c r="C170" s="12">
</c>
      <c r="D170" s="8">
</c>
      <c r="E170" s="8">
</c>
      <c r="F170" s="8">
</c>
      <c r="G170" s="14" cm="1" t="str">
        <f t="array" ref="G170">IF(F170="","",SUBSTITUTE(SUBSTITUTE(SUBSTITUTE(SUBSTITUTE(F170,"&lt;li&gt;",CHAR(10)),"&lt;/li&gt;",""),"&lt;br&gt;",CHAR(10)),"&lt;strong&gt;",""))</f>
        <v/>
      </c>
      <c r="H170" s="14" cm="1" t="str">
        <f t="array" ref="H170">IF(G170="","",SUBSTITUTE(SUBSTITUTE(SUBSTITUTE(SUBSTITUTE(SUBSTITUTE(G170,"&lt;p&gt;",""),"&lt;/p&gt;",""),"&lt;ul&gt;",""),"&lt;/ul&gt;",""),"&lt;/strong&gt;",""))</f>
        <v/>
      </c>
      <c r="I170" s="15" cm="1" t="str">
        <f t="array" ref="I170">IF(C170="","",IF(OR(H170="",H170=0,H170=FALSE),"-",H170))</f>
        <v/>
      </c>
      <c r="J170" s="8">
</c>
      <c r="K170" s="8">
</c>
      <c r="L170" s="9" cm="1" t="str">
        <f t="array" ref="L170">IF(C170="","",IF(K170="Mort / Plus rien à faire","KO","OK"))</f>
        <v/>
      </c>
      <c r="M170" s="19">
</c>
      <c r="N170" s="16" cm="1" t="str">
        <f t="array" ref="N170">IF(OR(C170="",M170="",M170=0),"",M170)</f>
        <v/>
      </c>
      <c r="O170" s="19">
</c>
      <c r="P170" s="16" cm="1" t="str">
        <f t="array" ref="P170">IF(C170="","",IF(OR(O170="",O170=0),"-",O170))</f>
        <v/>
      </c>
      <c r="Q170" s="20">
</c>
      <c r="R170" s="17" cm="1" t="str">
        <f t="array" ref="R170">IF(C170="","",ROUND(Q170/1000000,3)&amp;" M€")</f>
        <v/>
      </c>
      <c r="S170" s="18">
</c>
      <c r="T170" s="9" cm="1" t="str">
        <f t="array" ref="T170">IF(C170="","",SUBSTITUTE(S170,"","")&amp;"%")</f>
        <v/>
      </c>
      <c r="U170" s="15" cm="1" t="str">
        <f t="array" ref="U170">IF(($N170="")*($P170=""),"",IF(($N170&lt;&gt;"")*($N170&gt;TODAY()-9)*($N170&lt;TODAY()+1)*($P170&lt;&gt;"")*($P170&gt;=TODAY())*($P170&lt;=TODAY()+13),"Semaine passée &amp; à venir",IF(($N170&lt;&gt;"")*($N170&gt;TODAY()-9)*($N170&lt;TODAY()+1),"Semaine passée",IF(($P170&lt;&gt;"")*($P170&gt;=TODAY())*($P170&lt;=TODAY()+13),"À venir","Autre"))))</f>
        <v/>
      </c>
      <c r="V170" s="8" cm="1" t="n">
        <f t="array" ref="V170">IF(C170&lt;&gt;"",1,0)</f>
        <v>0</v>
      </c>
      <c r="W170" s="8">
</c>
      <c r="X170" s="8">
</c>
      <c r="Y170" s="8">
</c>
      <c r="Z170" s="8">
</c>
      <c r="AA170" s="8">
</c>
      <c r="AB170" s="8">
</c>
      <c r="AC170" s="8">
</c>
      <c r="AD170" s="8">
</c>
      <c r="AE170" s="8">
</c>
      <c r="AF170" s="8">
</c>
      <c r="AG170" s="8">
</c>
      <c r="AH170" s="8">
</c>
      <c r="AI170" s="8">
</c>
      <c r="AJ170" s="8">
</c>
      <c r="AK170" s="8">
</c>
    </row>
    <row r="171" ht="76.5" customHeight="1">
      <c r="A171" s="8">
</c>
      <c r="B171" s="8">
</c>
      <c r="C171" s="12">
</c>
      <c r="D171" s="8">
</c>
      <c r="E171" s="8">
</c>
      <c r="F171" s="8">
</c>
      <c r="G171" s="14" cm="1" t="str">
        <f t="array" ref="G171">IF(F171="","",SUBSTITUTE(SUBSTITUTE(SUBSTITUTE(SUBSTITUTE(F171,"&lt;li&gt;",CHAR(10)),"&lt;/li&gt;",""),"&lt;br&gt;",CHAR(10)),"&lt;strong&gt;",""))</f>
        <v/>
      </c>
      <c r="H171" s="14" cm="1" t="str">
        <f t="array" ref="H171">IF(G171="","",SUBSTITUTE(SUBSTITUTE(SUBSTITUTE(SUBSTITUTE(SUBSTITUTE(G171,"&lt;p&gt;",""),"&lt;/p&gt;",""),"&lt;ul&gt;",""),"&lt;/ul&gt;",""),"&lt;/strong&gt;",""))</f>
        <v/>
      </c>
      <c r="I171" s="15" cm="1" t="str">
        <f t="array" ref="I171">IF(C171="","",IF(OR(H171="",H171=0,H171=FALSE),"-",H171))</f>
        <v/>
      </c>
      <c r="J171" s="8">
</c>
      <c r="K171" s="8">
</c>
      <c r="L171" s="9" cm="1" t="str">
        <f t="array" ref="L171">IF(C171="","",IF(K171="Mort / Plus rien à faire","KO","OK"))</f>
        <v/>
      </c>
      <c r="M171" s="19">
</c>
      <c r="N171" s="16" cm="1" t="str">
        <f t="array" ref="N171">IF(OR(C171="",M171="",M171=0),"",M171)</f>
        <v/>
      </c>
      <c r="O171" s="19">
</c>
      <c r="P171" s="16" cm="1" t="str">
        <f t="array" ref="P171">IF(C171="","",IF(OR(O171="",O171=0),"-",O171))</f>
        <v/>
      </c>
      <c r="Q171" s="20">
</c>
      <c r="R171" s="17" cm="1" t="str">
        <f t="array" ref="R171">IF(C171="","",ROUND(Q171/1000000,3)&amp;" M€")</f>
        <v/>
      </c>
      <c r="S171" s="18">
</c>
      <c r="T171" s="9" cm="1" t="str">
        <f t="array" ref="T171">IF(C171="","",SUBSTITUTE(S171,"","")&amp;"%")</f>
        <v/>
      </c>
      <c r="U171" s="15" cm="1" t="str">
        <f t="array" ref="U171">IF(($N171="")*($P171=""),"",IF(($N171&lt;&gt;"")*($N171&gt;TODAY()-9)*($N171&lt;TODAY()+1)*($P171&lt;&gt;"")*($P171&gt;=TODAY())*($P171&lt;=TODAY()+13),"Semaine passée &amp; à venir",IF(($N171&lt;&gt;"")*($N171&gt;TODAY()-9)*($N171&lt;TODAY()+1),"Semaine passée",IF(($P171&lt;&gt;"")*($P171&gt;=TODAY())*($P171&lt;=TODAY()+13),"À venir","Autre"))))</f>
        <v/>
      </c>
      <c r="V171" s="8" cm="1" t="n">
        <f t="array" ref="V171">IF(C171&lt;&gt;"",1,0)</f>
        <v>0</v>
      </c>
      <c r="W171" s="8">
</c>
      <c r="X171" s="8">
</c>
      <c r="Y171" s="8">
</c>
      <c r="Z171" s="8">
</c>
      <c r="AA171" s="8">
</c>
      <c r="AB171" s="8">
</c>
      <c r="AC171" s="8">
</c>
      <c r="AD171" s="8">
</c>
      <c r="AE171" s="8">
</c>
      <c r="AF171" s="8">
</c>
      <c r="AG171" s="8">
</c>
      <c r="AH171" s="8">
</c>
      <c r="AI171" s="8">
</c>
      <c r="AJ171" s="8">
</c>
      <c r="AK171" s="8">
</c>
    </row>
    <row r="172" ht="76.5" customHeight="1">
      <c r="A172" s="8">
</c>
      <c r="B172" s="8">
</c>
      <c r="C172" s="12">
</c>
      <c r="D172" s="8">
</c>
      <c r="E172" s="8">
</c>
      <c r="F172" s="8">
</c>
      <c r="G172" s="14" cm="1" t="str">
        <f t="array" ref="G172">IF(F172="","",SUBSTITUTE(SUBSTITUTE(SUBSTITUTE(SUBSTITUTE(F172,"&lt;li&gt;",CHAR(10)),"&lt;/li&gt;",""),"&lt;br&gt;",CHAR(10)),"&lt;strong&gt;",""))</f>
        <v/>
      </c>
      <c r="H172" s="14" cm="1" t="str">
        <f t="array" ref="H172">IF(G172="","",SUBSTITUTE(SUBSTITUTE(SUBSTITUTE(SUBSTITUTE(SUBSTITUTE(G172,"&lt;p&gt;",""),"&lt;/p&gt;",""),"&lt;ul&gt;",""),"&lt;/ul&gt;",""),"&lt;/strong&gt;",""))</f>
        <v/>
      </c>
      <c r="I172" s="15" cm="1" t="str">
        <f t="array" ref="I172">IF(C172="","",IF(OR(H172="",H172=0,H172=FALSE),"-",H172))</f>
        <v/>
      </c>
      <c r="J172" s="8">
</c>
      <c r="K172" s="8">
</c>
      <c r="L172" s="9" cm="1" t="str">
        <f t="array" ref="L172">IF(C172="","",IF(K172="Mort / Plus rien à faire","KO","OK"))</f>
        <v/>
      </c>
      <c r="M172" s="19">
</c>
      <c r="N172" s="16" cm="1" t="str">
        <f t="array" ref="N172">IF(OR(C172="",M172="",M172=0),"",M172)</f>
        <v/>
      </c>
      <c r="O172" s="19">
</c>
      <c r="P172" s="16" cm="1" t="str">
        <f t="array" ref="P172">IF(C172="","",IF(OR(O172="",O172=0),"-",O172))</f>
        <v/>
      </c>
      <c r="Q172" s="20">
</c>
      <c r="R172" s="17" cm="1" t="str">
        <f t="array" ref="R172">IF(C172="","",ROUND(Q172/1000000,3)&amp;" M€")</f>
        <v/>
      </c>
      <c r="S172" s="18">
</c>
      <c r="T172" s="9" cm="1" t="str">
        <f t="array" ref="T172">IF(C172="","",SUBSTITUTE(S172,"","")&amp;"%")</f>
        <v/>
      </c>
      <c r="U172" s="15" cm="1" t="str">
        <f t="array" ref="U172">IF(($N172="")*($P172=""),"",IF(($N172&lt;&gt;"")*($N172&gt;TODAY()-9)*($N172&lt;TODAY()+1)*($P172&lt;&gt;"")*($P172&gt;=TODAY())*($P172&lt;=TODAY()+13),"Semaine passée &amp; à venir",IF(($N172&lt;&gt;"")*($N172&gt;TODAY()-9)*($N172&lt;TODAY()+1),"Semaine passée",IF(($P172&lt;&gt;"")*($P172&gt;=TODAY())*($P172&lt;=TODAY()+13),"À venir","Autre"))))</f>
        <v/>
      </c>
      <c r="V172" s="8" cm="1" t="n">
        <f t="array" ref="V172">IF(C172&lt;&gt;"",1,0)</f>
        <v>0</v>
      </c>
      <c r="W172" s="8">
</c>
      <c r="X172" s="8">
</c>
      <c r="Y172" s="8">
</c>
      <c r="Z172" s="8">
</c>
      <c r="AA172" s="8">
</c>
      <c r="AB172" s="8">
</c>
      <c r="AC172" s="8">
</c>
      <c r="AD172" s="8">
</c>
      <c r="AE172" s="8">
</c>
      <c r="AF172" s="8">
</c>
      <c r="AG172" s="8">
</c>
      <c r="AH172" s="8">
</c>
      <c r="AI172" s="8">
</c>
      <c r="AJ172" s="8">
</c>
      <c r="AK172" s="8">
</c>
    </row>
    <row r="173" ht="76.5" customHeight="1">
      <c r="A173" s="8">
</c>
      <c r="B173" s="8">
</c>
      <c r="C173" s="12">
</c>
      <c r="D173" s="8">
</c>
      <c r="E173" s="8">
</c>
      <c r="F173" s="8">
</c>
      <c r="G173" s="14" cm="1" t="str">
        <f t="array" ref="G173">IF(F173="","",SUBSTITUTE(SUBSTITUTE(SUBSTITUTE(SUBSTITUTE(F173,"&lt;li&gt;",CHAR(10)),"&lt;/li&gt;",""),"&lt;br&gt;",CHAR(10)),"&lt;strong&gt;",""))</f>
        <v/>
      </c>
      <c r="H173" s="14" cm="1" t="str">
        <f t="array" ref="H173">IF(G173="","",SUBSTITUTE(SUBSTITUTE(SUBSTITUTE(SUBSTITUTE(SUBSTITUTE(G173,"&lt;p&gt;",""),"&lt;/p&gt;",""),"&lt;ul&gt;",""),"&lt;/ul&gt;",""),"&lt;/strong&gt;",""))</f>
        <v/>
      </c>
      <c r="I173" s="15" cm="1" t="str">
        <f t="array" ref="I173">IF(C173="","",IF(OR(H173="",H173=0,H173=FALSE),"-",H173))</f>
        <v/>
      </c>
      <c r="J173" s="8">
</c>
      <c r="K173" s="8">
</c>
      <c r="L173" s="9" cm="1" t="str">
        <f t="array" ref="L173">IF(C173="","",IF(K173="Mort / Plus rien à faire","KO","OK"))</f>
        <v/>
      </c>
      <c r="M173" s="19">
</c>
      <c r="N173" s="16" cm="1" t="str">
        <f t="array" ref="N173">IF(OR(C173="",M173="",M173=0),"",M173)</f>
        <v/>
      </c>
      <c r="O173" s="19">
</c>
      <c r="P173" s="16" cm="1" t="str">
        <f t="array" ref="P173">IF(C173="","",IF(OR(O173="",O173=0),"-",O173))</f>
        <v/>
      </c>
      <c r="Q173" s="20">
</c>
      <c r="R173" s="17" cm="1" t="str">
        <f t="array" ref="R173">IF(C173="","",ROUND(Q173/1000000,3)&amp;" M€")</f>
        <v/>
      </c>
      <c r="S173" s="18">
</c>
      <c r="T173" s="9" cm="1" t="str">
        <f t="array" ref="T173">IF(C173="","",SUBSTITUTE(S173,"","")&amp;"%")</f>
        <v/>
      </c>
      <c r="U173" s="15" cm="1" t="str">
        <f t="array" ref="U173">IF(($N173="")*($P173=""),"",IF(($N173&lt;&gt;"")*($N173&gt;TODAY()-9)*($N173&lt;TODAY()+1)*($P173&lt;&gt;"")*($P173&gt;=TODAY())*($P173&lt;=TODAY()+13),"Semaine passée &amp; à venir",IF(($N173&lt;&gt;"")*($N173&gt;TODAY()-9)*($N173&lt;TODAY()+1),"Semaine passée",IF(($P173&lt;&gt;"")*($P173&gt;=TODAY())*($P173&lt;=TODAY()+13),"À venir","Autre"))))</f>
        <v/>
      </c>
      <c r="V173" s="8" cm="1" t="n">
        <f t="array" ref="V173">IF(C173&lt;&gt;"",1,0)</f>
        <v>0</v>
      </c>
      <c r="W173" s="8">
</c>
      <c r="X173" s="8">
</c>
      <c r="Y173" s="8">
</c>
      <c r="Z173" s="8">
</c>
      <c r="AA173" s="8">
</c>
      <c r="AB173" s="8">
</c>
      <c r="AC173" s="8">
</c>
      <c r="AD173" s="8">
</c>
      <c r="AE173" s="8">
</c>
      <c r="AF173" s="8">
</c>
      <c r="AG173" s="8">
</c>
      <c r="AH173" s="8">
</c>
      <c r="AI173" s="8">
</c>
      <c r="AJ173" s="8">
</c>
      <c r="AK173" s="8">
</c>
    </row>
    <row r="174" ht="76.5" customHeight="1">
      <c r="A174" s="8">
</c>
      <c r="B174" s="8">
</c>
      <c r="C174" s="12">
</c>
      <c r="D174" s="8">
</c>
      <c r="E174" s="8">
</c>
      <c r="F174" s="8">
</c>
      <c r="G174" s="14" cm="1" t="str">
        <f t="array" ref="G174">IF(F174="","",SUBSTITUTE(SUBSTITUTE(SUBSTITUTE(SUBSTITUTE(F174,"&lt;li&gt;",CHAR(10)),"&lt;/li&gt;",""),"&lt;br&gt;",CHAR(10)),"&lt;strong&gt;",""))</f>
        <v/>
      </c>
      <c r="H174" s="14" cm="1" t="str">
        <f t="array" ref="H174">IF(G174="","",SUBSTITUTE(SUBSTITUTE(SUBSTITUTE(SUBSTITUTE(SUBSTITUTE(G174,"&lt;p&gt;",""),"&lt;/p&gt;",""),"&lt;ul&gt;",""),"&lt;/ul&gt;",""),"&lt;/strong&gt;",""))</f>
        <v/>
      </c>
      <c r="I174" s="15" cm="1" t="str">
        <f t="array" ref="I174">IF(C174="","",IF(OR(H174="",H174=0,H174=FALSE),"-",H174))</f>
        <v/>
      </c>
      <c r="J174" s="8">
</c>
      <c r="K174" s="8">
</c>
      <c r="L174" s="9" cm="1" t="str">
        <f t="array" ref="L174">IF(C174="","",IF(K174="Mort / Plus rien à faire","KO","OK"))</f>
        <v/>
      </c>
      <c r="M174" s="19">
</c>
      <c r="N174" s="16" cm="1" t="str">
        <f t="array" ref="N174">IF(OR(C174="",M174="",M174=0),"",M174)</f>
        <v/>
      </c>
      <c r="O174" s="19">
</c>
      <c r="P174" s="16" cm="1" t="str">
        <f t="array" ref="P174">IF(C174="","",IF(OR(O174="",O174=0),"-",O174))</f>
        <v/>
      </c>
      <c r="Q174" s="20">
</c>
      <c r="R174" s="17" cm="1" t="str">
        <f t="array" ref="R174">IF(C174="","",ROUND(Q174/1000000,3)&amp;" M€")</f>
        <v/>
      </c>
      <c r="S174" s="18">
</c>
      <c r="T174" s="9" cm="1" t="str">
        <f t="array" ref="T174">IF(C174="","",SUBSTITUTE(S174,"","")&amp;"%")</f>
        <v/>
      </c>
      <c r="U174" s="15" cm="1" t="str">
        <f t="array" ref="U174">IF(($N174="")*($P174=""),"",IF(($N174&lt;&gt;"")*($N174&gt;TODAY()-9)*($N174&lt;TODAY()+1)*($P174&lt;&gt;"")*($P174&gt;=TODAY())*($P174&lt;=TODAY()+13),"Semaine passée &amp; à venir",IF(($N174&lt;&gt;"")*($N174&gt;TODAY()-9)*($N174&lt;TODAY()+1),"Semaine passée",IF(($P174&lt;&gt;"")*($P174&gt;=TODAY())*($P174&lt;=TODAY()+13),"À venir","Autre"))))</f>
        <v/>
      </c>
      <c r="V174" s="8" cm="1" t="n">
        <f t="array" ref="V174">IF(C174&lt;&gt;"",1,0)</f>
        <v>0</v>
      </c>
      <c r="W174" s="8">
</c>
      <c r="X174" s="8">
</c>
      <c r="Y174" s="8">
</c>
      <c r="Z174" s="8">
</c>
      <c r="AA174" s="8">
</c>
      <c r="AB174" s="8">
</c>
      <c r="AC174" s="8">
</c>
      <c r="AD174" s="8">
</c>
      <c r="AE174" s="8">
</c>
      <c r="AF174" s="8">
</c>
      <c r="AG174" s="8">
</c>
      <c r="AH174" s="8">
</c>
      <c r="AI174" s="8">
</c>
      <c r="AJ174" s="8">
</c>
      <c r="AK174" s="8">
</c>
    </row>
    <row r="175" ht="76.5" customHeight="1">
      <c r="A175" s="8">
</c>
      <c r="B175" s="8">
</c>
      <c r="C175" s="12">
</c>
      <c r="D175" s="8">
</c>
      <c r="E175" s="8">
</c>
      <c r="F175" s="8">
</c>
      <c r="G175" s="14" cm="1" t="str">
        <f t="array" ref="G175">IF(F175="","",SUBSTITUTE(SUBSTITUTE(SUBSTITUTE(SUBSTITUTE(F175,"&lt;li&gt;",CHAR(10)),"&lt;/li&gt;",""),"&lt;br&gt;",CHAR(10)),"&lt;strong&gt;",""))</f>
        <v/>
      </c>
      <c r="H175" s="14" cm="1" t="str">
        <f t="array" ref="H175">IF(G175="","",SUBSTITUTE(SUBSTITUTE(SUBSTITUTE(SUBSTITUTE(SUBSTITUTE(G175,"&lt;p&gt;",""),"&lt;/p&gt;",""),"&lt;ul&gt;",""),"&lt;/ul&gt;",""),"&lt;/strong&gt;",""))</f>
        <v/>
      </c>
      <c r="I175" s="15" cm="1" t="str">
        <f t="array" ref="I175">IF(C175="","",IF(OR(H175="",H175=0,H175=FALSE),"-",H175))</f>
        <v/>
      </c>
      <c r="J175" s="8">
</c>
      <c r="K175" s="8">
</c>
      <c r="L175" s="9" cm="1" t="str">
        <f t="array" ref="L175">IF(C175="","",IF(K175="Mort / Plus rien à faire","KO","OK"))</f>
        <v/>
      </c>
      <c r="M175" s="19">
</c>
      <c r="N175" s="16" cm="1" t="str">
        <f t="array" ref="N175">IF(OR(C175="",M175="",M175=0),"",M175)</f>
        <v/>
      </c>
      <c r="O175" s="19">
</c>
      <c r="P175" s="16" cm="1" t="str">
        <f t="array" ref="P175">IF(C175="","",IF(OR(O175="",O175=0),"-",O175))</f>
        <v/>
      </c>
      <c r="Q175" s="20">
</c>
      <c r="R175" s="17" cm="1" t="str">
        <f t="array" ref="R175">IF(C175="","",ROUND(Q175/1000000,3)&amp;" M€")</f>
        <v/>
      </c>
      <c r="S175" s="18">
</c>
      <c r="T175" s="9" cm="1" t="str">
        <f t="array" ref="T175">IF(C175="","",SUBSTITUTE(S175,"","")&amp;"%")</f>
        <v/>
      </c>
      <c r="U175" s="15" cm="1" t="str">
        <f t="array" ref="U175">IF(($N175="")*($P175=""),"",IF(($N175&lt;&gt;"")*($N175&gt;TODAY()-9)*($N175&lt;TODAY()+1)*($P175&lt;&gt;"")*($P175&gt;=TODAY())*($P175&lt;=TODAY()+13),"Semaine passée &amp; à venir",IF(($N175&lt;&gt;"")*($N175&gt;TODAY()-9)*($N175&lt;TODAY()+1),"Semaine passée",IF(($P175&lt;&gt;"")*($P175&gt;=TODAY())*($P175&lt;=TODAY()+13),"À venir","Autre"))))</f>
        <v/>
      </c>
      <c r="V175" s="8" cm="1" t="n">
        <f t="array" ref="V175">IF(C175&lt;&gt;"",1,0)</f>
        <v>0</v>
      </c>
      <c r="W175" s="8">
</c>
      <c r="X175" s="8">
</c>
      <c r="Y175" s="8">
</c>
      <c r="Z175" s="8">
</c>
      <c r="AA175" s="8">
</c>
      <c r="AB175" s="8">
</c>
      <c r="AC175" s="8">
</c>
      <c r="AD175" s="8">
</c>
      <c r="AE175" s="8">
</c>
      <c r="AF175" s="8">
</c>
      <c r="AG175" s="8">
</c>
      <c r="AH175" s="8">
</c>
      <c r="AI175" s="8">
</c>
      <c r="AJ175" s="8">
</c>
      <c r="AK175" s="8">
</c>
    </row>
    <row r="176" ht="76.5" customHeight="1">
      <c r="A176" s="8">
</c>
      <c r="B176" s="8">
</c>
      <c r="C176" s="12">
</c>
      <c r="D176" s="8">
</c>
      <c r="E176" s="8">
</c>
      <c r="F176" s="8">
</c>
      <c r="G176" s="14" cm="1" t="str">
        <f t="array" ref="G176">IF(F176="","",SUBSTITUTE(SUBSTITUTE(SUBSTITUTE(SUBSTITUTE(F176,"&lt;li&gt;",CHAR(10)),"&lt;/li&gt;",""),"&lt;br&gt;",CHAR(10)),"&lt;strong&gt;",""))</f>
        <v/>
      </c>
      <c r="H176" s="14" cm="1" t="str">
        <f t="array" ref="H176">IF(G176="","",SUBSTITUTE(SUBSTITUTE(SUBSTITUTE(SUBSTITUTE(SUBSTITUTE(G176,"&lt;p&gt;",""),"&lt;/p&gt;",""),"&lt;ul&gt;",""),"&lt;/ul&gt;",""),"&lt;/strong&gt;",""))</f>
        <v/>
      </c>
      <c r="I176" s="15" cm="1" t="str">
        <f t="array" ref="I176">IF(C176="","",IF(OR(H176="",H176=0,H176=FALSE),"-",H176))</f>
        <v/>
      </c>
      <c r="J176" s="8">
</c>
      <c r="K176" s="8">
</c>
      <c r="L176" s="9" cm="1" t="str">
        <f t="array" ref="L176">IF(C176="","",IF(K176="Mort / Plus rien à faire","KO","OK"))</f>
        <v/>
      </c>
      <c r="M176" s="19">
</c>
      <c r="N176" s="16" cm="1" t="str">
        <f t="array" ref="N176">IF(OR(C176="",M176="",M176=0),"",M176)</f>
        <v/>
      </c>
      <c r="O176" s="19">
</c>
      <c r="P176" s="16" cm="1" t="str">
        <f t="array" ref="P176">IF(C176="","",IF(OR(O176="",O176=0),"-",O176))</f>
        <v/>
      </c>
      <c r="Q176" s="20">
</c>
      <c r="R176" s="17" cm="1" t="str">
        <f t="array" ref="R176">IF(C176="","",ROUND(Q176/1000000,3)&amp;" M€")</f>
        <v/>
      </c>
      <c r="S176" s="18">
</c>
      <c r="T176" s="9" cm="1" t="str">
        <f t="array" ref="T176">IF(C176="","",SUBSTITUTE(S176,"","")&amp;"%")</f>
        <v/>
      </c>
      <c r="U176" s="15" cm="1" t="str">
        <f t="array" ref="U176">IF(($N176="")*($P176=""),"",IF(($N176&lt;&gt;"")*($N176&gt;TODAY()-9)*($N176&lt;TODAY()+1)*($P176&lt;&gt;"")*($P176&gt;=TODAY())*($P176&lt;=TODAY()+13),"Semaine passée &amp; à venir",IF(($N176&lt;&gt;"")*($N176&gt;TODAY()-9)*($N176&lt;TODAY()+1),"Semaine passée",IF(($P176&lt;&gt;"")*($P176&gt;=TODAY())*($P176&lt;=TODAY()+13),"À venir","Autre"))))</f>
        <v/>
      </c>
      <c r="V176" s="8" cm="1" t="n">
        <f t="array" ref="V176">IF(C176&lt;&gt;"",1,0)</f>
        <v>0</v>
      </c>
      <c r="W176" s="8">
</c>
      <c r="X176" s="8">
</c>
      <c r="Y176" s="8">
</c>
      <c r="Z176" s="8">
</c>
      <c r="AA176" s="8">
</c>
      <c r="AB176" s="8">
</c>
      <c r="AC176" s="8">
</c>
      <c r="AD176" s="8">
</c>
      <c r="AE176" s="8">
</c>
      <c r="AF176" s="8">
</c>
      <c r="AG176" s="8">
</c>
      <c r="AH176" s="8">
</c>
      <c r="AI176" s="8">
</c>
      <c r="AJ176" s="8">
</c>
      <c r="AK176" s="8">
</c>
    </row>
    <row r="177" ht="76.5" customHeight="1">
      <c r="A177" s="8">
</c>
      <c r="B177" s="8">
</c>
      <c r="C177" s="12">
</c>
      <c r="D177" s="8">
</c>
      <c r="E177" s="8">
</c>
      <c r="F177" s="8">
</c>
      <c r="G177" s="14" cm="1" t="str">
        <f t="array" ref="G177">IF(F177="","",SUBSTITUTE(SUBSTITUTE(SUBSTITUTE(SUBSTITUTE(F177,"&lt;li&gt;",CHAR(10)),"&lt;/li&gt;",""),"&lt;br&gt;",CHAR(10)),"&lt;strong&gt;",""))</f>
        <v/>
      </c>
      <c r="H177" s="14" cm="1" t="str">
        <f t="array" ref="H177">IF(G177="","",SUBSTITUTE(SUBSTITUTE(SUBSTITUTE(SUBSTITUTE(SUBSTITUTE(G177,"&lt;p&gt;",""),"&lt;/p&gt;",""),"&lt;ul&gt;",""),"&lt;/ul&gt;",""),"&lt;/strong&gt;",""))</f>
        <v/>
      </c>
      <c r="I177" s="15" cm="1" t="str">
        <f t="array" ref="I177">IF(C177="","",IF(OR(H177="",H177=0,H177=FALSE),"-",H177))</f>
        <v/>
      </c>
      <c r="J177" s="8">
</c>
      <c r="K177" s="8">
</c>
      <c r="L177" s="9" cm="1" t="str">
        <f t="array" ref="L177">IF(C177="","",IF(K177="Mort / Plus rien à faire","KO","OK"))</f>
        <v/>
      </c>
      <c r="M177" s="19">
</c>
      <c r="N177" s="16" cm="1" t="str">
        <f t="array" ref="N177">IF(OR(C177="",M177="",M177=0),"",M177)</f>
        <v/>
      </c>
      <c r="O177" s="19">
</c>
      <c r="P177" s="16" cm="1" t="str">
        <f t="array" ref="P177">IF(C177="","",IF(OR(O177="",O177=0),"-",O177))</f>
        <v/>
      </c>
      <c r="Q177" s="20">
</c>
      <c r="R177" s="17" cm="1" t="str">
        <f t="array" ref="R177">IF(C177="","",ROUND(Q177/1000000,3)&amp;" M€")</f>
        <v/>
      </c>
      <c r="S177" s="18">
</c>
      <c r="T177" s="9" cm="1" t="str">
        <f t="array" ref="T177">IF(C177="","",SUBSTITUTE(S177,"","")&amp;"%")</f>
        <v/>
      </c>
      <c r="U177" s="15" cm="1" t="str">
        <f t="array" ref="U177">IF(($N177="")*($P177=""),"",IF(($N177&lt;&gt;"")*($N177&gt;TODAY()-9)*($N177&lt;TODAY()+1)*($P177&lt;&gt;"")*($P177&gt;=TODAY())*($P177&lt;=TODAY()+13),"Semaine passée &amp; à venir",IF(($N177&lt;&gt;"")*($N177&gt;TODAY()-9)*($N177&lt;TODAY()+1),"Semaine passée",IF(($P177&lt;&gt;"")*($P177&gt;=TODAY())*($P177&lt;=TODAY()+13),"À venir","Autre"))))</f>
        <v/>
      </c>
      <c r="V177" s="8" cm="1" t="n">
        <f t="array" ref="V177">IF(C177&lt;&gt;"",1,0)</f>
        <v>0</v>
      </c>
      <c r="W177" s="8">
</c>
      <c r="X177" s="8">
</c>
      <c r="Y177" s="8">
</c>
      <c r="Z177" s="8">
</c>
      <c r="AA177" s="8">
</c>
      <c r="AB177" s="8">
</c>
      <c r="AC177" s="8">
</c>
      <c r="AD177" s="8">
</c>
      <c r="AE177" s="8">
</c>
      <c r="AF177" s="8">
</c>
      <c r="AG177" s="8">
</c>
      <c r="AH177" s="8">
</c>
      <c r="AI177" s="8">
</c>
      <c r="AJ177" s="8">
</c>
      <c r="AK177" s="8">
</c>
    </row>
    <row r="178" ht="76.5" customHeight="1">
      <c r="A178" s="8">
</c>
      <c r="B178" s="8">
</c>
      <c r="C178" s="12">
</c>
      <c r="D178" s="8">
</c>
      <c r="E178" s="8">
</c>
      <c r="F178" s="8">
</c>
      <c r="G178" s="14" cm="1" t="str">
        <f t="array" ref="G178">IF(F178="","",SUBSTITUTE(SUBSTITUTE(SUBSTITUTE(SUBSTITUTE(F178,"&lt;li&gt;",CHAR(10)),"&lt;/li&gt;",""),"&lt;br&gt;",CHAR(10)),"&lt;strong&gt;",""))</f>
        <v/>
      </c>
      <c r="H178" s="14" cm="1" t="str">
        <f t="array" ref="H178">IF(G178="","",SUBSTITUTE(SUBSTITUTE(SUBSTITUTE(SUBSTITUTE(SUBSTITUTE(G178,"&lt;p&gt;",""),"&lt;/p&gt;",""),"&lt;ul&gt;",""),"&lt;/ul&gt;",""),"&lt;/strong&gt;",""))</f>
        <v/>
      </c>
      <c r="I178" s="15" cm="1" t="str">
        <f t="array" ref="I178">IF(C178="","",IF(OR(H178="",H178=0,H178=FALSE),"-",H178))</f>
        <v/>
      </c>
      <c r="J178" s="8">
</c>
      <c r="K178" s="8">
</c>
      <c r="L178" s="9" cm="1" t="str">
        <f t="array" ref="L178">IF(C178="","",IF(K178="Mort / Plus rien à faire","KO","OK"))</f>
        <v/>
      </c>
      <c r="M178" s="19">
</c>
      <c r="N178" s="16" cm="1" t="str">
        <f t="array" ref="N178">IF(OR(C178="",M178="",M178=0),"",M178)</f>
        <v/>
      </c>
      <c r="O178" s="19">
</c>
      <c r="P178" s="16" cm="1" t="str">
        <f t="array" ref="P178">IF(C178="","",IF(OR(O178="",O178=0),"-",O178))</f>
        <v/>
      </c>
      <c r="Q178" s="20">
</c>
      <c r="R178" s="17" cm="1" t="str">
        <f t="array" ref="R178">IF(C178="","",ROUND(Q178/1000000,3)&amp;" M€")</f>
        <v/>
      </c>
      <c r="S178" s="18">
</c>
      <c r="T178" s="9" cm="1" t="str">
        <f t="array" ref="T178">IF(C178="","",SUBSTITUTE(S178,"","")&amp;"%")</f>
        <v/>
      </c>
      <c r="U178" s="15" cm="1" t="str">
        <f t="array" ref="U178">IF(($N178="")*($P178=""),"",IF(($N178&lt;&gt;"")*($N178&gt;TODAY()-9)*($N178&lt;TODAY()+1)*($P178&lt;&gt;"")*($P178&gt;=TODAY())*($P178&lt;=TODAY()+13),"Semaine passée &amp; à venir",IF(($N178&lt;&gt;"")*($N178&gt;TODAY()-9)*($N178&lt;TODAY()+1),"Semaine passée",IF(($P178&lt;&gt;"")*($P178&gt;=TODAY())*($P178&lt;=TODAY()+13),"À venir","Autre"))))</f>
        <v/>
      </c>
      <c r="V178" s="8" cm="1" t="n">
        <f t="array" ref="V178">IF(C178&lt;&gt;"",1,0)</f>
        <v>0</v>
      </c>
      <c r="W178" s="8">
</c>
      <c r="X178" s="8">
</c>
      <c r="Y178" s="8">
</c>
      <c r="Z178" s="8">
</c>
      <c r="AA178" s="8">
</c>
      <c r="AB178" s="8">
</c>
      <c r="AC178" s="8">
</c>
      <c r="AD178" s="8">
</c>
      <c r="AE178" s="8">
</c>
      <c r="AF178" s="8">
</c>
      <c r="AG178" s="8">
</c>
      <c r="AH178" s="8">
</c>
      <c r="AI178" s="8">
</c>
      <c r="AJ178" s="8">
</c>
      <c r="AK178" s="8">
</c>
    </row>
    <row r="179" ht="76.5" customHeight="1">
      <c r="A179" s="8">
</c>
      <c r="B179" s="8">
</c>
      <c r="C179" s="12">
</c>
      <c r="D179" s="8">
</c>
      <c r="E179" s="8">
</c>
      <c r="F179" s="8">
</c>
      <c r="G179" s="14" cm="1" t="str">
        <f t="array" ref="G179">IF(F179="","",SUBSTITUTE(SUBSTITUTE(SUBSTITUTE(SUBSTITUTE(F179,"&lt;li&gt;",CHAR(10)),"&lt;/li&gt;",""),"&lt;br&gt;",CHAR(10)),"&lt;strong&gt;",""))</f>
        <v/>
      </c>
      <c r="H179" s="14" cm="1" t="str">
        <f t="array" ref="H179">IF(G179="","",SUBSTITUTE(SUBSTITUTE(SUBSTITUTE(SUBSTITUTE(SUBSTITUTE(G179,"&lt;p&gt;",""),"&lt;/p&gt;",""),"&lt;ul&gt;",""),"&lt;/ul&gt;",""),"&lt;/strong&gt;",""))</f>
        <v/>
      </c>
      <c r="I179" s="15" cm="1" t="str">
        <f t="array" ref="I179">IF(C179="","",IF(OR(H179="",H179=0,H179=FALSE),"-",H179))</f>
        <v/>
      </c>
      <c r="J179" s="8">
</c>
      <c r="K179" s="8">
</c>
      <c r="L179" s="9" cm="1" t="str">
        <f t="array" ref="L179">IF(C179="","",IF(K179="Mort / Plus rien à faire","KO","OK"))</f>
        <v/>
      </c>
      <c r="M179" s="19">
</c>
      <c r="N179" s="16" cm="1" t="str">
        <f t="array" ref="N179">IF(OR(C179="",M179="",M179=0),"",M179)</f>
        <v/>
      </c>
      <c r="O179" s="19">
</c>
      <c r="P179" s="16" cm="1" t="str">
        <f t="array" ref="P179">IF(C179="","",IF(OR(O179="",O179=0),"-",O179))</f>
        <v/>
      </c>
      <c r="Q179" s="20">
</c>
      <c r="R179" s="17" cm="1" t="str">
        <f t="array" ref="R179">IF(C179="","",ROUND(Q179/1000000,3)&amp;" M€")</f>
        <v/>
      </c>
      <c r="S179" s="18">
</c>
      <c r="T179" s="9" cm="1" t="str">
        <f t="array" ref="T179">IF(C179="","",SUBSTITUTE(S179,"","")&amp;"%")</f>
        <v/>
      </c>
      <c r="U179" s="15" cm="1" t="str">
        <f t="array" ref="U179">IF(($N179="")*($P179=""),"",IF(($N179&lt;&gt;"")*($N179&gt;TODAY()-9)*($N179&lt;TODAY()+1)*($P179&lt;&gt;"")*($P179&gt;=TODAY())*($P179&lt;=TODAY()+13),"Semaine passée &amp; à venir",IF(($N179&lt;&gt;"")*($N179&gt;TODAY()-9)*($N179&lt;TODAY()+1),"Semaine passée",IF(($P179&lt;&gt;"")*($P179&gt;=TODAY())*($P179&lt;=TODAY()+13),"À venir","Autre"))))</f>
        <v/>
      </c>
      <c r="V179" s="8" cm="1" t="n">
        <f t="array" ref="V179">IF(C179&lt;&gt;"",1,0)</f>
        <v>0</v>
      </c>
      <c r="W179" s="8">
</c>
      <c r="X179" s="8">
</c>
      <c r="Y179" s="8">
</c>
      <c r="Z179" s="8">
</c>
      <c r="AA179" s="8">
</c>
      <c r="AB179" s="8">
</c>
      <c r="AC179" s="8">
</c>
      <c r="AD179" s="8">
</c>
      <c r="AE179" s="8">
</c>
      <c r="AF179" s="8">
</c>
      <c r="AG179" s="8">
</c>
      <c r="AH179" s="8">
</c>
      <c r="AI179" s="8">
</c>
      <c r="AJ179" s="8">
</c>
      <c r="AK179" s="8">
</c>
    </row>
    <row r="180" ht="76.5" customHeight="1">
      <c r="A180" s="8">
</c>
      <c r="B180" s="8">
</c>
      <c r="C180" s="12">
</c>
      <c r="D180" s="8">
</c>
      <c r="E180" s="8">
</c>
      <c r="F180" s="8">
</c>
      <c r="G180" s="14" cm="1" t="str">
        <f t="array" ref="G180">IF(F180="","",SUBSTITUTE(SUBSTITUTE(SUBSTITUTE(SUBSTITUTE(F180,"&lt;li&gt;",CHAR(10)),"&lt;/li&gt;",""),"&lt;br&gt;",CHAR(10)),"&lt;strong&gt;",""))</f>
        <v/>
      </c>
      <c r="H180" s="14" cm="1" t="str">
        <f t="array" ref="H180">IF(G180="","",SUBSTITUTE(SUBSTITUTE(SUBSTITUTE(SUBSTITUTE(SUBSTITUTE(G180,"&lt;p&gt;",""),"&lt;/p&gt;",""),"&lt;ul&gt;",""),"&lt;/ul&gt;",""),"&lt;/strong&gt;",""))</f>
        <v/>
      </c>
      <c r="I180" s="15" cm="1" t="str">
        <f t="array" ref="I180">IF(C180="","",IF(OR(H180="",H180=0,H180=FALSE),"-",H180))</f>
        <v/>
      </c>
      <c r="J180" s="8">
</c>
      <c r="K180" s="8">
</c>
      <c r="L180" s="9" cm="1" t="str">
        <f t="array" ref="L180">IF(C180="","",IF(K180="Mort / Plus rien à faire","KO","OK"))</f>
        <v/>
      </c>
      <c r="M180" s="19">
</c>
      <c r="N180" s="16" cm="1" t="str">
        <f t="array" ref="N180">IF(OR(C180="",M180="",M180=0),"",M180)</f>
        <v/>
      </c>
      <c r="O180" s="19">
</c>
      <c r="P180" s="16" cm="1" t="str">
        <f t="array" ref="P180">IF(C180="","",IF(OR(O180="",O180=0),"-",O180))</f>
        <v/>
      </c>
      <c r="Q180" s="20">
</c>
      <c r="R180" s="17" cm="1" t="str">
        <f t="array" ref="R180">IF(C180="","",ROUND(Q180/1000000,3)&amp;" M€")</f>
        <v/>
      </c>
      <c r="S180" s="18">
</c>
      <c r="T180" s="9" cm="1" t="str">
        <f t="array" ref="T180">IF(C180="","",SUBSTITUTE(S180,"","")&amp;"%")</f>
        <v/>
      </c>
      <c r="U180" s="15" cm="1" t="str">
        <f t="array" ref="U180">IF(($N180="")*($P180=""),"",IF(($N180&lt;&gt;"")*($N180&gt;TODAY()-9)*($N180&lt;TODAY()+1)*($P180&lt;&gt;"")*($P180&gt;=TODAY())*($P180&lt;=TODAY()+13),"Semaine passée &amp; à venir",IF(($N180&lt;&gt;"")*($N180&gt;TODAY()-9)*($N180&lt;TODAY()+1),"Semaine passée",IF(($P180&lt;&gt;"")*($P180&gt;=TODAY())*($P180&lt;=TODAY()+13),"À venir","Autre"))))</f>
        <v/>
      </c>
      <c r="V180" s="8" cm="1" t="n">
        <f t="array" ref="V180">IF(C180&lt;&gt;"",1,0)</f>
        <v>0</v>
      </c>
      <c r="W180" s="8">
</c>
      <c r="X180" s="8">
</c>
      <c r="Y180" s="8">
</c>
      <c r="Z180" s="8">
</c>
      <c r="AA180" s="8">
</c>
      <c r="AB180" s="8">
</c>
      <c r="AC180" s="8">
</c>
      <c r="AD180" s="8">
</c>
      <c r="AE180" s="8">
</c>
      <c r="AF180" s="8">
</c>
      <c r="AG180" s="8">
</c>
      <c r="AH180" s="8">
</c>
      <c r="AI180" s="8">
</c>
      <c r="AJ180" s="8">
</c>
      <c r="AK180" s="8">
</c>
    </row>
    <row r="181" ht="76.5" customHeight="1">
      <c r="A181" s="8">
</c>
      <c r="B181" s="8">
</c>
      <c r="C181" s="12">
</c>
      <c r="D181" s="8">
</c>
      <c r="E181" s="8">
</c>
      <c r="F181" s="8">
</c>
      <c r="G181" s="14" cm="1" t="str">
        <f t="array" ref="G181">IF(F181="","",SUBSTITUTE(SUBSTITUTE(SUBSTITUTE(SUBSTITUTE(F181,"&lt;li&gt;",CHAR(10)),"&lt;/li&gt;",""),"&lt;br&gt;",CHAR(10)),"&lt;strong&gt;",""))</f>
        <v/>
      </c>
      <c r="H181" s="14" cm="1" t="str">
        <f t="array" ref="H181">IF(G181="","",SUBSTITUTE(SUBSTITUTE(SUBSTITUTE(SUBSTITUTE(SUBSTITUTE(G181,"&lt;p&gt;",""),"&lt;/p&gt;",""),"&lt;ul&gt;",""),"&lt;/ul&gt;",""),"&lt;/strong&gt;",""))</f>
        <v/>
      </c>
      <c r="I181" s="15" cm="1" t="str">
        <f t="array" ref="I181">IF(C181="","",IF(OR(H181="",H181=0,H181=FALSE),"-",H181))</f>
        <v/>
      </c>
      <c r="J181" s="8">
</c>
      <c r="K181" s="8">
</c>
      <c r="L181" s="9" cm="1" t="str">
        <f t="array" ref="L181">IF(C181="","",IF(K181="Mort / Plus rien à faire","KO","OK"))</f>
        <v/>
      </c>
      <c r="M181" s="19">
</c>
      <c r="N181" s="16" cm="1" t="str">
        <f t="array" ref="N181">IF(OR(C181="",M181="",M181=0),"",M181)</f>
        <v/>
      </c>
      <c r="O181" s="19">
</c>
      <c r="P181" s="16" cm="1" t="str">
        <f t="array" ref="P181">IF(C181="","",IF(OR(O181="",O181=0),"-",O181))</f>
        <v/>
      </c>
      <c r="Q181" s="20">
</c>
      <c r="R181" s="17" cm="1" t="str">
        <f t="array" ref="R181">IF(C181="","",ROUND(Q181/1000000,3)&amp;" M€")</f>
        <v/>
      </c>
      <c r="S181" s="18">
</c>
      <c r="T181" s="9" cm="1" t="str">
        <f t="array" ref="T181">IF(C181="","",SUBSTITUTE(S181,"","")&amp;"%")</f>
        <v/>
      </c>
      <c r="U181" s="15" cm="1" t="str">
        <f t="array" ref="U181">IF(($N181="")*($P181=""),"",IF(($N181&lt;&gt;"")*($N181&gt;TODAY()-9)*($N181&lt;TODAY()+1)*($P181&lt;&gt;"")*($P181&gt;=TODAY())*($P181&lt;=TODAY()+13),"Semaine passée &amp; à venir",IF(($N181&lt;&gt;"")*($N181&gt;TODAY()-9)*($N181&lt;TODAY()+1),"Semaine passée",IF(($P181&lt;&gt;"")*($P181&gt;=TODAY())*($P181&lt;=TODAY()+13),"À venir","Autre"))))</f>
        <v/>
      </c>
      <c r="V181" s="8" cm="1" t="n">
        <f t="array" ref="V181">IF(C181&lt;&gt;"",1,0)</f>
        <v>0</v>
      </c>
      <c r="W181" s="8">
</c>
      <c r="X181" s="8">
</c>
      <c r="Y181" s="8">
</c>
      <c r="Z181" s="8">
</c>
      <c r="AA181" s="8">
</c>
      <c r="AB181" s="8">
</c>
      <c r="AC181" s="8">
</c>
      <c r="AD181" s="8">
</c>
      <c r="AE181" s="8">
</c>
      <c r="AF181" s="8">
</c>
      <c r="AG181" s="8">
</c>
      <c r="AH181" s="8">
</c>
      <c r="AI181" s="8">
</c>
      <c r="AJ181" s="8">
</c>
      <c r="AK181" s="8">
</c>
    </row>
    <row r="182" ht="76.5" customHeight="1">
      <c r="A182" s="8">
</c>
      <c r="B182" s="8">
</c>
      <c r="C182" s="12">
</c>
      <c r="D182" s="8">
</c>
      <c r="E182" s="8">
</c>
      <c r="F182" s="8">
</c>
      <c r="G182" s="14" cm="1" t="str">
        <f t="array" ref="G182">IF(F182="","",SUBSTITUTE(SUBSTITUTE(SUBSTITUTE(SUBSTITUTE(F182,"&lt;li&gt;",CHAR(10)),"&lt;/li&gt;",""),"&lt;br&gt;",CHAR(10)),"&lt;strong&gt;",""))</f>
        <v/>
      </c>
      <c r="H182" s="14" cm="1" t="str">
        <f t="array" ref="H182">IF(G182="","",SUBSTITUTE(SUBSTITUTE(SUBSTITUTE(SUBSTITUTE(SUBSTITUTE(G182,"&lt;p&gt;",""),"&lt;/p&gt;",""),"&lt;ul&gt;",""),"&lt;/ul&gt;",""),"&lt;/strong&gt;",""))</f>
        <v/>
      </c>
      <c r="I182" s="15" cm="1" t="str">
        <f t="array" ref="I182">IF(C182="","",IF(OR(H182="",H182=0,H182=FALSE),"-",H182))</f>
        <v/>
      </c>
      <c r="J182" s="8">
</c>
      <c r="K182" s="8">
</c>
      <c r="L182" s="9" cm="1" t="str">
        <f t="array" ref="L182">IF(C182="","",IF(K182="Mort / Plus rien à faire","KO","OK"))</f>
        <v/>
      </c>
      <c r="M182" s="19">
</c>
      <c r="N182" s="16" cm="1" t="str">
        <f t="array" ref="N182">IF(OR(C182="",M182="",M182=0),"",M182)</f>
        <v/>
      </c>
      <c r="O182" s="19">
</c>
      <c r="P182" s="16" cm="1" t="str">
        <f t="array" ref="P182">IF(C182="","",IF(OR(O182="",O182=0),"-",O182))</f>
        <v/>
      </c>
      <c r="Q182" s="20">
</c>
      <c r="R182" s="17" cm="1" t="str">
        <f t="array" ref="R182">IF(C182="","",ROUND(Q182/1000000,3)&amp;" M€")</f>
        <v/>
      </c>
      <c r="S182" s="18">
</c>
      <c r="T182" s="9" cm="1" t="str">
        <f t="array" ref="T182">IF(C182="","",SUBSTITUTE(S182,"","")&amp;"%")</f>
        <v/>
      </c>
      <c r="U182" s="15" cm="1" t="str">
        <f t="array" ref="U182">IF(($N182="")*($P182=""),"",IF(($N182&lt;&gt;"")*($N182&gt;TODAY()-9)*($N182&lt;TODAY()+1)*($P182&lt;&gt;"")*($P182&gt;=TODAY())*($P182&lt;=TODAY()+13),"Semaine passée &amp; à venir",IF(($N182&lt;&gt;"")*($N182&gt;TODAY()-9)*($N182&lt;TODAY()+1),"Semaine passée",IF(($P182&lt;&gt;"")*($P182&gt;=TODAY())*($P182&lt;=TODAY()+13),"À venir","Autre"))))</f>
        <v/>
      </c>
      <c r="V182" s="8" cm="1" t="n">
        <f t="array" ref="V182">IF(C182&lt;&gt;"",1,0)</f>
        <v>0</v>
      </c>
      <c r="W182" s="8">
</c>
      <c r="X182" s="8">
</c>
      <c r="Y182" s="8">
</c>
      <c r="Z182" s="8">
</c>
      <c r="AA182" s="8">
</c>
      <c r="AB182" s="8">
</c>
      <c r="AC182" s="8">
</c>
      <c r="AD182" s="8">
</c>
      <c r="AE182" s="8">
</c>
      <c r="AF182" s="8">
</c>
      <c r="AG182" s="8">
</c>
      <c r="AH182" s="8">
</c>
      <c r="AI182" s="8">
</c>
      <c r="AJ182" s="8">
</c>
      <c r="AK182" s="8">
</c>
    </row>
    <row r="183" ht="76.5" customHeight="1">
      <c r="A183" s="8">
</c>
      <c r="B183" s="8">
</c>
      <c r="C183" s="12">
</c>
      <c r="D183" s="8">
</c>
      <c r="E183" s="8">
</c>
      <c r="F183" s="8">
</c>
      <c r="G183" s="14" cm="1" t="str">
        <f t="array" ref="G183">IF(F183="","",SUBSTITUTE(SUBSTITUTE(SUBSTITUTE(SUBSTITUTE(F183,"&lt;li&gt;",CHAR(10)),"&lt;/li&gt;",""),"&lt;br&gt;",CHAR(10)),"&lt;strong&gt;",""))</f>
        <v/>
      </c>
      <c r="H183" s="14" cm="1" t="str">
        <f t="array" ref="H183">IF(G183="","",SUBSTITUTE(SUBSTITUTE(SUBSTITUTE(SUBSTITUTE(SUBSTITUTE(G183,"&lt;p&gt;",""),"&lt;/p&gt;",""),"&lt;ul&gt;",""),"&lt;/ul&gt;",""),"&lt;/strong&gt;",""))</f>
        <v/>
      </c>
      <c r="I183" s="15" cm="1" t="str">
        <f t="array" ref="I183">IF(C183="","",IF(OR(H183="",H183=0,H183=FALSE),"-",H183))</f>
        <v/>
      </c>
      <c r="J183" s="8">
</c>
      <c r="K183" s="8">
</c>
      <c r="L183" s="9" cm="1" t="str">
        <f t="array" ref="L183">IF(C183="","",IF(K183="Mort / Plus rien à faire","KO","OK"))</f>
        <v/>
      </c>
      <c r="M183" s="19">
</c>
      <c r="N183" s="16" cm="1" t="str">
        <f t="array" ref="N183">IF(OR(C183="",M183="",M183=0),"",M183)</f>
        <v/>
      </c>
      <c r="O183" s="19">
</c>
      <c r="P183" s="16" cm="1" t="str">
        <f t="array" ref="P183">IF(C183="","",IF(OR(O183="",O183=0),"-",O183))</f>
        <v/>
      </c>
      <c r="Q183" s="20">
</c>
      <c r="R183" s="17" cm="1" t="str">
        <f t="array" ref="R183">IF(C183="","",ROUND(Q183/1000000,3)&amp;" M€")</f>
        <v/>
      </c>
      <c r="S183" s="18">
</c>
      <c r="T183" s="9" cm="1" t="str">
        <f t="array" ref="T183">IF(C183="","",SUBSTITUTE(S183,"","")&amp;"%")</f>
        <v/>
      </c>
      <c r="U183" s="15" cm="1" t="str">
        <f t="array" ref="U183">IF(($N183="")*($P183=""),"",IF(($N183&lt;&gt;"")*($N183&gt;TODAY()-9)*($N183&lt;TODAY()+1)*($P183&lt;&gt;"")*($P183&gt;=TODAY())*($P183&lt;=TODAY()+13),"Semaine passée &amp; à venir",IF(($N183&lt;&gt;"")*($N183&gt;TODAY()-9)*($N183&lt;TODAY()+1),"Semaine passée",IF(($P183&lt;&gt;"")*($P183&gt;=TODAY())*($P183&lt;=TODAY()+13),"À venir","Autre"))))</f>
        <v/>
      </c>
      <c r="V183" s="8" cm="1" t="n">
        <f t="array" ref="V183">IF(C183&lt;&gt;"",1,0)</f>
        <v>0</v>
      </c>
      <c r="W183" s="8">
</c>
      <c r="X183" s="8">
</c>
      <c r="Y183" s="8">
</c>
      <c r="Z183" s="8">
</c>
      <c r="AA183" s="8">
</c>
      <c r="AB183" s="8">
</c>
      <c r="AC183" s="8">
</c>
      <c r="AD183" s="8">
</c>
      <c r="AE183" s="8">
</c>
      <c r="AF183" s="8">
</c>
      <c r="AG183" s="8">
</c>
      <c r="AH183" s="8">
</c>
      <c r="AI183" s="8">
</c>
      <c r="AJ183" s="8">
</c>
      <c r="AK183" s="8">
</c>
    </row>
    <row r="184" ht="76.5" customHeight="1">
      <c r="A184" s="8">
</c>
      <c r="B184" s="8">
</c>
      <c r="C184" s="12">
</c>
      <c r="D184" s="8">
</c>
      <c r="E184" s="8">
</c>
      <c r="F184" s="8">
</c>
      <c r="G184" s="14" cm="1" t="str">
        <f t="array" ref="G184">IF(F184="","",SUBSTITUTE(SUBSTITUTE(SUBSTITUTE(SUBSTITUTE(F184,"&lt;li&gt;",CHAR(10)),"&lt;/li&gt;",""),"&lt;br&gt;",CHAR(10)),"&lt;strong&gt;",""))</f>
        <v/>
      </c>
      <c r="H184" s="14" cm="1" t="str">
        <f t="array" ref="H184">IF(G184="","",SUBSTITUTE(SUBSTITUTE(SUBSTITUTE(SUBSTITUTE(SUBSTITUTE(G184,"&lt;p&gt;",""),"&lt;/p&gt;",""),"&lt;ul&gt;",""),"&lt;/ul&gt;",""),"&lt;/strong&gt;",""))</f>
        <v/>
      </c>
      <c r="I184" s="15" cm="1" t="str">
        <f t="array" ref="I184">IF(C184="","",IF(OR(H184="",H184=0,H184=FALSE),"-",H184))</f>
        <v/>
      </c>
      <c r="J184" s="8">
</c>
      <c r="K184" s="8">
</c>
      <c r="L184" s="9" cm="1" t="str">
        <f t="array" ref="L184">IF(C184="","",IF(K184="Mort / Plus rien à faire","KO","OK"))</f>
        <v/>
      </c>
      <c r="M184" s="19">
</c>
      <c r="N184" s="16" cm="1" t="str">
        <f t="array" ref="N184">IF(OR(C184="",M184="",M184=0),"",M184)</f>
        <v/>
      </c>
      <c r="O184" s="19">
</c>
      <c r="P184" s="16" cm="1" t="str">
        <f t="array" ref="P184">IF(C184="","",IF(OR(O184="",O184=0),"-",O184))</f>
        <v/>
      </c>
      <c r="Q184" s="20">
</c>
      <c r="R184" s="17" cm="1" t="str">
        <f t="array" ref="R184">IF(C184="","",ROUND(Q184/1000000,3)&amp;" M€")</f>
        <v/>
      </c>
      <c r="S184" s="18">
</c>
      <c r="T184" s="9" cm="1" t="str">
        <f t="array" ref="T184">IF(C184="","",SUBSTITUTE(S184,"","")&amp;"%")</f>
        <v/>
      </c>
      <c r="U184" s="15" cm="1" t="str">
        <f t="array" ref="U184">IF(($N184="")*($P184=""),"",IF(($N184&lt;&gt;"")*($N184&gt;TODAY()-9)*($N184&lt;TODAY()+1)*($P184&lt;&gt;"")*($P184&gt;=TODAY())*($P184&lt;=TODAY()+13),"Semaine passée &amp; à venir",IF(($N184&lt;&gt;"")*($N184&gt;TODAY()-9)*($N184&lt;TODAY()+1),"Semaine passée",IF(($P184&lt;&gt;"")*($P184&gt;=TODAY())*($P184&lt;=TODAY()+13),"À venir","Autre"))))</f>
        <v/>
      </c>
      <c r="V184" s="8" cm="1" t="n">
        <f t="array" ref="V184">IF(C184&lt;&gt;"",1,0)</f>
        <v>0</v>
      </c>
      <c r="W184" s="8">
</c>
      <c r="X184" s="8">
</c>
      <c r="Y184" s="8">
</c>
      <c r="Z184" s="8">
</c>
      <c r="AA184" s="8">
</c>
      <c r="AB184" s="8">
</c>
      <c r="AC184" s="8">
</c>
      <c r="AD184" s="8">
</c>
      <c r="AE184" s="8">
</c>
      <c r="AF184" s="8">
</c>
      <c r="AG184" s="8">
</c>
      <c r="AH184" s="8">
</c>
      <c r="AI184" s="8">
</c>
      <c r="AJ184" s="8">
</c>
      <c r="AK184" s="8">
</c>
    </row>
    <row r="185" ht="76.5" customHeight="1">
      <c r="A185" s="8">
</c>
      <c r="B185" s="8">
</c>
      <c r="C185" s="12">
</c>
      <c r="D185" s="8">
</c>
      <c r="E185" s="8">
</c>
      <c r="F185" s="8">
</c>
      <c r="G185" s="14" cm="1" t="str">
        <f t="array" ref="G185">IF(F185="","",SUBSTITUTE(SUBSTITUTE(SUBSTITUTE(SUBSTITUTE(F185,"&lt;li&gt;",CHAR(10)),"&lt;/li&gt;",""),"&lt;br&gt;",CHAR(10)),"&lt;strong&gt;",""))</f>
        <v/>
      </c>
      <c r="H185" s="14" cm="1" t="str">
        <f t="array" ref="H185">IF(G185="","",SUBSTITUTE(SUBSTITUTE(SUBSTITUTE(SUBSTITUTE(SUBSTITUTE(G185,"&lt;p&gt;",""),"&lt;/p&gt;",""),"&lt;ul&gt;",""),"&lt;/ul&gt;",""),"&lt;/strong&gt;",""))</f>
        <v/>
      </c>
      <c r="I185" s="15" cm="1" t="str">
        <f t="array" ref="I185">IF(C185="","",IF(OR(H185="",H185=0,H185=FALSE),"-",H185))</f>
        <v/>
      </c>
      <c r="J185" s="8">
</c>
      <c r="K185" s="8">
</c>
      <c r="L185" s="9" cm="1" t="str">
        <f t="array" ref="L185">IF(C185="","",IF(K185="Mort / Plus rien à faire","KO","OK"))</f>
        <v/>
      </c>
      <c r="M185" s="19">
</c>
      <c r="N185" s="16" cm="1" t="str">
        <f t="array" ref="N185">IF(OR(C185="",M185="",M185=0),"",M185)</f>
        <v/>
      </c>
      <c r="O185" s="19">
</c>
      <c r="P185" s="16" cm="1" t="str">
        <f t="array" ref="P185">IF(C185="","",IF(OR(O185="",O185=0),"-",O185))</f>
        <v/>
      </c>
      <c r="Q185" s="20">
</c>
      <c r="R185" s="17" cm="1" t="str">
        <f t="array" ref="R185">IF(C185="","",ROUND(Q185/1000000,3)&amp;" M€")</f>
        <v/>
      </c>
      <c r="S185" s="18">
</c>
      <c r="T185" s="9" cm="1" t="str">
        <f t="array" ref="T185">IF(C185="","",SUBSTITUTE(S185,"","")&amp;"%")</f>
        <v/>
      </c>
      <c r="U185" s="15" cm="1" t="str">
        <f t="array" ref="U185">IF(($N185="")*($P185=""),"",IF(($N185&lt;&gt;"")*($N185&gt;TODAY()-9)*($N185&lt;TODAY()+1)*($P185&lt;&gt;"")*($P185&gt;=TODAY())*($P185&lt;=TODAY()+13),"Semaine passée &amp; à venir",IF(($N185&lt;&gt;"")*($N185&gt;TODAY()-9)*($N185&lt;TODAY()+1),"Semaine passée",IF(($P185&lt;&gt;"")*($P185&gt;=TODAY())*($P185&lt;=TODAY()+13),"À venir","Autre"))))</f>
        <v/>
      </c>
      <c r="V185" s="8" cm="1" t="n">
        <f t="array" ref="V185">IF(C185&lt;&gt;"",1,0)</f>
        <v>0</v>
      </c>
      <c r="W185" s="8">
</c>
      <c r="X185" s="8">
</c>
      <c r="Y185" s="8">
</c>
      <c r="Z185" s="8">
</c>
      <c r="AA185" s="8">
</c>
      <c r="AB185" s="8">
</c>
      <c r="AC185" s="8">
</c>
      <c r="AD185" s="8">
</c>
      <c r="AE185" s="8">
</c>
      <c r="AF185" s="8">
</c>
      <c r="AG185" s="8">
</c>
      <c r="AH185" s="8">
</c>
      <c r="AI185" s="8">
</c>
      <c r="AJ185" s="8">
</c>
      <c r="AK185" s="8">
</c>
    </row>
    <row r="186" ht="76.5" customHeight="1">
      <c r="A186" s="8">
</c>
      <c r="B186" s="8">
</c>
      <c r="C186" s="12">
</c>
      <c r="D186" s="8">
</c>
      <c r="E186" s="8">
</c>
      <c r="F186" s="8">
</c>
      <c r="G186" s="14" cm="1" t="str">
        <f t="array" ref="G186">IF(F186="","",SUBSTITUTE(SUBSTITUTE(SUBSTITUTE(SUBSTITUTE(F186,"&lt;li&gt;",CHAR(10)),"&lt;/li&gt;",""),"&lt;br&gt;",CHAR(10)),"&lt;strong&gt;",""))</f>
        <v/>
      </c>
      <c r="H186" s="14" cm="1" t="str">
        <f t="array" ref="H186">IF(G186="","",SUBSTITUTE(SUBSTITUTE(SUBSTITUTE(SUBSTITUTE(SUBSTITUTE(G186,"&lt;p&gt;",""),"&lt;/p&gt;",""),"&lt;ul&gt;",""),"&lt;/ul&gt;",""),"&lt;/strong&gt;",""))</f>
        <v/>
      </c>
      <c r="I186" s="15" cm="1" t="str">
        <f t="array" ref="I186">IF(C186="","",IF(OR(H186="",H186=0,H186=FALSE),"-",H186))</f>
        <v/>
      </c>
      <c r="J186" s="8">
</c>
      <c r="K186" s="8">
</c>
      <c r="L186" s="9" cm="1" t="str">
        <f t="array" ref="L186">IF(C186="","",IF(K186="Mort / Plus rien à faire","KO","OK"))</f>
        <v/>
      </c>
      <c r="M186" s="19">
</c>
      <c r="N186" s="16" cm="1" t="str">
        <f t="array" ref="N186">IF(OR(C186="",M186="",M186=0),"",M186)</f>
        <v/>
      </c>
      <c r="O186" s="19">
</c>
      <c r="P186" s="16" cm="1" t="str">
        <f t="array" ref="P186">IF(C186="","",IF(OR(O186="",O186=0),"-",O186))</f>
        <v/>
      </c>
      <c r="Q186" s="20">
</c>
      <c r="R186" s="17" cm="1" t="str">
        <f t="array" ref="R186">IF(C186="","",ROUND(Q186/1000000,3)&amp;" M€")</f>
        <v/>
      </c>
      <c r="S186" s="18">
</c>
      <c r="T186" s="9" cm="1" t="str">
        <f t="array" ref="T186">IF(C186="","",SUBSTITUTE(S186,"","")&amp;"%")</f>
        <v/>
      </c>
      <c r="U186" s="15" cm="1" t="str">
        <f t="array" ref="U186">IF(($N186="")*($P186=""),"",IF(($N186&lt;&gt;"")*($N186&gt;TODAY()-9)*($N186&lt;TODAY()+1)*($P186&lt;&gt;"")*($P186&gt;=TODAY())*($P186&lt;=TODAY()+13),"Semaine passée &amp; à venir",IF(($N186&lt;&gt;"")*($N186&gt;TODAY()-9)*($N186&lt;TODAY()+1),"Semaine passée",IF(($P186&lt;&gt;"")*($P186&gt;=TODAY())*($P186&lt;=TODAY()+13),"À venir","Autre"))))</f>
        <v/>
      </c>
      <c r="V186" s="8" cm="1" t="n">
        <f t="array" ref="V186">IF(C186&lt;&gt;"",1,0)</f>
        <v>0</v>
      </c>
      <c r="W186" s="8">
</c>
      <c r="X186" s="8">
</c>
      <c r="Y186" s="8">
</c>
      <c r="Z186" s="8">
</c>
      <c r="AA186" s="8">
</c>
      <c r="AB186" s="8">
</c>
      <c r="AC186" s="8">
</c>
      <c r="AD186" s="8">
</c>
      <c r="AE186" s="8">
</c>
      <c r="AF186" s="8">
</c>
      <c r="AG186" s="8">
</c>
      <c r="AH186" s="8">
</c>
      <c r="AI186" s="8">
</c>
      <c r="AJ186" s="8">
</c>
      <c r="AK186" s="8">
</c>
    </row>
    <row r="187" ht="76.5" customHeight="1">
      <c r="A187" s="8">
</c>
      <c r="B187" s="8">
</c>
      <c r="C187" s="12">
</c>
      <c r="D187" s="8">
</c>
      <c r="E187" s="8">
</c>
      <c r="F187" s="8">
</c>
      <c r="G187" s="14" cm="1" t="str">
        <f t="array" ref="G187">IF(F187="","",SUBSTITUTE(SUBSTITUTE(SUBSTITUTE(SUBSTITUTE(F187,"&lt;li&gt;",CHAR(10)),"&lt;/li&gt;",""),"&lt;br&gt;",CHAR(10)),"&lt;strong&gt;",""))</f>
        <v/>
      </c>
      <c r="H187" s="14" cm="1" t="str">
        <f t="array" ref="H187">IF(G187="","",SUBSTITUTE(SUBSTITUTE(SUBSTITUTE(SUBSTITUTE(SUBSTITUTE(G187,"&lt;p&gt;",""),"&lt;/p&gt;",""),"&lt;ul&gt;",""),"&lt;/ul&gt;",""),"&lt;/strong&gt;",""))</f>
        <v/>
      </c>
      <c r="I187" s="15" cm="1" t="str">
        <f t="array" ref="I187">IF(C187="","",IF(OR(H187="",H187=0,H187=FALSE),"-",H187))</f>
        <v/>
      </c>
      <c r="J187" s="8">
</c>
      <c r="K187" s="8">
</c>
      <c r="L187" s="9" cm="1" t="str">
        <f t="array" ref="L187">IF(C187="","",IF(K187="Mort / Plus rien à faire","KO","OK"))</f>
        <v/>
      </c>
      <c r="M187" s="19">
</c>
      <c r="N187" s="16" cm="1" t="str">
        <f t="array" ref="N187">IF(OR(C187="",M187="",M187=0),"",M187)</f>
        <v/>
      </c>
      <c r="O187" s="19">
</c>
      <c r="P187" s="16" cm="1" t="str">
        <f t="array" ref="P187">IF(C187="","",IF(OR(O187="",O187=0),"-",O187))</f>
        <v/>
      </c>
      <c r="Q187" s="20">
</c>
      <c r="R187" s="17" cm="1" t="str">
        <f t="array" ref="R187">IF(C187="","",ROUND(Q187/1000000,3)&amp;" M€")</f>
        <v/>
      </c>
      <c r="S187" s="18">
</c>
      <c r="T187" s="9" cm="1" t="str">
        <f t="array" ref="T187">IF(C187="","",SUBSTITUTE(S187,"","")&amp;"%")</f>
        <v/>
      </c>
      <c r="U187" s="15" cm="1" t="str">
        <f t="array" ref="U187">IF(($N187="")*($P187=""),"",IF(($N187&lt;&gt;"")*($N187&gt;TODAY()-9)*($N187&lt;TODAY()+1)*($P187&lt;&gt;"")*($P187&gt;=TODAY())*($P187&lt;=TODAY()+13),"Semaine passée &amp; à venir",IF(($N187&lt;&gt;"")*($N187&gt;TODAY()-9)*($N187&lt;TODAY()+1),"Semaine passée",IF(($P187&lt;&gt;"")*($P187&gt;=TODAY())*($P187&lt;=TODAY()+13),"À venir","Autre"))))</f>
        <v/>
      </c>
      <c r="V187" s="8" cm="1" t="n">
        <f t="array" ref="V187">IF(C187&lt;&gt;"",1,0)</f>
        <v>0</v>
      </c>
      <c r="W187" s="8">
</c>
      <c r="X187" s="8">
</c>
      <c r="Y187" s="8">
</c>
      <c r="Z187" s="8">
</c>
      <c r="AA187" s="8">
</c>
      <c r="AB187" s="8">
</c>
      <c r="AC187" s="8">
</c>
      <c r="AD187" s="8">
</c>
      <c r="AE187" s="8">
</c>
      <c r="AF187" s="8">
</c>
      <c r="AG187" s="8">
</c>
      <c r="AH187" s="8">
</c>
      <c r="AI187" s="8">
</c>
      <c r="AJ187" s="8">
</c>
      <c r="AK187" s="8">
</c>
    </row>
    <row r="188" ht="76.5" customHeight="1">
      <c r="A188" s="8">
</c>
      <c r="B188" s="8">
</c>
      <c r="C188" s="12">
</c>
      <c r="D188" s="8">
</c>
      <c r="E188" s="8">
</c>
      <c r="F188" s="8">
</c>
      <c r="G188" s="14" cm="1" t="str">
        <f t="array" ref="G188">IF(F188="","",SUBSTITUTE(SUBSTITUTE(SUBSTITUTE(SUBSTITUTE(F188,"&lt;li&gt;",CHAR(10)),"&lt;/li&gt;",""),"&lt;br&gt;",CHAR(10)),"&lt;strong&gt;",""))</f>
        <v/>
      </c>
      <c r="H188" s="14" cm="1" t="str">
        <f t="array" ref="H188">IF(G188="","",SUBSTITUTE(SUBSTITUTE(SUBSTITUTE(SUBSTITUTE(SUBSTITUTE(G188,"&lt;p&gt;",""),"&lt;/p&gt;",""),"&lt;ul&gt;",""),"&lt;/ul&gt;",""),"&lt;/strong&gt;",""))</f>
        <v/>
      </c>
      <c r="I188" s="15" cm="1" t="str">
        <f t="array" ref="I188">IF(C188="","",IF(OR(H188="",H188=0,H188=FALSE),"-",H188))</f>
        <v/>
      </c>
      <c r="J188" s="8">
</c>
      <c r="K188" s="8">
</c>
      <c r="L188" s="9" cm="1" t="str">
        <f t="array" ref="L188">IF(C188="","",IF(K188="Mort / Plus rien à faire","KO","OK"))</f>
        <v/>
      </c>
      <c r="M188" s="19">
</c>
      <c r="N188" s="16" cm="1" t="str">
        <f t="array" ref="N188">IF(OR(C188="",M188="",M188=0),"",M188)</f>
        <v/>
      </c>
      <c r="O188" s="19">
</c>
      <c r="P188" s="16" cm="1" t="str">
        <f t="array" ref="P188">IF(C188="","",IF(OR(O188="",O188=0),"-",O188))</f>
        <v/>
      </c>
      <c r="Q188" s="20">
</c>
      <c r="R188" s="17" cm="1" t="str">
        <f t="array" ref="R188">IF(C188="","",ROUND(Q188/1000000,3)&amp;" M€")</f>
        <v/>
      </c>
      <c r="S188" s="18">
</c>
      <c r="T188" s="9" cm="1" t="str">
        <f t="array" ref="T188">IF(C188="","",SUBSTITUTE(S188,"","")&amp;"%")</f>
        <v/>
      </c>
      <c r="U188" s="15" cm="1" t="str">
        <f t="array" ref="U188">IF(($N188="")*($P188=""),"",IF(($N188&lt;&gt;"")*($N188&gt;TODAY()-9)*($N188&lt;TODAY()+1)*($P188&lt;&gt;"")*($P188&gt;=TODAY())*($P188&lt;=TODAY()+13),"Semaine passée &amp; à venir",IF(($N188&lt;&gt;"")*($N188&gt;TODAY()-9)*($N188&lt;TODAY()+1),"Semaine passée",IF(($P188&lt;&gt;"")*($P188&gt;=TODAY())*($P188&lt;=TODAY()+13),"À venir","Autre"))))</f>
        <v/>
      </c>
      <c r="V188" s="8" cm="1" t="n">
        <f t="array" ref="V188">IF(C188&lt;&gt;"",1,0)</f>
        <v>0</v>
      </c>
      <c r="W188" s="8">
</c>
      <c r="X188" s="8">
</c>
      <c r="Y188" s="8">
</c>
      <c r="Z188" s="8">
</c>
      <c r="AA188" s="8">
</c>
      <c r="AB188" s="8">
</c>
      <c r="AC188" s="8">
</c>
      <c r="AD188" s="8">
</c>
      <c r="AE188" s="8">
</c>
      <c r="AF188" s="8">
</c>
      <c r="AG188" s="8">
</c>
      <c r="AH188" s="8">
</c>
      <c r="AI188" s="8">
</c>
      <c r="AJ188" s="8">
</c>
      <c r="AK188" s="8">
</c>
    </row>
    <row r="189" ht="76.5" customHeight="1">
      <c r="A189" s="8">
</c>
      <c r="B189" s="8">
</c>
      <c r="C189" s="12">
</c>
      <c r="D189" s="8">
</c>
      <c r="E189" s="8">
</c>
      <c r="F189" s="8">
</c>
      <c r="G189" s="14" cm="1" t="str">
        <f t="array" ref="G189">IF(F189="","",SUBSTITUTE(SUBSTITUTE(SUBSTITUTE(SUBSTITUTE(F189,"&lt;li&gt;",CHAR(10)),"&lt;/li&gt;",""),"&lt;br&gt;",CHAR(10)),"&lt;strong&gt;",""))</f>
        <v/>
      </c>
      <c r="H189" s="14" cm="1" t="str">
        <f t="array" ref="H189">IF(G189="","",SUBSTITUTE(SUBSTITUTE(SUBSTITUTE(SUBSTITUTE(SUBSTITUTE(G189,"&lt;p&gt;",""),"&lt;/p&gt;",""),"&lt;ul&gt;",""),"&lt;/ul&gt;",""),"&lt;/strong&gt;",""))</f>
        <v/>
      </c>
      <c r="I189" s="15" cm="1" t="str">
        <f t="array" ref="I189">IF(C189="","",IF(OR(H189="",H189=0,H189=FALSE),"-",H189))</f>
        <v/>
      </c>
      <c r="J189" s="8">
</c>
      <c r="K189" s="8">
</c>
      <c r="L189" s="9" cm="1" t="str">
        <f t="array" ref="L189">IF(C189="","",IF(K189="Mort / Plus rien à faire","KO","OK"))</f>
        <v/>
      </c>
      <c r="M189" s="19">
</c>
      <c r="N189" s="16" cm="1" t="str">
        <f t="array" ref="N189">IF(OR(C189="",M189="",M189=0),"",M189)</f>
        <v/>
      </c>
      <c r="O189" s="19">
</c>
      <c r="P189" s="16" cm="1" t="str">
        <f t="array" ref="P189">IF(C189="","",IF(OR(O189="",O189=0),"-",O189))</f>
        <v/>
      </c>
      <c r="Q189" s="20">
</c>
      <c r="R189" s="17" cm="1" t="str">
        <f t="array" ref="R189">IF(C189="","",ROUND(Q189/1000000,3)&amp;" M€")</f>
        <v/>
      </c>
      <c r="S189" s="18">
</c>
      <c r="T189" s="9" cm="1" t="str">
        <f t="array" ref="T189">IF(C189="","",SUBSTITUTE(S189,"","")&amp;"%")</f>
        <v/>
      </c>
      <c r="U189" s="15" cm="1" t="str">
        <f t="array" ref="U189">IF(($N189="")*($P189=""),"",IF(($N189&lt;&gt;"")*($N189&gt;TODAY()-9)*($N189&lt;TODAY()+1)*($P189&lt;&gt;"")*($P189&gt;=TODAY())*($P189&lt;=TODAY()+13),"Semaine passée &amp; à venir",IF(($N189&lt;&gt;"")*($N189&gt;TODAY()-9)*($N189&lt;TODAY()+1),"Semaine passée",IF(($P189&lt;&gt;"")*($P189&gt;=TODAY())*($P189&lt;=TODAY()+13),"À venir","Autre"))))</f>
        <v/>
      </c>
      <c r="V189" s="8" cm="1" t="n">
        <f t="array" ref="V189">IF(C189&lt;&gt;"",1,0)</f>
        <v>0</v>
      </c>
      <c r="W189" s="8">
</c>
      <c r="X189" s="8">
</c>
      <c r="Y189" s="8">
</c>
      <c r="Z189" s="8">
</c>
      <c r="AA189" s="8">
</c>
      <c r="AB189" s="8">
</c>
      <c r="AC189" s="8">
</c>
      <c r="AD189" s="8">
</c>
      <c r="AE189" s="8">
</c>
      <c r="AF189" s="8">
</c>
      <c r="AG189" s="8">
</c>
      <c r="AH189" s="8">
</c>
      <c r="AI189" s="8">
</c>
      <c r="AJ189" s="8">
</c>
      <c r="AK189" s="8">
</c>
    </row>
    <row r="190" ht="76.5" customHeight="1">
      <c r="A190" s="8">
</c>
      <c r="B190" s="8">
</c>
      <c r="C190" s="12">
</c>
      <c r="D190" s="8">
</c>
      <c r="E190" s="8">
</c>
      <c r="F190" s="8">
</c>
      <c r="G190" s="14" cm="1" t="str">
        <f t="array" ref="G190">IF(F190="","",SUBSTITUTE(SUBSTITUTE(SUBSTITUTE(SUBSTITUTE(F190,"&lt;li&gt;",CHAR(10)),"&lt;/li&gt;",""),"&lt;br&gt;",CHAR(10)),"&lt;strong&gt;",""))</f>
        <v/>
      </c>
      <c r="H190" s="14" cm="1" t="str">
        <f t="array" ref="H190">IF(G190="","",SUBSTITUTE(SUBSTITUTE(SUBSTITUTE(SUBSTITUTE(SUBSTITUTE(G190,"&lt;p&gt;",""),"&lt;/p&gt;",""),"&lt;ul&gt;",""),"&lt;/ul&gt;",""),"&lt;/strong&gt;",""))</f>
        <v/>
      </c>
      <c r="I190" s="15" cm="1" t="str">
        <f t="array" ref="I190">IF(C190="","",IF(OR(H190="",H190=0,H190=FALSE),"-",H190))</f>
        <v/>
      </c>
      <c r="J190" s="8">
</c>
      <c r="K190" s="8">
</c>
      <c r="L190" s="9" cm="1" t="str">
        <f t="array" ref="L190">IF(C190="","",IF(K190="Mort / Plus rien à faire","KO","OK"))</f>
        <v/>
      </c>
      <c r="M190" s="19">
</c>
      <c r="N190" s="16" cm="1" t="str">
        <f t="array" ref="N190">IF(OR(C190="",M190="",M190=0),"",M190)</f>
        <v/>
      </c>
      <c r="O190" s="19">
</c>
      <c r="P190" s="16" cm="1" t="str">
        <f t="array" ref="P190">IF(C190="","",IF(OR(O190="",O190=0),"-",O190))</f>
        <v/>
      </c>
      <c r="Q190" s="20">
</c>
      <c r="R190" s="17" cm="1" t="str">
        <f t="array" ref="R190">IF(C190="","",ROUND(Q190/1000000,3)&amp;" M€")</f>
        <v/>
      </c>
      <c r="S190" s="18">
</c>
      <c r="T190" s="9" cm="1" t="str">
        <f t="array" ref="T190">IF(C190="","",SUBSTITUTE(S190,"","")&amp;"%")</f>
        <v/>
      </c>
      <c r="U190" s="15" cm="1" t="str">
        <f t="array" ref="U190">IF(($N190="")*($P190=""),"",IF(($N190&lt;&gt;"")*($N190&gt;TODAY()-9)*($N190&lt;TODAY()+1)*($P190&lt;&gt;"")*($P190&gt;=TODAY())*($P190&lt;=TODAY()+13),"Semaine passée &amp; à venir",IF(($N190&lt;&gt;"")*($N190&gt;TODAY()-9)*($N190&lt;TODAY()+1),"Semaine passée",IF(($P190&lt;&gt;"")*($P190&gt;=TODAY())*($P190&lt;=TODAY()+13),"À venir","Autre"))))</f>
        <v/>
      </c>
      <c r="V190" s="8" cm="1" t="n">
        <f t="array" ref="V190">IF(C190&lt;&gt;"",1,0)</f>
        <v>0</v>
      </c>
      <c r="W190" s="8">
</c>
      <c r="X190" s="8">
</c>
      <c r="Y190" s="8">
</c>
      <c r="Z190" s="8">
</c>
      <c r="AA190" s="8">
</c>
      <c r="AB190" s="8">
</c>
      <c r="AC190" s="8">
</c>
      <c r="AD190" s="8">
</c>
      <c r="AE190" s="8">
</c>
      <c r="AF190" s="8">
</c>
      <c r="AG190" s="8">
</c>
      <c r="AH190" s="8">
</c>
      <c r="AI190" s="8">
</c>
      <c r="AJ190" s="8">
</c>
      <c r="AK190" s="8">
</c>
    </row>
    <row r="191" ht="76.5" customHeight="1">
      <c r="A191" s="8">
</c>
      <c r="B191" s="8">
</c>
      <c r="C191" s="12">
</c>
      <c r="D191" s="8">
</c>
      <c r="E191" s="8">
</c>
      <c r="F191" s="8">
</c>
      <c r="G191" s="14" cm="1" t="str">
        <f t="array" ref="G191">IF(F191="","",SUBSTITUTE(SUBSTITUTE(SUBSTITUTE(SUBSTITUTE(F191,"&lt;li&gt;",CHAR(10)),"&lt;/li&gt;",""),"&lt;br&gt;",CHAR(10)),"&lt;strong&gt;",""))</f>
        <v/>
      </c>
      <c r="H191" s="14" cm="1" t="str">
        <f t="array" ref="H191">IF(G191="","",SUBSTITUTE(SUBSTITUTE(SUBSTITUTE(SUBSTITUTE(SUBSTITUTE(G191,"&lt;p&gt;",""),"&lt;/p&gt;",""),"&lt;ul&gt;",""),"&lt;/ul&gt;",""),"&lt;/strong&gt;",""))</f>
        <v/>
      </c>
      <c r="I191" s="15" cm="1" t="str">
        <f t="array" ref="I191">IF(C191="","",IF(OR(H191="",H191=0,H191=FALSE),"-",H191))</f>
        <v/>
      </c>
      <c r="J191" s="8">
</c>
      <c r="K191" s="8">
</c>
      <c r="L191" s="9" cm="1" t="str">
        <f t="array" ref="L191">IF(C191="","",IF(K191="Mort / Plus rien à faire","KO","OK"))</f>
        <v/>
      </c>
      <c r="M191" s="19">
</c>
      <c r="N191" s="16" cm="1" t="str">
        <f t="array" ref="N191">IF(OR(C191="",M191="",M191=0),"",M191)</f>
        <v/>
      </c>
      <c r="O191" s="19">
</c>
      <c r="P191" s="16" cm="1" t="str">
        <f t="array" ref="P191">IF(C191="","",IF(OR(O191="",O191=0),"-",O191))</f>
        <v/>
      </c>
      <c r="Q191" s="20">
</c>
      <c r="R191" s="17" cm="1" t="str">
        <f t="array" ref="R191">IF(C191="","",ROUND(Q191/1000000,3)&amp;" M€")</f>
        <v/>
      </c>
      <c r="S191" s="18">
</c>
      <c r="T191" s="9" cm="1" t="str">
        <f t="array" ref="T191">IF(C191="","",SUBSTITUTE(S191,"","")&amp;"%")</f>
        <v/>
      </c>
      <c r="U191" s="15" cm="1" t="str">
        <f t="array" ref="U191">IF(($N191="")*($P191=""),"",IF(($N191&lt;&gt;"")*($N191&gt;TODAY()-9)*($N191&lt;TODAY()+1)*($P191&lt;&gt;"")*($P191&gt;=TODAY())*($P191&lt;=TODAY()+13),"Semaine passée &amp; à venir",IF(($N191&lt;&gt;"")*($N191&gt;TODAY()-9)*($N191&lt;TODAY()+1),"Semaine passée",IF(($P191&lt;&gt;"")*($P191&gt;=TODAY())*($P191&lt;=TODAY()+13),"À venir","Autre"))))</f>
        <v/>
      </c>
      <c r="V191" s="8" cm="1" t="n">
        <f t="array" ref="V191">IF(C191&lt;&gt;"",1,0)</f>
        <v>0</v>
      </c>
      <c r="W191" s="8">
</c>
      <c r="X191" s="8">
</c>
      <c r="Y191" s="8">
</c>
      <c r="Z191" s="8">
</c>
      <c r="AA191" s="8">
</c>
      <c r="AB191" s="8">
</c>
      <c r="AC191" s="8">
</c>
      <c r="AD191" s="8">
</c>
      <c r="AE191" s="8">
</c>
      <c r="AF191" s="8">
</c>
      <c r="AG191" s="8">
</c>
      <c r="AH191" s="8">
</c>
      <c r="AI191" s="8">
</c>
      <c r="AJ191" s="8">
</c>
      <c r="AK191" s="8">
</c>
    </row>
    <row r="192" ht="76.5" customHeight="1">
      <c r="A192" s="8">
</c>
      <c r="B192" s="8">
</c>
      <c r="C192" s="12">
</c>
      <c r="D192" s="8">
</c>
      <c r="E192" s="8">
</c>
      <c r="F192" s="8">
</c>
      <c r="G192" s="14" cm="1" t="str">
        <f t="array" ref="G192">IF(F192="","",SUBSTITUTE(SUBSTITUTE(SUBSTITUTE(SUBSTITUTE(F192,"&lt;li&gt;",CHAR(10)),"&lt;/li&gt;",""),"&lt;br&gt;",CHAR(10)),"&lt;strong&gt;",""))</f>
        <v/>
      </c>
      <c r="H192" s="14" cm="1" t="str">
        <f t="array" ref="H192">IF(G192="","",SUBSTITUTE(SUBSTITUTE(SUBSTITUTE(SUBSTITUTE(SUBSTITUTE(G192,"&lt;p&gt;",""),"&lt;/p&gt;",""),"&lt;ul&gt;",""),"&lt;/ul&gt;",""),"&lt;/strong&gt;",""))</f>
        <v/>
      </c>
      <c r="I192" s="15" cm="1" t="str">
        <f t="array" ref="I192">IF(C192="","",IF(OR(H192="",H192=0,H192=FALSE),"-",H192))</f>
        <v/>
      </c>
      <c r="J192" s="8">
</c>
      <c r="K192" s="8">
</c>
      <c r="L192" s="9" cm="1" t="str">
        <f t="array" ref="L192">IF(C192="","",IF(K192="Mort / Plus rien à faire","KO","OK"))</f>
        <v/>
      </c>
      <c r="M192" s="19">
</c>
      <c r="N192" s="16" cm="1" t="str">
        <f t="array" ref="N192">IF(OR(C192="",M192="",M192=0),"",M192)</f>
        <v/>
      </c>
      <c r="O192" s="19">
</c>
      <c r="P192" s="16" cm="1" t="str">
        <f t="array" ref="P192">IF(C192="","",IF(OR(O192="",O192=0),"-",O192))</f>
        <v/>
      </c>
      <c r="Q192" s="20">
</c>
      <c r="R192" s="17" cm="1" t="str">
        <f t="array" ref="R192">IF(C192="","",ROUND(Q192/1000000,3)&amp;" M€")</f>
        <v/>
      </c>
      <c r="S192" s="18">
</c>
      <c r="T192" s="9" cm="1" t="str">
        <f t="array" ref="T192">IF(C192="","",SUBSTITUTE(S192,"","")&amp;"%")</f>
        <v/>
      </c>
      <c r="U192" s="15" cm="1" t="str">
        <f t="array" ref="U192">IF(($N192="")*($P192=""),"",IF(($N192&lt;&gt;"")*($N192&gt;TODAY()-9)*($N192&lt;TODAY()+1)*($P192&lt;&gt;"")*($P192&gt;=TODAY())*($P192&lt;=TODAY()+13),"Semaine passée &amp; à venir",IF(($N192&lt;&gt;"")*($N192&gt;TODAY()-9)*($N192&lt;TODAY()+1),"Semaine passée",IF(($P192&lt;&gt;"")*($P192&gt;=TODAY())*($P192&lt;=TODAY()+13),"À venir","Autre"))))</f>
        <v/>
      </c>
      <c r="V192" s="8" cm="1" t="n">
        <f t="array" ref="V192">IF(C192&lt;&gt;"",1,0)</f>
        <v>0</v>
      </c>
      <c r="W192" s="8">
</c>
      <c r="X192" s="8">
</c>
      <c r="Y192" s="8">
</c>
      <c r="Z192" s="8">
</c>
      <c r="AA192" s="8">
</c>
      <c r="AB192" s="8">
</c>
      <c r="AC192" s="8">
</c>
      <c r="AD192" s="8">
</c>
      <c r="AE192" s="8">
</c>
      <c r="AF192" s="8">
</c>
      <c r="AG192" s="8">
</c>
      <c r="AH192" s="8">
</c>
      <c r="AI192" s="8">
</c>
      <c r="AJ192" s="8">
</c>
      <c r="AK192" s="8">
</c>
    </row>
    <row r="193" ht="76.5" customHeight="1">
      <c r="A193" s="8">
</c>
      <c r="B193" s="8">
</c>
      <c r="C193" s="12">
</c>
      <c r="D193" s="8">
</c>
      <c r="E193" s="8">
</c>
      <c r="F193" s="8">
</c>
      <c r="G193" s="14" cm="1" t="str">
        <f t="array" ref="G193">IF(F193="","",SUBSTITUTE(SUBSTITUTE(SUBSTITUTE(SUBSTITUTE(F193,"&lt;li&gt;",CHAR(10)),"&lt;/li&gt;",""),"&lt;br&gt;",CHAR(10)),"&lt;strong&gt;",""))</f>
        <v/>
      </c>
      <c r="H193" s="14" cm="1" t="str">
        <f t="array" ref="H193">IF(G193="","",SUBSTITUTE(SUBSTITUTE(SUBSTITUTE(SUBSTITUTE(SUBSTITUTE(G193,"&lt;p&gt;",""),"&lt;/p&gt;",""),"&lt;ul&gt;",""),"&lt;/ul&gt;",""),"&lt;/strong&gt;",""))</f>
        <v/>
      </c>
      <c r="I193" s="15" cm="1" t="str">
        <f t="array" ref="I193">IF(C193="","",IF(OR(H193="",H193=0,H193=FALSE),"-",H193))</f>
        <v/>
      </c>
      <c r="J193" s="8">
</c>
      <c r="K193" s="8">
</c>
      <c r="L193" s="9" cm="1" t="str">
        <f t="array" ref="L193">IF(C193="","",IF(K193="Mort / Plus rien à faire","KO","OK"))</f>
        <v/>
      </c>
      <c r="M193" s="19">
</c>
      <c r="N193" s="16" cm="1" t="str">
        <f t="array" ref="N193">IF(OR(C193="",M193="",M193=0),"",M193)</f>
        <v/>
      </c>
      <c r="O193" s="19">
</c>
      <c r="P193" s="16" cm="1" t="str">
        <f t="array" ref="P193">IF(C193="","",IF(OR(O193="",O193=0),"-",O193))</f>
        <v/>
      </c>
      <c r="Q193" s="20">
</c>
      <c r="R193" s="17" cm="1" t="str">
        <f t="array" ref="R193">IF(C193="","",ROUND(Q193/1000000,3)&amp;" M€")</f>
        <v/>
      </c>
      <c r="S193" s="18">
</c>
      <c r="T193" s="9" cm="1" t="str">
        <f t="array" ref="T193">IF(C193="","",SUBSTITUTE(S193,"","")&amp;"%")</f>
        <v/>
      </c>
      <c r="U193" s="15" cm="1" t="str">
        <f t="array" ref="U193">IF(($N193="")*($P193=""),"",IF(($N193&lt;&gt;"")*($N193&gt;TODAY()-9)*($N193&lt;TODAY()+1)*($P193&lt;&gt;"")*($P193&gt;=TODAY())*($P193&lt;=TODAY()+13),"Semaine passée &amp; à venir",IF(($N193&lt;&gt;"")*($N193&gt;TODAY()-9)*($N193&lt;TODAY()+1),"Semaine passée",IF(($P193&lt;&gt;"")*($P193&gt;=TODAY())*($P193&lt;=TODAY()+13),"À venir","Autre"))))</f>
        <v/>
      </c>
      <c r="V193" s="8" cm="1" t="n">
        <f t="array" ref="V193">IF(C193&lt;&gt;"",1,0)</f>
        <v>0</v>
      </c>
      <c r="W193" s="8">
</c>
      <c r="X193" s="8">
</c>
      <c r="Y193" s="8">
</c>
      <c r="Z193" s="8">
</c>
      <c r="AA193" s="8">
</c>
      <c r="AB193" s="8">
</c>
      <c r="AC193" s="8">
</c>
      <c r="AD193" s="8">
</c>
      <c r="AE193" s="8">
</c>
      <c r="AF193" s="8">
</c>
      <c r="AG193" s="8">
</c>
      <c r="AH193" s="8">
</c>
      <c r="AI193" s="8">
</c>
      <c r="AJ193" s="8">
</c>
      <c r="AK193" s="8">
</c>
    </row>
    <row r="194" ht="76.5" customHeight="1">
      <c r="A194" s="8">
</c>
      <c r="B194" s="8">
</c>
      <c r="C194" s="12">
</c>
      <c r="D194" s="8">
</c>
      <c r="E194" s="8">
</c>
      <c r="F194" s="8">
</c>
      <c r="G194" s="14" cm="1" t="str">
        <f t="array" ref="G194">IF(F194="","",SUBSTITUTE(SUBSTITUTE(SUBSTITUTE(SUBSTITUTE(F194,"&lt;li&gt;",CHAR(10)),"&lt;/li&gt;",""),"&lt;br&gt;",CHAR(10)),"&lt;strong&gt;",""))</f>
        <v/>
      </c>
      <c r="H194" s="14" cm="1" t="str">
        <f t="array" ref="H194">IF(G194="","",SUBSTITUTE(SUBSTITUTE(SUBSTITUTE(SUBSTITUTE(SUBSTITUTE(G194,"&lt;p&gt;",""),"&lt;/p&gt;",""),"&lt;ul&gt;",""),"&lt;/ul&gt;",""),"&lt;/strong&gt;",""))</f>
        <v/>
      </c>
      <c r="I194" s="15" cm="1" t="str">
        <f t="array" ref="I194">IF(C194="","",IF(OR(H194="",H194=0,H194=FALSE),"-",H194))</f>
        <v/>
      </c>
      <c r="J194" s="8">
</c>
      <c r="K194" s="8">
</c>
      <c r="L194" s="9" cm="1" t="str">
        <f t="array" ref="L194">IF(C194="","",IF(K194="Mort / Plus rien à faire","KO","OK"))</f>
        <v/>
      </c>
      <c r="M194" s="19">
</c>
      <c r="N194" s="16" cm="1" t="str">
        <f t="array" ref="N194">IF(OR(C194="",M194="",M194=0),"",M194)</f>
        <v/>
      </c>
      <c r="O194" s="19">
</c>
      <c r="P194" s="16" cm="1" t="str">
        <f t="array" ref="P194">IF(C194="","",IF(OR(O194="",O194=0),"-",O194))</f>
        <v/>
      </c>
      <c r="Q194" s="20">
</c>
      <c r="R194" s="17" cm="1" t="str">
        <f t="array" ref="R194">IF(C194="","",ROUND(Q194/1000000,3)&amp;" M€")</f>
        <v/>
      </c>
      <c r="S194" s="18">
</c>
      <c r="T194" s="9" cm="1" t="str">
        <f t="array" ref="T194">IF(C194="","",SUBSTITUTE(S194,"","")&amp;"%")</f>
        <v/>
      </c>
      <c r="U194" s="15" cm="1" t="str">
        <f t="array" ref="U194">IF(($N194="")*($P194=""),"",IF(($N194&lt;&gt;"")*($N194&gt;TODAY()-9)*($N194&lt;TODAY()+1)*($P194&lt;&gt;"")*($P194&gt;=TODAY())*($P194&lt;=TODAY()+13),"Semaine passée &amp; à venir",IF(($N194&lt;&gt;"")*($N194&gt;TODAY()-9)*($N194&lt;TODAY()+1),"Semaine passée",IF(($P194&lt;&gt;"")*($P194&gt;=TODAY())*($P194&lt;=TODAY()+13),"À venir","Autre"))))</f>
        <v/>
      </c>
      <c r="V194" s="8" cm="1" t="n">
        <f t="array" ref="V194">IF(C194&lt;&gt;"",1,0)</f>
        <v>0</v>
      </c>
      <c r="W194" s="8">
</c>
      <c r="X194" s="8">
</c>
      <c r="Y194" s="8">
</c>
      <c r="Z194" s="8">
</c>
      <c r="AA194" s="8">
</c>
      <c r="AB194" s="8">
</c>
      <c r="AC194" s="8">
</c>
      <c r="AD194" s="8">
</c>
      <c r="AE194" s="8">
</c>
      <c r="AF194" s="8">
</c>
      <c r="AG194" s="8">
</c>
      <c r="AH194" s="8">
</c>
      <c r="AI194" s="8">
</c>
      <c r="AJ194" s="8">
</c>
      <c r="AK194" s="8">
</c>
    </row>
    <row r="195" ht="76.5" customHeight="1">
      <c r="A195" s="8">
</c>
      <c r="B195" s="8">
</c>
      <c r="C195" s="12">
</c>
      <c r="D195" s="8">
</c>
      <c r="E195" s="8">
</c>
      <c r="F195" s="8">
</c>
      <c r="G195" s="14" cm="1" t="str">
        <f t="array" ref="G195">IF(F195="","",SUBSTITUTE(SUBSTITUTE(SUBSTITUTE(SUBSTITUTE(F195,"&lt;li&gt;",CHAR(10)),"&lt;/li&gt;",""),"&lt;br&gt;",CHAR(10)),"&lt;strong&gt;",""))</f>
        <v/>
      </c>
      <c r="H195" s="14" cm="1" t="str">
        <f t="array" ref="H195">IF(G195="","",SUBSTITUTE(SUBSTITUTE(SUBSTITUTE(SUBSTITUTE(SUBSTITUTE(G195,"&lt;p&gt;",""),"&lt;/p&gt;",""),"&lt;ul&gt;",""),"&lt;/ul&gt;",""),"&lt;/strong&gt;",""))</f>
        <v/>
      </c>
      <c r="I195" s="15" cm="1" t="str">
        <f t="array" ref="I195">IF(C195="","",IF(OR(H195="",H195=0,H195=FALSE),"-",H195))</f>
        <v/>
      </c>
      <c r="J195" s="8">
</c>
      <c r="K195" s="8">
</c>
      <c r="L195" s="9" cm="1" t="str">
        <f t="array" ref="L195">IF(C195="","",IF(K195="Mort / Plus rien à faire","KO","OK"))</f>
        <v/>
      </c>
      <c r="M195" s="19">
</c>
      <c r="N195" s="16" cm="1" t="str">
        <f t="array" ref="N195">IF(OR(C195="",M195="",M195=0),"",M195)</f>
        <v/>
      </c>
      <c r="O195" s="19">
</c>
      <c r="P195" s="16" cm="1" t="str">
        <f t="array" ref="P195">IF(C195="","",IF(OR(O195="",O195=0),"-",O195))</f>
        <v/>
      </c>
      <c r="Q195" s="20">
</c>
      <c r="R195" s="17" cm="1" t="str">
        <f t="array" ref="R195">IF(C195="","",ROUND(Q195/1000000,3)&amp;" M€")</f>
        <v/>
      </c>
      <c r="S195" s="18">
</c>
      <c r="T195" s="9" cm="1" t="str">
        <f t="array" ref="T195">IF(C195="","",SUBSTITUTE(S195,"","")&amp;"%")</f>
        <v/>
      </c>
      <c r="U195" s="15" cm="1" t="str">
        <f t="array" ref="U195">IF(($N195="")*($P195=""),"",IF(($N195&lt;&gt;"")*($N195&gt;TODAY()-9)*($N195&lt;TODAY()+1)*($P195&lt;&gt;"")*($P195&gt;=TODAY())*($P195&lt;=TODAY()+13),"Semaine passée &amp; à venir",IF(($N195&lt;&gt;"")*($N195&gt;TODAY()-9)*($N195&lt;TODAY()+1),"Semaine passée",IF(($P195&lt;&gt;"")*($P195&gt;=TODAY())*($P195&lt;=TODAY()+13),"À venir","Autre"))))</f>
        <v/>
      </c>
      <c r="V195" s="8" cm="1" t="n">
        <f t="array" ref="V195">IF(C195&lt;&gt;"",1,0)</f>
        <v>0</v>
      </c>
      <c r="W195" s="8">
</c>
      <c r="X195" s="8">
</c>
      <c r="Y195" s="8">
</c>
      <c r="Z195" s="8">
</c>
      <c r="AA195" s="8">
</c>
      <c r="AB195" s="8">
</c>
      <c r="AC195" s="8">
</c>
      <c r="AD195" s="8">
</c>
      <c r="AE195" s="8">
</c>
      <c r="AF195" s="8">
</c>
      <c r="AG195" s="8">
</c>
      <c r="AH195" s="8">
</c>
      <c r="AI195" s="8">
</c>
      <c r="AJ195" s="8">
</c>
      <c r="AK195" s="8">
</c>
    </row>
    <row r="196" ht="76.5" customHeight="1">
      <c r="A196" s="8">
</c>
      <c r="B196" s="8">
</c>
      <c r="C196" s="12">
</c>
      <c r="D196" s="8">
</c>
      <c r="E196" s="8">
</c>
      <c r="F196" s="8">
</c>
      <c r="G196" s="14" cm="1" t="str">
        <f t="array" ref="G196">IF(F196="","",SUBSTITUTE(SUBSTITUTE(SUBSTITUTE(SUBSTITUTE(F196,"&lt;li&gt;",CHAR(10)),"&lt;/li&gt;",""),"&lt;br&gt;",CHAR(10)),"&lt;strong&gt;",""))</f>
        <v/>
      </c>
      <c r="H196" s="14" cm="1" t="str">
        <f t="array" ref="H196">IF(G196="","",SUBSTITUTE(SUBSTITUTE(SUBSTITUTE(SUBSTITUTE(SUBSTITUTE(G196,"&lt;p&gt;",""),"&lt;/p&gt;",""),"&lt;ul&gt;",""),"&lt;/ul&gt;",""),"&lt;/strong&gt;",""))</f>
        <v/>
      </c>
      <c r="I196" s="15" cm="1" t="str">
        <f t="array" ref="I196">IF(C196="","",IF(OR(H196="",H196=0,H196=FALSE),"-",H196))</f>
        <v/>
      </c>
      <c r="J196" s="8">
</c>
      <c r="K196" s="8">
</c>
      <c r="L196" s="9" cm="1" t="str">
        <f t="array" ref="L196">IF(C196="","",IF(K196="Mort / Plus rien à faire","KO","OK"))</f>
        <v/>
      </c>
      <c r="M196" s="19">
</c>
      <c r="N196" s="16" cm="1" t="str">
        <f t="array" ref="N196">IF(OR(C196="",M196="",M196=0),"",M196)</f>
        <v/>
      </c>
      <c r="O196" s="19">
</c>
      <c r="P196" s="16" cm="1" t="str">
        <f t="array" ref="P196">IF(C196="","",IF(OR(O196="",O196=0),"-",O196))</f>
        <v/>
      </c>
      <c r="Q196" s="20">
</c>
      <c r="R196" s="17" cm="1" t="str">
        <f t="array" ref="R196">IF(C196="","",ROUND(Q196/1000000,3)&amp;" M€")</f>
        <v/>
      </c>
      <c r="S196" s="18">
</c>
      <c r="T196" s="9" cm="1" t="str">
        <f t="array" ref="T196">IF(C196="","",SUBSTITUTE(S196,"","")&amp;"%")</f>
        <v/>
      </c>
      <c r="U196" s="15" cm="1" t="str">
        <f t="array" ref="U196">IF(($N196="")*($P196=""),"",IF(($N196&lt;&gt;"")*($N196&gt;TODAY()-9)*($N196&lt;TODAY()+1)*($P196&lt;&gt;"")*($P196&gt;=TODAY())*($P196&lt;=TODAY()+13),"Semaine passée &amp; à venir",IF(($N196&lt;&gt;"")*($N196&gt;TODAY()-9)*($N196&lt;TODAY()+1),"Semaine passée",IF(($P196&lt;&gt;"")*($P196&gt;=TODAY())*($P196&lt;=TODAY()+13),"À venir","Autre"))))</f>
        <v/>
      </c>
      <c r="V196" s="8" cm="1" t="n">
        <f t="array" ref="V196">IF(C196&lt;&gt;"",1,0)</f>
        <v>0</v>
      </c>
      <c r="W196" s="8">
</c>
      <c r="X196" s="8">
</c>
      <c r="Y196" s="8">
</c>
      <c r="Z196" s="8">
</c>
      <c r="AA196" s="8">
</c>
      <c r="AB196" s="8">
</c>
      <c r="AC196" s="8">
</c>
      <c r="AD196" s="8">
</c>
      <c r="AE196" s="8">
</c>
      <c r="AF196" s="8">
</c>
      <c r="AG196" s="8">
</c>
      <c r="AH196" s="8">
</c>
      <c r="AI196" s="8">
</c>
      <c r="AJ196" s="8">
</c>
      <c r="AK196" s="8">
</c>
    </row>
    <row r="197" ht="76.5" customHeight="1">
      <c r="A197" s="8">
</c>
      <c r="B197" s="8">
</c>
      <c r="C197" s="12">
</c>
      <c r="D197" s="8">
</c>
      <c r="E197" s="8">
</c>
      <c r="F197" s="8">
</c>
      <c r="G197" s="14" cm="1" t="str">
        <f t="array" ref="G197">IF(F197="","",SUBSTITUTE(SUBSTITUTE(SUBSTITUTE(SUBSTITUTE(F197,"&lt;li&gt;",CHAR(10)),"&lt;/li&gt;",""),"&lt;br&gt;",CHAR(10)),"&lt;strong&gt;",""))</f>
        <v/>
      </c>
      <c r="H197" s="14" cm="1" t="str">
        <f t="array" ref="H197">IF(G197="","",SUBSTITUTE(SUBSTITUTE(SUBSTITUTE(SUBSTITUTE(SUBSTITUTE(G197,"&lt;p&gt;",""),"&lt;/p&gt;",""),"&lt;ul&gt;",""),"&lt;/ul&gt;",""),"&lt;/strong&gt;",""))</f>
        <v/>
      </c>
      <c r="I197" s="15" cm="1" t="str">
        <f t="array" ref="I197">IF(C197="","",IF(OR(H197="",H197=0,H197=FALSE),"-",H197))</f>
        <v/>
      </c>
      <c r="J197" s="8">
</c>
      <c r="K197" s="8">
</c>
      <c r="L197" s="9" cm="1" t="str">
        <f t="array" ref="L197">IF(C197="","",IF(K197="Mort / Plus rien à faire","KO","OK"))</f>
        <v/>
      </c>
      <c r="M197" s="19">
</c>
      <c r="N197" s="16" cm="1" t="str">
        <f t="array" ref="N197">IF(OR(C197="",M197="",M197=0),"",M197)</f>
        <v/>
      </c>
      <c r="O197" s="19">
</c>
      <c r="P197" s="16" cm="1" t="str">
        <f t="array" ref="P197">IF(C197="","",IF(OR(O197="",O197=0),"-",O197))</f>
        <v/>
      </c>
      <c r="Q197" s="20">
</c>
      <c r="R197" s="17" cm="1" t="str">
        <f t="array" ref="R197">IF(C197="","",ROUND(Q197/1000000,3)&amp;" M€")</f>
        <v/>
      </c>
      <c r="S197" s="18">
</c>
      <c r="T197" s="9" cm="1" t="str">
        <f t="array" ref="T197">IF(C197="","",SUBSTITUTE(S197,"","")&amp;"%")</f>
        <v/>
      </c>
      <c r="U197" s="15" cm="1" t="str">
        <f t="array" ref="U197">IF(($N197="")*($P197=""),"",IF(($N197&lt;&gt;"")*($N197&gt;TODAY()-9)*($N197&lt;TODAY()+1)*($P197&lt;&gt;"")*($P197&gt;=TODAY())*($P197&lt;=TODAY()+13),"Semaine passée &amp; à venir",IF(($N197&lt;&gt;"")*($N197&gt;TODAY()-9)*($N197&lt;TODAY()+1),"Semaine passée",IF(($P197&lt;&gt;"")*($P197&gt;=TODAY())*($P197&lt;=TODAY()+13),"À venir","Autre"))))</f>
        <v/>
      </c>
      <c r="V197" s="8" cm="1" t="n">
        <f t="array" ref="V197">IF(C197&lt;&gt;"",1,0)</f>
        <v>0</v>
      </c>
      <c r="W197" s="8">
</c>
      <c r="X197" s="8">
</c>
      <c r="Y197" s="8">
</c>
      <c r="Z197" s="8">
</c>
      <c r="AA197" s="8">
</c>
      <c r="AB197" s="8">
</c>
      <c r="AC197" s="8">
</c>
      <c r="AD197" s="8">
</c>
      <c r="AE197" s="8">
</c>
      <c r="AF197" s="8">
</c>
      <c r="AG197" s="8">
</c>
      <c r="AH197" s="8">
</c>
      <c r="AI197" s="8">
</c>
      <c r="AJ197" s="8">
</c>
      <c r="AK197" s="8">
</c>
    </row>
    <row r="198" ht="76.5" customHeight="1">
      <c r="A198" s="8">
</c>
      <c r="B198" s="8">
</c>
      <c r="C198" s="12">
</c>
      <c r="D198" s="8">
</c>
      <c r="E198" s="8">
</c>
      <c r="F198" s="8">
</c>
      <c r="G198" s="14" cm="1" t="str">
        <f t="array" ref="G198">IF(F198="","",SUBSTITUTE(SUBSTITUTE(SUBSTITUTE(SUBSTITUTE(F198,"&lt;li&gt;",CHAR(10)),"&lt;/li&gt;",""),"&lt;br&gt;",CHAR(10)),"&lt;strong&gt;",""))</f>
        <v/>
      </c>
      <c r="H198" s="14" cm="1" t="str">
        <f t="array" ref="H198">IF(G198="","",SUBSTITUTE(SUBSTITUTE(SUBSTITUTE(SUBSTITUTE(SUBSTITUTE(G198,"&lt;p&gt;",""),"&lt;/p&gt;",""),"&lt;ul&gt;",""),"&lt;/ul&gt;",""),"&lt;/strong&gt;",""))</f>
        <v/>
      </c>
      <c r="I198" s="15" cm="1" t="str">
        <f t="array" ref="I198">IF(C198="","",IF(OR(H198="",H198=0,H198=FALSE),"-",H198))</f>
        <v/>
      </c>
      <c r="J198" s="8">
</c>
      <c r="K198" s="8">
</c>
      <c r="L198" s="9" cm="1" t="str">
        <f t="array" ref="L198">IF(C198="","",IF(K198="Mort / Plus rien à faire","KO","OK"))</f>
        <v/>
      </c>
      <c r="M198" s="19">
</c>
      <c r="N198" s="16" cm="1" t="str">
        <f t="array" ref="N198">IF(OR(C198="",M198="",M198=0),"",M198)</f>
        <v/>
      </c>
      <c r="O198" s="19">
</c>
      <c r="P198" s="16" cm="1" t="str">
        <f t="array" ref="P198">IF(C198="","",IF(OR(O198="",O198=0),"-",O198))</f>
        <v/>
      </c>
      <c r="Q198" s="20">
</c>
      <c r="R198" s="17" cm="1" t="str">
        <f t="array" ref="R198">IF(C198="","",ROUND(Q198/1000000,3)&amp;" M€")</f>
        <v/>
      </c>
      <c r="S198" s="18">
</c>
      <c r="T198" s="9" cm="1" t="str">
        <f t="array" ref="T198">IF(C198="","",SUBSTITUTE(S198,"","")&amp;"%")</f>
        <v/>
      </c>
      <c r="U198" s="15" cm="1" t="str">
        <f t="array" ref="U198">IF(($N198="")*($P198=""),"",IF(($N198&lt;&gt;"")*($N198&gt;TODAY()-9)*($N198&lt;TODAY()+1)*($P198&lt;&gt;"")*($P198&gt;=TODAY())*($P198&lt;=TODAY()+13),"Semaine passée &amp; à venir",IF(($N198&lt;&gt;"")*($N198&gt;TODAY()-9)*($N198&lt;TODAY()+1),"Semaine passée",IF(($P198&lt;&gt;"")*($P198&gt;=TODAY())*($P198&lt;=TODAY()+13),"À venir","Autre"))))</f>
        <v/>
      </c>
      <c r="V198" s="8" cm="1" t="n">
        <f t="array" ref="V198">IF(C198&lt;&gt;"",1,0)</f>
        <v>0</v>
      </c>
      <c r="W198" s="8">
</c>
      <c r="X198" s="8">
</c>
      <c r="Y198" s="8">
</c>
      <c r="Z198" s="8">
</c>
      <c r="AA198" s="8">
</c>
      <c r="AB198" s="8">
</c>
      <c r="AC198" s="8">
</c>
      <c r="AD198" s="8">
</c>
      <c r="AE198" s="8">
</c>
      <c r="AF198" s="8">
</c>
      <c r="AG198" s="8">
</c>
      <c r="AH198" s="8">
</c>
      <c r="AI198" s="8">
</c>
      <c r="AJ198" s="8">
</c>
      <c r="AK198" s="8">
</c>
    </row>
    <row r="199" ht="76.5" customHeight="1">
      <c r="A199" s="8">
</c>
      <c r="B199" s="8">
</c>
      <c r="C199" s="12">
</c>
      <c r="D199" s="8">
</c>
      <c r="E199" s="8">
</c>
      <c r="F199" s="8">
</c>
      <c r="G199" s="14" cm="1" t="str">
        <f t="array" ref="G199">IF(F199="","",SUBSTITUTE(SUBSTITUTE(SUBSTITUTE(SUBSTITUTE(F199,"&lt;li&gt;",CHAR(10)),"&lt;/li&gt;",""),"&lt;br&gt;",CHAR(10)),"&lt;strong&gt;",""))</f>
        <v/>
      </c>
      <c r="H199" s="14" cm="1" t="str">
        <f t="array" ref="H199">IF(G199="","",SUBSTITUTE(SUBSTITUTE(SUBSTITUTE(SUBSTITUTE(SUBSTITUTE(G199,"&lt;p&gt;",""),"&lt;/p&gt;",""),"&lt;ul&gt;",""),"&lt;/ul&gt;",""),"&lt;/strong&gt;",""))</f>
        <v/>
      </c>
      <c r="I199" s="15" cm="1" t="str">
        <f t="array" ref="I199">IF(C199="","",IF(OR(H199="",H199=0,H199=FALSE),"-",H199))</f>
        <v/>
      </c>
      <c r="J199" s="8">
</c>
      <c r="K199" s="8">
</c>
      <c r="L199" s="9" cm="1" t="str">
        <f t="array" ref="L199">IF(C199="","",IF(K199="Mort / Plus rien à faire","KO","OK"))</f>
        <v/>
      </c>
      <c r="M199" s="19">
</c>
      <c r="N199" s="16" cm="1" t="str">
        <f t="array" ref="N199">IF(OR(C199="",M199="",M199=0),"",M199)</f>
        <v/>
      </c>
      <c r="O199" s="19">
</c>
      <c r="P199" s="16" cm="1" t="str">
        <f t="array" ref="P199">IF(C199="","",IF(OR(O199="",O199=0),"-",O199))</f>
        <v/>
      </c>
      <c r="Q199" s="20">
</c>
      <c r="R199" s="17" cm="1" t="str">
        <f t="array" ref="R199">IF(C199="","",ROUND(Q199/1000000,3)&amp;" M€")</f>
        <v/>
      </c>
      <c r="S199" s="18">
</c>
      <c r="T199" s="9" cm="1" t="str">
        <f t="array" ref="T199">IF(C199="","",SUBSTITUTE(S199,"","")&amp;"%")</f>
        <v/>
      </c>
      <c r="U199" s="15" cm="1" t="str">
        <f t="array" ref="U199">IF(($N199="")*($P199=""),"",IF(($N199&lt;&gt;"")*($N199&gt;TODAY()-9)*($N199&lt;TODAY()+1)*($P199&lt;&gt;"")*($P199&gt;=TODAY())*($P199&lt;=TODAY()+13),"Semaine passée &amp; à venir",IF(($N199&lt;&gt;"")*($N199&gt;TODAY()-9)*($N199&lt;TODAY()+1),"Semaine passée",IF(($P199&lt;&gt;"")*($P199&gt;=TODAY())*($P199&lt;=TODAY()+13),"À venir","Autre"))))</f>
        <v/>
      </c>
      <c r="V199" s="8" cm="1" t="n">
        <f t="array" ref="V199">IF(C199&lt;&gt;"",1,0)</f>
        <v>0</v>
      </c>
      <c r="W199" s="8">
</c>
      <c r="X199" s="8">
</c>
      <c r="Y199" s="8">
</c>
      <c r="Z199" s="8">
</c>
      <c r="AA199" s="8">
</c>
      <c r="AB199" s="8">
</c>
      <c r="AC199" s="8">
</c>
      <c r="AD199" s="8">
</c>
      <c r="AE199" s="8">
</c>
      <c r="AF199" s="8">
</c>
      <c r="AG199" s="8">
</c>
      <c r="AH199" s="8">
</c>
      <c r="AI199" s="8">
</c>
      <c r="AJ199" s="8">
</c>
      <c r="AK199" s="8">
</c>
    </row>
    <row r="200" ht="76.5" customHeight="1">
      <c r="A200" s="8">
</c>
      <c r="B200" s="8">
</c>
      <c r="C200" s="12">
</c>
      <c r="D200" s="8">
</c>
      <c r="E200" s="8">
</c>
      <c r="F200" s="8">
</c>
      <c r="G200" s="14" cm="1" t="str">
        <f t="array" ref="G200">IF(F200="","",SUBSTITUTE(SUBSTITUTE(SUBSTITUTE(SUBSTITUTE(F200,"&lt;li&gt;",CHAR(10)),"&lt;/li&gt;",""),"&lt;br&gt;",CHAR(10)),"&lt;strong&gt;",""))</f>
        <v/>
      </c>
      <c r="H200" s="14" cm="1" t="str">
        <f t="array" ref="H200">IF(G200="","",SUBSTITUTE(SUBSTITUTE(SUBSTITUTE(SUBSTITUTE(SUBSTITUTE(G200,"&lt;p&gt;",""),"&lt;/p&gt;",""),"&lt;ul&gt;",""),"&lt;/ul&gt;",""),"&lt;/strong&gt;",""))</f>
        <v/>
      </c>
      <c r="I200" s="15" cm="1" t="str">
        <f t="array" ref="I200">IF(C200="","",IF(OR(H200="",H200=0,H200=FALSE),"-",H200))</f>
        <v/>
      </c>
      <c r="J200" s="8">
</c>
      <c r="K200" s="8">
</c>
      <c r="L200" s="9" cm="1" t="str">
        <f t="array" ref="L200">IF(C200="","",IF(K200="Mort / Plus rien à faire","KO","OK"))</f>
        <v/>
      </c>
      <c r="M200" s="19">
</c>
      <c r="N200" s="16" cm="1" t="str">
        <f t="array" ref="N200">IF(OR(C200="",M200="",M200=0),"",M200)</f>
        <v/>
      </c>
      <c r="O200" s="19">
</c>
      <c r="P200" s="16" cm="1" t="str">
        <f t="array" ref="P200">IF(C200="","",IF(OR(O200="",O200=0),"-",O200))</f>
        <v/>
      </c>
      <c r="Q200" s="20">
</c>
      <c r="R200" s="17" cm="1" t="str">
        <f t="array" ref="R200">IF(C200="","",ROUND(Q200/1000000,3)&amp;" M€")</f>
        <v/>
      </c>
      <c r="S200" s="18">
</c>
      <c r="T200" s="9" cm="1" t="str">
        <f t="array" ref="T200">IF(C200="","",SUBSTITUTE(S200,"","")&amp;"%")</f>
        <v/>
      </c>
      <c r="U200" s="15" cm="1" t="str">
        <f t="array" ref="U200">IF(($N200="")*($P200=""),"",IF(($N200&lt;&gt;"")*($N200&gt;TODAY()-9)*($N200&lt;TODAY()+1)*($P200&lt;&gt;"")*($P200&gt;=TODAY())*($P200&lt;=TODAY()+13),"Semaine passée &amp; à venir",IF(($N200&lt;&gt;"")*($N200&gt;TODAY()-9)*($N200&lt;TODAY()+1),"Semaine passée",IF(($P200&lt;&gt;"")*($P200&gt;=TODAY())*($P200&lt;=TODAY()+13),"À venir","Autre"))))</f>
        <v/>
      </c>
      <c r="V200" s="8" cm="1" t="n">
        <f t="array" ref="V200">IF(C200&lt;&gt;"",1,0)</f>
        <v>0</v>
      </c>
      <c r="W200" s="8">
</c>
      <c r="X200" s="8">
</c>
      <c r="Y200" s="8">
</c>
      <c r="Z200" s="8">
</c>
      <c r="AA200" s="8">
</c>
      <c r="AB200" s="8">
</c>
      <c r="AC200" s="8">
</c>
      <c r="AD200" s="8">
</c>
      <c r="AE200" s="8">
</c>
      <c r="AF200" s="8">
</c>
      <c r="AG200" s="8">
</c>
      <c r="AH200" s="8">
</c>
      <c r="AI200" s="8">
</c>
      <c r="AJ200" s="8">
</c>
      <c r="AK200" s="8">
</c>
    </row>
    <row r="201" ht="76.5" customHeight="1">
      <c r="A201" s="8">
</c>
      <c r="B201" s="8">
</c>
      <c r="C201" s="12">
</c>
      <c r="D201" s="8">
</c>
      <c r="E201" s="8">
</c>
      <c r="F201" s="8">
</c>
      <c r="G201" s="14" cm="1" t="str">
        <f t="array" ref="G201">IF(F201="","",SUBSTITUTE(SUBSTITUTE(SUBSTITUTE(SUBSTITUTE(F201,"&lt;li&gt;",CHAR(10)),"&lt;/li&gt;",""),"&lt;br&gt;",CHAR(10)),"&lt;strong&gt;",""))</f>
        <v/>
      </c>
      <c r="H201" s="14" cm="1" t="str">
        <f t="array" ref="H201">IF(G201="","",SUBSTITUTE(SUBSTITUTE(SUBSTITUTE(SUBSTITUTE(SUBSTITUTE(G201,"&lt;p&gt;",""),"&lt;/p&gt;",""),"&lt;ul&gt;",""),"&lt;/ul&gt;",""),"&lt;/strong&gt;",""))</f>
        <v/>
      </c>
      <c r="I201" s="15" cm="1" t="str">
        <f t="array" ref="I201">IF(C201="","",IF(OR(H201="",H201=0,H201=FALSE),"-",H201))</f>
        <v/>
      </c>
      <c r="J201" s="8">
</c>
      <c r="K201" s="8">
</c>
      <c r="L201" s="9" cm="1" t="str">
        <f t="array" ref="L201">IF(C201="","",IF(K201="Mort / Plus rien à faire","KO","OK"))</f>
        <v/>
      </c>
      <c r="M201" s="19">
</c>
      <c r="N201" s="16" cm="1" t="str">
        <f t="array" ref="N201">IF(OR(C201="",M201="",M201=0),"",M201)</f>
        <v/>
      </c>
      <c r="O201" s="19">
</c>
      <c r="P201" s="16" cm="1" t="str">
        <f t="array" ref="P201">IF(C201="","",IF(OR(O201="",O201=0),"-",O201))</f>
        <v/>
      </c>
      <c r="Q201" s="20">
</c>
      <c r="R201" s="17" cm="1" t="str">
        <f t="array" ref="R201">IF(C201="","",ROUND(Q201/1000000,3)&amp;" M€")</f>
        <v/>
      </c>
      <c r="S201" s="18">
</c>
      <c r="T201" s="9" cm="1" t="str">
        <f t="array" ref="T201">IF(C201="","",SUBSTITUTE(S201,"","")&amp;"%")</f>
        <v/>
      </c>
      <c r="U201" s="15" cm="1" t="str">
        <f t="array" ref="U201">IF(($N201="")*($P201=""),"",IF(($N201&lt;&gt;"")*($N201&gt;TODAY()-9)*($N201&lt;TODAY()+1)*($P201&lt;&gt;"")*($P201&gt;=TODAY())*($P201&lt;=TODAY()+13),"Semaine passée &amp; à venir",IF(($N201&lt;&gt;"")*($N201&gt;TODAY()-9)*($N201&lt;TODAY()+1),"Semaine passée",IF(($P201&lt;&gt;"")*($P201&gt;=TODAY())*($P201&lt;=TODAY()+13),"À venir","Autre"))))</f>
        <v/>
      </c>
      <c r="V201" s="8" cm="1" t="n">
        <f t="array" ref="V201">IF(C201&lt;&gt;"",1,0)</f>
        <v>0</v>
      </c>
      <c r="W201" s="8">
</c>
      <c r="X201" s="8">
</c>
      <c r="Y201" s="8">
</c>
      <c r="Z201" s="8">
</c>
      <c r="AA201" s="8">
</c>
      <c r="AB201" s="8">
</c>
      <c r="AC201" s="8">
</c>
      <c r="AD201" s="8">
</c>
      <c r="AE201" s="8">
</c>
      <c r="AF201" s="8">
</c>
      <c r="AG201" s="8">
</c>
      <c r="AH201" s="8">
</c>
      <c r="AI201" s="8">
</c>
      <c r="AJ201" s="8">
</c>
      <c r="AK201" s="8">
</c>
    </row>
    <row r="202" ht="76.5" customHeight="1">
      <c r="A202" s="8">
</c>
      <c r="B202" s="8">
</c>
      <c r="C202" s="12">
</c>
      <c r="D202" s="8">
</c>
      <c r="E202" s="8">
</c>
      <c r="F202" s="8">
</c>
      <c r="G202" s="14" cm="1" t="str">
        <f t="array" ref="G202">IF(F202="","",SUBSTITUTE(SUBSTITUTE(SUBSTITUTE(SUBSTITUTE(F202,"&lt;li&gt;",CHAR(10)),"&lt;/li&gt;",""),"&lt;br&gt;",CHAR(10)),"&lt;strong&gt;",""))</f>
        <v/>
      </c>
      <c r="H202" s="14" cm="1" t="str">
        <f t="array" ref="H202">IF(G202="","",SUBSTITUTE(SUBSTITUTE(SUBSTITUTE(SUBSTITUTE(SUBSTITUTE(G202,"&lt;p&gt;",""),"&lt;/p&gt;",""),"&lt;ul&gt;",""),"&lt;/ul&gt;",""),"&lt;/strong&gt;",""))</f>
        <v/>
      </c>
      <c r="I202" s="15" cm="1" t="str">
        <f t="array" ref="I202">IF(C202="","",IF(OR(H202="",H202=0,H202=FALSE),"-",H202))</f>
        <v/>
      </c>
      <c r="J202" s="8">
</c>
      <c r="K202" s="8">
</c>
      <c r="L202" s="9" cm="1" t="str">
        <f t="array" ref="L202">IF(C202="","",IF(K202="Mort / Plus rien à faire","KO","OK"))</f>
        <v/>
      </c>
      <c r="M202" s="19">
</c>
      <c r="N202" s="16" cm="1" t="str">
        <f t="array" ref="N202">IF(OR(C202="",M202="",M202=0),"",M202)</f>
        <v/>
      </c>
      <c r="O202" s="19">
</c>
      <c r="P202" s="16" cm="1" t="str">
        <f t="array" ref="P202">IF(C202="","",IF(OR(O202="",O202=0),"-",O202))</f>
        <v/>
      </c>
      <c r="Q202" s="20">
</c>
      <c r="R202" s="17" cm="1" t="str">
        <f t="array" ref="R202">IF(C202="","",ROUND(Q202/1000000,3)&amp;" M€")</f>
        <v/>
      </c>
      <c r="S202" s="18">
</c>
      <c r="T202" s="9" cm="1" t="str">
        <f t="array" ref="T202">IF(C202="","",SUBSTITUTE(S202,"","")&amp;"%")</f>
        <v/>
      </c>
      <c r="U202" s="15" cm="1" t="str">
        <f t="array" ref="U202">IF(($N202="")*($P202=""),"",IF(($N202&lt;&gt;"")*($N202&gt;TODAY()-9)*($N202&lt;TODAY()+1)*($P202&lt;&gt;"")*($P202&gt;=TODAY())*($P202&lt;=TODAY()+13),"Semaine passée &amp; à venir",IF(($N202&lt;&gt;"")*($N202&gt;TODAY()-9)*($N202&lt;TODAY()+1),"Semaine passée",IF(($P202&lt;&gt;"")*($P202&gt;=TODAY())*($P202&lt;=TODAY()+13),"À venir","Autre"))))</f>
        <v/>
      </c>
      <c r="V202" s="8" cm="1" t="n">
        <f t="array" ref="V202">IF(C202&lt;&gt;"",1,0)</f>
        <v>0</v>
      </c>
      <c r="W202" s="8">
</c>
      <c r="X202" s="8">
</c>
      <c r="Y202" s="8">
</c>
      <c r="Z202" s="8">
</c>
      <c r="AA202" s="8">
</c>
      <c r="AB202" s="8">
</c>
      <c r="AC202" s="8">
</c>
      <c r="AD202" s="8">
</c>
      <c r="AE202" s="8">
</c>
      <c r="AF202" s="8">
</c>
      <c r="AG202" s="8">
</c>
      <c r="AH202" s="8">
</c>
      <c r="AI202" s="8">
</c>
      <c r="AJ202" s="8">
</c>
      <c r="AK202" s="8">
</c>
    </row>
  </sheetData>
  <conditionalFormatting sqref="N4:N202">
    <cfRule priority="1" stopIfTrue="0" type="expression" dxfId="0">
      <formula>($N4&lt;&gt;"")*(($N4&gt;TODAY()-9)*($N4&lt;TODAY()+1)+(INT($N4)=TODAY()))
</formula>
    </cfRule>
  </conditionalFormatting>
  <conditionalFormatting sqref="P4:P202">
    <cfRule priority="1" stopIfTrue="0" type="expression" dxfId="1">
      <formula>($P4&lt;&gt;"")*($P4&gt;=TODAY())*($P4&lt;=TODAY()+13)</formula>
    </cfRule>
  </conditionalFormatting>
  <conditionalFormatting sqref="I4:I202">
    <cfRule priority="1" stopIfTrue="0" type="expression" dxfId="0">
      <formula>(($N4&lt;&gt;"")*($N4&gt;TODAY()-9)*($N4&lt;=TODAY())) + (($P4&lt;&gt;"")*($P4&gt;=TODAY())*($P4&lt;=TODAY()+13))</formula>
    </cfRule>
  </conditionalFormatting>
  <conditionalFormatting sqref="U4:U202">
    <cfRule priority="1" stopIfTrue="0" type="containsText" text="À venir" operator="containsText" dxfId="0">
      <formula>NOT(ISERROR(SEARCH("À venir",U4)))</formula>
    </cfRule>
  </conditionalFormatting>
  <conditionalFormatting sqref="U4:U202">
    <cfRule priority="1" stopIfTrue="0" type="containsText" text="Semaine passée" operator="containsText" dxfId="0">
      <formula>NOT(ISERROR(SEARCH("Semaine passée",U4)))</formula>
    </cfRule>
  </conditionalFormatting>
  <conditionalFormatting sqref="U4:U202">
    <cfRule priority="1" stopIfTrue="0" type="containsText" text="Semaine passée &amp; à venir" operator="containsText" dxfId="0">
      <formula>NOT(ISERROR(SEARCH("Semaine passée &amp; à venir",U4)))</formula>
    </cfRule>
  </conditionalFormatting>
  <tableParts count="1">
    <tablePart r:id="rId1"/>
  </tableParts>
</worksheet>
</file>